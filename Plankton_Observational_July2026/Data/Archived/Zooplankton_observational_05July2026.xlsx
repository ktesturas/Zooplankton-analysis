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Legion\00 Plankton Work\2025\Plankton\00 Final\Plankton\Observational\"/>
    </mc:Choice>
  </mc:AlternateContent>
  <xr:revisionPtr revIDLastSave="0" documentId="8_{6D5542E0-8FBD-4574-820E-1EBE3A91EB12}" xr6:coauthVersionLast="47" xr6:coauthVersionMax="47" xr10:uidLastSave="{00000000-0000-0000-0000-000000000000}"/>
  <bookViews>
    <workbookView xWindow="-110" yWindow="-110" windowWidth="25820" windowHeight="15500" tabRatio="503" xr2:uid="{C822E7B4-5A2F-434D-9122-249EDB1B849A}"/>
  </bookViews>
  <sheets>
    <sheet name="Phenology" sheetId="1" r:id="rId1"/>
    <sheet name="Abundance" sheetId="8" state="hidden" r:id="rId2"/>
    <sheet name="Distribution" sheetId="7" r:id="rId3"/>
    <sheet name="BioShifts" sheetId="4" state="hidden" r:id="rId4"/>
    <sheet name="IPCC" sheetId="5" state="hidden" r:id="rId5"/>
    <sheet name="Polczanska" sheetId="3" state="hidden" r:id="rId6"/>
  </sheets>
  <definedNames>
    <definedName name="_xlnm._FilterDatabase" localSheetId="1" hidden="1">Abundance!$A$1:$AS$253</definedName>
    <definedName name="_xlnm._FilterDatabase" localSheetId="3" hidden="1">BioShifts!$A$1:$W$186</definedName>
    <definedName name="_xlnm._FilterDatabase" localSheetId="2" hidden="1">Distribution!$A$1:$T$382</definedName>
    <definedName name="_xlnm._FilterDatabase" localSheetId="4" hidden="1">IPCC!$A$1:$CL$169</definedName>
    <definedName name="_xlnm._FilterDatabase" localSheetId="0" hidden="1">Phenology!$A$1:$AE$714</definedName>
    <definedName name="_xlnm._FilterDatabase" localSheetId="5" hidden="1">Polczanska!$A$1:$M$145</definedName>
    <definedName name="consistent">#REF!</definedName>
    <definedName name="Group">#REF!</definedName>
    <definedName name="oceanregion">#REF!</definedName>
    <definedName name="year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96" i="1" l="1"/>
  <c r="M595" i="1"/>
  <c r="M296" i="1"/>
  <c r="M294" i="1"/>
  <c r="M295" i="1"/>
  <c r="M293" i="1"/>
  <c r="M414" i="1"/>
  <c r="M415" i="1"/>
  <c r="M416" i="1"/>
  <c r="M417" i="1"/>
  <c r="M413" i="1"/>
  <c r="M291" i="1"/>
  <c r="M292" i="1"/>
  <c r="M290" i="1"/>
  <c r="M232" i="1" l="1"/>
  <c r="M233" i="1"/>
  <c r="M234" i="1"/>
  <c r="M235" i="1"/>
  <c r="M236" i="1"/>
  <c r="M237" i="1"/>
  <c r="M238" i="1"/>
  <c r="M239" i="1"/>
  <c r="M240" i="1"/>
  <c r="M241" i="1"/>
  <c r="M242" i="1"/>
  <c r="M231" i="1"/>
  <c r="M412" i="1"/>
  <c r="M283" i="1"/>
  <c r="M284" i="1"/>
  <c r="M285" i="1"/>
  <c r="M286" i="1"/>
  <c r="M287" i="1"/>
  <c r="M230" i="1"/>
  <c r="V412" i="1"/>
  <c r="M224" i="1"/>
  <c r="M225" i="1"/>
  <c r="M226" i="1"/>
  <c r="M227" i="1"/>
  <c r="M228" i="1"/>
  <c r="M229" i="1"/>
  <c r="M223" i="1"/>
  <c r="M329" i="1"/>
  <c r="M326" i="1"/>
  <c r="M327" i="1"/>
  <c r="M328" i="1"/>
  <c r="M306" i="1"/>
  <c r="M312" i="1"/>
  <c r="M279" i="1"/>
  <c r="M280" i="1"/>
  <c r="M281" i="1"/>
  <c r="M282" i="1"/>
  <c r="M278" i="1"/>
  <c r="M308" i="1"/>
  <c r="M309" i="1"/>
  <c r="M310" i="1"/>
  <c r="M311" i="1"/>
  <c r="M307" i="1"/>
  <c r="M155" i="1"/>
  <c r="M156" i="1"/>
  <c r="M157" i="1"/>
  <c r="M158" i="1"/>
  <c r="M159" i="1"/>
  <c r="M275" i="1"/>
  <c r="M276" i="1"/>
  <c r="M277" i="1"/>
  <c r="M274" i="1"/>
  <c r="M273" i="1"/>
  <c r="M297" i="1"/>
  <c r="M219" i="1"/>
  <c r="M218" i="1"/>
  <c r="M217" i="1"/>
  <c r="M216" i="1"/>
  <c r="M215" i="1"/>
  <c r="M214" i="1"/>
  <c r="M220" i="1"/>
  <c r="M222" i="1"/>
  <c r="M221" i="1"/>
  <c r="M272" i="1"/>
  <c r="O235" i="7"/>
  <c r="O236" i="7"/>
  <c r="O237" i="7"/>
  <c r="O238" i="7"/>
  <c r="O239" i="7"/>
  <c r="O234" i="7"/>
  <c r="O30" i="7"/>
  <c r="O31" i="7"/>
  <c r="O32" i="7"/>
  <c r="O33" i="7"/>
  <c r="O29" i="7"/>
  <c r="O233" i="7"/>
  <c r="O28" i="7"/>
  <c r="O3" i="7"/>
  <c r="O2" i="7"/>
  <c r="O61" i="7"/>
  <c r="O62" i="7"/>
  <c r="O60" i="7"/>
  <c r="Q57" i="7"/>
  <c r="O57" i="7"/>
  <c r="V540" i="1"/>
  <c r="O54" i="7"/>
  <c r="Q350" i="7"/>
  <c r="O350" i="7"/>
  <c r="O351" i="7"/>
  <c r="Q351"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54" i="7"/>
  <c r="V419" i="1"/>
  <c r="V535" i="1"/>
  <c r="V538" i="1"/>
  <c r="V537" i="1"/>
  <c r="V536" i="1"/>
  <c r="V534" i="1"/>
  <c r="V533" i="1"/>
  <c r="V532" i="1"/>
  <c r="V531" i="1"/>
  <c r="V542" i="1"/>
  <c r="V530" i="1"/>
  <c r="V529" i="1"/>
  <c r="V528" i="1"/>
  <c r="V527" i="1"/>
  <c r="V526" i="1"/>
  <c r="V525" i="1"/>
  <c r="V524" i="1"/>
  <c r="V523" i="1"/>
  <c r="V522" i="1"/>
  <c r="V521" i="1"/>
  <c r="V520" i="1"/>
  <c r="V519" i="1"/>
  <c r="V518" i="1"/>
  <c r="V517" i="1"/>
  <c r="V516" i="1"/>
  <c r="V515" i="1"/>
  <c r="V514" i="1"/>
  <c r="V541" i="1"/>
  <c r="V513" i="1"/>
  <c r="V512" i="1"/>
  <c r="V511" i="1"/>
  <c r="V510" i="1"/>
  <c r="V509" i="1"/>
  <c r="V508" i="1"/>
  <c r="V507" i="1"/>
  <c r="V506" i="1"/>
  <c r="V505" i="1"/>
  <c r="V504" i="1"/>
  <c r="V503" i="1"/>
  <c r="V502" i="1"/>
  <c r="V501" i="1"/>
  <c r="V500" i="1"/>
  <c r="V499" i="1"/>
  <c r="V498" i="1"/>
  <c r="V497" i="1"/>
  <c r="V496" i="1"/>
  <c r="V495" i="1"/>
  <c r="V494" i="1"/>
  <c r="V539" i="1"/>
  <c r="V493" i="1"/>
  <c r="V492" i="1"/>
  <c r="V491" i="1"/>
  <c r="V490" i="1"/>
  <c r="V489" i="1"/>
  <c r="V488" i="1"/>
  <c r="V487" i="1"/>
  <c r="M489" i="1"/>
  <c r="M490" i="1"/>
  <c r="M491" i="1"/>
  <c r="M492" i="1"/>
  <c r="M493" i="1"/>
  <c r="M539" i="1"/>
  <c r="M494" i="1"/>
  <c r="M495" i="1"/>
  <c r="M496" i="1"/>
  <c r="M497" i="1"/>
  <c r="M498" i="1"/>
  <c r="M499" i="1"/>
  <c r="M500" i="1"/>
  <c r="M501" i="1"/>
  <c r="M502" i="1"/>
  <c r="M503" i="1"/>
  <c r="M504" i="1"/>
  <c r="M505" i="1"/>
  <c r="M540" i="1"/>
  <c r="M506" i="1"/>
  <c r="M507" i="1"/>
  <c r="M508" i="1"/>
  <c r="M509" i="1"/>
  <c r="M510" i="1"/>
  <c r="M511" i="1"/>
  <c r="M512" i="1"/>
  <c r="M513" i="1"/>
  <c r="M541" i="1"/>
  <c r="M514" i="1"/>
  <c r="M515" i="1"/>
  <c r="M516" i="1"/>
  <c r="M517" i="1"/>
  <c r="M518" i="1"/>
  <c r="M519" i="1"/>
  <c r="M520" i="1"/>
  <c r="M521" i="1"/>
  <c r="M522" i="1"/>
  <c r="M523" i="1"/>
  <c r="M524" i="1"/>
  <c r="M525" i="1"/>
  <c r="M526" i="1"/>
  <c r="M527" i="1"/>
  <c r="M528" i="1"/>
  <c r="M529" i="1"/>
  <c r="M530" i="1"/>
  <c r="M542" i="1"/>
  <c r="M531" i="1"/>
  <c r="M532" i="1"/>
  <c r="M533" i="1"/>
  <c r="M534" i="1"/>
  <c r="M535" i="1"/>
  <c r="M536" i="1"/>
  <c r="M537" i="1"/>
  <c r="M538" i="1"/>
  <c r="M488" i="1"/>
  <c r="M487" i="1"/>
  <c r="V154" i="1"/>
  <c r="V153" i="1"/>
  <c r="V152" i="1"/>
  <c r="V151" i="1"/>
  <c r="M154" i="1"/>
  <c r="M153" i="1"/>
  <c r="M152" i="1"/>
  <c r="M151" i="1"/>
  <c r="J249" i="8"/>
  <c r="J250" i="8"/>
  <c r="J251" i="8"/>
  <c r="J252" i="8"/>
  <c r="J253"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186" i="8"/>
  <c r="J185" i="8"/>
  <c r="J184" i="8"/>
  <c r="J187" i="8"/>
  <c r="J183" i="8"/>
  <c r="J182" i="8"/>
  <c r="J181" i="8"/>
  <c r="J176" i="8"/>
  <c r="J175" i="8"/>
  <c r="J171" i="8"/>
  <c r="J172" i="8"/>
  <c r="J173" i="8"/>
  <c r="J174" i="8"/>
  <c r="J169" i="8"/>
  <c r="J170" i="8"/>
  <c r="J168" i="8"/>
  <c r="J167" i="8"/>
  <c r="J166"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32" i="8"/>
  <c r="J128" i="8"/>
  <c r="J130" i="8"/>
  <c r="J131" i="8"/>
  <c r="J129" i="8"/>
  <c r="J125" i="8"/>
  <c r="J126" i="8"/>
  <c r="J127" i="8"/>
  <c r="J124" i="8"/>
  <c r="J122" i="8"/>
  <c r="J123" i="8"/>
  <c r="J119" i="8"/>
  <c r="J120" i="8"/>
  <c r="J121" i="8"/>
  <c r="J118" i="8"/>
  <c r="J117" i="8"/>
  <c r="J112" i="8"/>
  <c r="J113" i="8"/>
  <c r="J114" i="8"/>
  <c r="J115" i="8"/>
  <c r="J116" i="8"/>
  <c r="J111" i="8"/>
  <c r="J110" i="8"/>
  <c r="J109" i="8"/>
  <c r="J108" i="8"/>
  <c r="J107" i="8"/>
  <c r="J106" i="8"/>
  <c r="J105" i="8"/>
  <c r="J104" i="8"/>
  <c r="J103" i="8"/>
  <c r="J102" i="8"/>
  <c r="J101" i="8"/>
  <c r="J100" i="8"/>
  <c r="J99" i="8"/>
  <c r="J98" i="8"/>
  <c r="J96" i="8"/>
  <c r="J95" i="8"/>
  <c r="J94" i="8"/>
  <c r="J93" i="8"/>
  <c r="J92" i="8"/>
  <c r="J91" i="8"/>
  <c r="J90" i="8"/>
  <c r="J89" i="8"/>
  <c r="J88" i="8"/>
  <c r="J87" i="8"/>
  <c r="J82" i="8"/>
  <c r="J83" i="8"/>
  <c r="J84" i="8"/>
  <c r="J85" i="8"/>
  <c r="J86" i="8"/>
  <c r="J81" i="8"/>
  <c r="J78" i="8"/>
  <c r="J79" i="8"/>
  <c r="J80" i="8"/>
  <c r="J77" i="8"/>
  <c r="J58" i="8"/>
  <c r="J59" i="8"/>
  <c r="J60" i="8"/>
  <c r="J61" i="8"/>
  <c r="J62" i="8"/>
  <c r="J63" i="8"/>
  <c r="J64" i="8"/>
  <c r="J65" i="8"/>
  <c r="J66" i="8"/>
  <c r="J67" i="8"/>
  <c r="J68" i="8"/>
  <c r="J69" i="8"/>
  <c r="J70" i="8"/>
  <c r="J71" i="8"/>
  <c r="J72" i="8"/>
  <c r="J73" i="8"/>
  <c r="J74" i="8"/>
  <c r="J75" i="8"/>
  <c r="J76" i="8"/>
  <c r="J43" i="8"/>
  <c r="J44" i="8"/>
  <c r="J45" i="8"/>
  <c r="J46" i="8"/>
  <c r="J47" i="8"/>
  <c r="J48" i="8"/>
  <c r="J49" i="8"/>
  <c r="J50" i="8"/>
  <c r="J51" i="8"/>
  <c r="J52" i="8"/>
  <c r="J53" i="8"/>
  <c r="J54" i="8"/>
  <c r="J55" i="8"/>
  <c r="J56" i="8"/>
  <c r="J57" i="8"/>
  <c r="J42" i="8"/>
  <c r="J41" i="8"/>
  <c r="J40" i="8"/>
  <c r="J39" i="8"/>
  <c r="J38" i="8"/>
  <c r="J37" i="8"/>
  <c r="J36" i="8"/>
  <c r="J23" i="8"/>
  <c r="J24" i="8"/>
  <c r="J25" i="8"/>
  <c r="J26" i="8"/>
  <c r="J27" i="8"/>
  <c r="J28" i="8"/>
  <c r="J29" i="8"/>
  <c r="J30" i="8"/>
  <c r="J31" i="8"/>
  <c r="J32" i="8"/>
  <c r="J33" i="8"/>
  <c r="J34" i="8"/>
  <c r="J35" i="8"/>
  <c r="J22" i="8"/>
  <c r="J21" i="8"/>
  <c r="J20" i="8"/>
  <c r="J19" i="8"/>
  <c r="J18" i="8"/>
  <c r="J17" i="8"/>
  <c r="J16" i="8"/>
  <c r="J15" i="8"/>
  <c r="J14" i="8"/>
  <c r="J10" i="8"/>
  <c r="J11" i="8"/>
  <c r="J12" i="8"/>
  <c r="J13" i="8"/>
  <c r="J9" i="8"/>
  <c r="J8" i="8"/>
  <c r="J7" i="8"/>
  <c r="J6" i="8"/>
  <c r="J5" i="8"/>
  <c r="J4" i="8"/>
  <c r="J3" i="8"/>
  <c r="J2" i="8"/>
  <c r="Q382" i="7"/>
  <c r="Q364" i="7"/>
  <c r="Q363" i="7"/>
  <c r="Q59" i="7"/>
  <c r="Q362" i="7"/>
  <c r="Q357" i="7"/>
  <c r="Q356" i="7"/>
  <c r="Q361" i="7"/>
  <c r="Q381" i="7"/>
  <c r="Q380" i="7"/>
  <c r="Q379" i="7"/>
  <c r="Q378" i="7"/>
  <c r="Q377" i="7"/>
  <c r="Q360" i="7"/>
  <c r="Q359" i="7"/>
  <c r="Q358" i="7"/>
  <c r="Q376" i="7"/>
  <c r="Q375" i="7"/>
  <c r="Q374" i="7"/>
  <c r="Q373" i="7"/>
  <c r="Q372" i="7"/>
  <c r="Q355" i="7"/>
  <c r="Q371" i="7"/>
  <c r="Q370" i="7"/>
  <c r="Q354" i="7"/>
  <c r="Q353" i="7"/>
  <c r="Q352" i="7"/>
  <c r="Q369" i="7"/>
  <c r="Q368" i="7"/>
  <c r="Q367" i="7"/>
  <c r="Q366" i="7"/>
  <c r="Q365" i="7"/>
  <c r="Q140" i="7"/>
  <c r="V268" i="1"/>
  <c r="V267" i="1"/>
  <c r="V266" i="1"/>
  <c r="V271" i="1"/>
  <c r="V265" i="1"/>
  <c r="V302" i="1"/>
  <c r="V301" i="1"/>
  <c r="V300" i="1"/>
  <c r="V304" i="1"/>
  <c r="V303" i="1"/>
  <c r="V299" i="1"/>
  <c r="V298" i="1"/>
  <c r="AA309" i="8"/>
  <c r="V332" i="1"/>
  <c r="V331" i="1"/>
  <c r="O229" i="7"/>
  <c r="O230" i="7"/>
  <c r="O231" i="7"/>
  <c r="O232" i="7"/>
  <c r="O227" i="7"/>
  <c r="O228" i="7"/>
  <c r="O224" i="7"/>
  <c r="Q224" i="7" s="1"/>
  <c r="O56" i="7"/>
  <c r="Q56" i="7" s="1"/>
  <c r="O55" i="7"/>
  <c r="Q55" i="7" s="1"/>
  <c r="Q243" i="7"/>
  <c r="O243" i="7"/>
  <c r="Q242" i="7"/>
  <c r="O242" i="7"/>
  <c r="O253" i="7"/>
  <c r="Q253" i="7" s="1"/>
  <c r="O225" i="7"/>
  <c r="O226" i="7"/>
  <c r="O142" i="7"/>
  <c r="O143" i="7"/>
  <c r="O144"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220" i="7"/>
  <c r="O221" i="7"/>
  <c r="O222" i="7"/>
  <c r="O223" i="7"/>
  <c r="O322" i="7"/>
  <c r="O241" i="7"/>
  <c r="O240" i="7"/>
  <c r="O330" i="7"/>
  <c r="O331" i="7"/>
  <c r="O332" i="7"/>
  <c r="O333" i="7"/>
  <c r="O334" i="7"/>
  <c r="O335" i="7"/>
  <c r="O336" i="7"/>
  <c r="O337" i="7"/>
  <c r="O338" i="7"/>
  <c r="O339" i="7"/>
  <c r="O340" i="7"/>
  <c r="O341" i="7"/>
  <c r="O342" i="7"/>
  <c r="O343" i="7"/>
  <c r="O344" i="7"/>
  <c r="O345" i="7"/>
  <c r="O346" i="7"/>
  <c r="O347" i="7"/>
  <c r="O348" i="7"/>
  <c r="O349" i="7"/>
  <c r="O329"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N144" i="4"/>
  <c r="N143" i="4"/>
  <c r="N142" i="4"/>
  <c r="N141" i="4"/>
  <c r="N140" i="4"/>
  <c r="N139" i="4"/>
  <c r="N138" i="4"/>
  <c r="N137" i="4"/>
  <c r="N136" i="4"/>
  <c r="N135" i="4"/>
  <c r="N134" i="4"/>
  <c r="N133" i="4"/>
  <c r="N132" i="4"/>
  <c r="N131" i="4"/>
  <c r="N130" i="4"/>
  <c r="N129" i="4"/>
  <c r="N128" i="4"/>
  <c r="N127" i="4"/>
  <c r="N126" i="4"/>
  <c r="N125" i="4"/>
  <c r="N124" i="4"/>
  <c r="N123" i="4"/>
  <c r="N119" i="4"/>
  <c r="N118" i="4"/>
  <c r="N117" i="4"/>
  <c r="N116" i="4"/>
  <c r="N115" i="4"/>
  <c r="N114" i="4"/>
  <c r="N113" i="4"/>
  <c r="N112" i="4"/>
  <c r="N111" i="4"/>
  <c r="N84" i="4"/>
  <c r="N83" i="4"/>
  <c r="N82" i="4"/>
  <c r="N81" i="4"/>
  <c r="O146" i="7"/>
  <c r="O145" i="7"/>
  <c r="O318" i="7"/>
  <c r="O319" i="7"/>
  <c r="O320" i="7"/>
  <c r="O321" i="7"/>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22" i="4"/>
  <c r="N121" i="4"/>
  <c r="N120"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O288" i="7"/>
  <c r="O324" i="7"/>
  <c r="O323" i="7"/>
  <c r="Q27" i="7"/>
  <c r="Q58" i="7"/>
  <c r="Q53" i="7"/>
  <c r="Q52"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289" i="7"/>
  <c r="M289" i="1"/>
  <c r="V289" i="1" s="1"/>
  <c r="M288" i="1"/>
  <c r="V288" i="1" s="1"/>
  <c r="O50" i="7"/>
  <c r="Q50" i="7" s="1"/>
  <c r="O51" i="7"/>
  <c r="Q51" i="7" s="1"/>
  <c r="O141" i="7"/>
  <c r="Q141" i="7" s="1"/>
  <c r="O328" i="7"/>
  <c r="O327" i="7"/>
  <c r="O326" i="7"/>
  <c r="O325" i="7"/>
  <c r="O245" i="7"/>
  <c r="O246" i="7"/>
  <c r="O247" i="7"/>
  <c r="O248" i="7"/>
  <c r="O249" i="7"/>
  <c r="O250" i="7"/>
  <c r="O251" i="7"/>
  <c r="O252" i="7"/>
  <c r="O244" i="7"/>
  <c r="Q34" i="7"/>
  <c r="Q35" i="7"/>
  <c r="Q36" i="7"/>
  <c r="Q37" i="7"/>
  <c r="Q38" i="7"/>
  <c r="Q39" i="7"/>
  <c r="Q40" i="7"/>
  <c r="Q41" i="7"/>
  <c r="Q42" i="7"/>
  <c r="Q43" i="7"/>
  <c r="Q44" i="7"/>
  <c r="Q45" i="7"/>
  <c r="Q46" i="7"/>
  <c r="Q47" i="7"/>
  <c r="Q48" i="7"/>
  <c r="Q49" i="7"/>
  <c r="O35" i="7"/>
  <c r="O36" i="7"/>
  <c r="O37" i="7"/>
  <c r="O38" i="7"/>
  <c r="O39" i="7"/>
  <c r="O40" i="7"/>
  <c r="O41" i="7"/>
  <c r="O42" i="7"/>
  <c r="O43" i="7"/>
  <c r="O44" i="7"/>
  <c r="O45" i="7"/>
  <c r="O46" i="7"/>
  <c r="O47" i="7"/>
  <c r="O48" i="7"/>
  <c r="O49" i="7"/>
  <c r="O34" i="7"/>
  <c r="Q26" i="7"/>
  <c r="Q25" i="7"/>
  <c r="Q24" i="7"/>
  <c r="Q23" i="7"/>
  <c r="Q22" i="7"/>
  <c r="Q21" i="7"/>
  <c r="Q20" i="7"/>
  <c r="Q19" i="7"/>
  <c r="Q18" i="7"/>
  <c r="Q17" i="7"/>
  <c r="Q16" i="7"/>
  <c r="Q15" i="7"/>
  <c r="Q14" i="7"/>
  <c r="Q13" i="7"/>
  <c r="Q12" i="7"/>
  <c r="Q11" i="7"/>
  <c r="Q10" i="7"/>
  <c r="Q9" i="7"/>
  <c r="Q8" i="7"/>
  <c r="Q7" i="7"/>
  <c r="Q6" i="7"/>
  <c r="Q5" i="7"/>
  <c r="Q4" i="7"/>
  <c r="O5" i="7"/>
  <c r="O6" i="7"/>
  <c r="O7" i="7"/>
  <c r="O8" i="7"/>
  <c r="O9" i="7"/>
  <c r="O10" i="7"/>
  <c r="O11" i="7"/>
  <c r="O12" i="7"/>
  <c r="O13" i="7"/>
  <c r="O14" i="7"/>
  <c r="O15" i="7"/>
  <c r="O16" i="7"/>
  <c r="O17" i="7"/>
  <c r="O18" i="7"/>
  <c r="O19" i="7"/>
  <c r="O20" i="7"/>
  <c r="O21" i="7"/>
  <c r="O22" i="7"/>
  <c r="O23" i="7"/>
  <c r="O24" i="7"/>
  <c r="O25" i="7"/>
  <c r="O26" i="7"/>
  <c r="O27" i="7"/>
  <c r="O4" i="7"/>
  <c r="O58" i="7"/>
  <c r="O53" i="7"/>
  <c r="O52" i="7"/>
  <c r="O116" i="7" l="1"/>
  <c r="Q116" i="7" s="1"/>
  <c r="O130" i="7"/>
  <c r="Q130" i="7" s="1"/>
  <c r="O117" i="7"/>
  <c r="Q117" i="7" s="1"/>
  <c r="O118" i="7"/>
  <c r="Q118" i="7" s="1"/>
  <c r="O124" i="7"/>
  <c r="Q124" i="7" s="1"/>
  <c r="O119" i="7"/>
  <c r="Q119" i="7" s="1"/>
  <c r="O120" i="7"/>
  <c r="Q120" i="7" s="1"/>
  <c r="O132" i="7"/>
  <c r="Q132" i="7" s="1"/>
  <c r="O123" i="7"/>
  <c r="Q123" i="7" s="1"/>
  <c r="O122" i="7"/>
  <c r="Q122" i="7" s="1"/>
  <c r="O131" i="7"/>
  <c r="Q131" i="7" s="1"/>
  <c r="O137" i="7"/>
  <c r="Q137" i="7" s="1"/>
  <c r="O134" i="7"/>
  <c r="Q134" i="7" s="1"/>
  <c r="O127" i="7"/>
  <c r="Q127" i="7" s="1"/>
  <c r="O126" i="7"/>
  <c r="Q126" i="7" s="1"/>
  <c r="O129" i="7"/>
  <c r="Q129" i="7" s="1"/>
  <c r="O125" i="7"/>
  <c r="Q125" i="7" s="1"/>
  <c r="O136" i="7"/>
  <c r="Q136" i="7" s="1"/>
  <c r="O135" i="7"/>
  <c r="Q135" i="7" s="1"/>
  <c r="O128" i="7"/>
  <c r="Q128" i="7" s="1"/>
  <c r="O138" i="7"/>
  <c r="Q138" i="7" s="1"/>
  <c r="O121" i="7"/>
  <c r="Q121" i="7" s="1"/>
  <c r="O133" i="7"/>
  <c r="Q133" i="7" s="1"/>
  <c r="O139" i="7"/>
  <c r="Q139" i="7" s="1"/>
  <c r="O64" i="7"/>
  <c r="Q64" i="7" s="1"/>
  <c r="O65" i="7"/>
  <c r="Q65" i="7" s="1"/>
  <c r="O66" i="7"/>
  <c r="Q66" i="7" s="1"/>
  <c r="O67" i="7"/>
  <c r="Q67" i="7" s="1"/>
  <c r="O68" i="7"/>
  <c r="Q68" i="7" s="1"/>
  <c r="O69" i="7"/>
  <c r="Q69" i="7" s="1"/>
  <c r="O70" i="7"/>
  <c r="Q70" i="7" s="1"/>
  <c r="O71" i="7"/>
  <c r="Q71" i="7" s="1"/>
  <c r="O72" i="7"/>
  <c r="Q72" i="7" s="1"/>
  <c r="O73" i="7"/>
  <c r="Q73" i="7" s="1"/>
  <c r="O63" i="7"/>
  <c r="Q63" i="7" s="1"/>
  <c r="M600" i="1"/>
  <c r="M482" i="1"/>
  <c r="V482" i="1" s="1"/>
  <c r="M477" i="1"/>
  <c r="V477" i="1" s="1"/>
  <c r="M425" i="1"/>
  <c r="V425" i="1" s="1"/>
  <c r="M485" i="1"/>
  <c r="V485" i="1" s="1"/>
  <c r="M486" i="1"/>
  <c r="V486" i="1" s="1"/>
  <c r="M483" i="1"/>
  <c r="V483" i="1" s="1"/>
  <c r="M478" i="1"/>
  <c r="V478" i="1" s="1"/>
  <c r="M484" i="1"/>
  <c r="V484" i="1" s="1"/>
  <c r="M479" i="1"/>
  <c r="V479" i="1" s="1"/>
  <c r="M480" i="1"/>
  <c r="V480" i="1" s="1"/>
  <c r="M481" i="1"/>
  <c r="V481" i="1" s="1"/>
  <c r="M103" i="1" l="1"/>
  <c r="M104" i="1"/>
  <c r="M64" i="1"/>
  <c r="M65" i="1"/>
  <c r="M105" i="1"/>
  <c r="M106" i="1"/>
  <c r="M107" i="1"/>
  <c r="M108" i="1"/>
  <c r="M109" i="1"/>
  <c r="M110" i="1"/>
  <c r="M111" i="1"/>
  <c r="M112" i="1"/>
  <c r="M113" i="1"/>
  <c r="M114" i="1"/>
  <c r="M66" i="1"/>
  <c r="M115" i="1"/>
  <c r="M67" i="1"/>
  <c r="M68" i="1"/>
  <c r="M69" i="1"/>
  <c r="M70" i="1"/>
  <c r="M116" i="1"/>
  <c r="M117" i="1"/>
  <c r="M118" i="1"/>
  <c r="M119" i="1"/>
  <c r="M71" i="1"/>
  <c r="M120" i="1"/>
  <c r="M72" i="1"/>
  <c r="M121" i="1"/>
  <c r="M73" i="1"/>
  <c r="M74" i="1"/>
  <c r="M75" i="1"/>
  <c r="M122" i="1"/>
  <c r="M123" i="1"/>
  <c r="M76" i="1"/>
  <c r="M77" i="1"/>
  <c r="M78" i="1"/>
  <c r="M124" i="1"/>
  <c r="M125" i="1"/>
  <c r="M126" i="1"/>
  <c r="M79" i="1"/>
  <c r="M127" i="1"/>
  <c r="M128" i="1"/>
  <c r="M80" i="1"/>
  <c r="M129" i="1"/>
  <c r="M81" i="1"/>
  <c r="M130" i="1"/>
  <c r="M131" i="1"/>
  <c r="M132" i="1"/>
  <c r="M133" i="1"/>
  <c r="M82" i="1"/>
  <c r="M134" i="1"/>
  <c r="M83" i="1"/>
  <c r="M84" i="1"/>
  <c r="M135" i="1"/>
  <c r="M136" i="1"/>
  <c r="M85" i="1"/>
  <c r="M137" i="1"/>
  <c r="M138" i="1"/>
  <c r="M139" i="1"/>
  <c r="M140" i="1"/>
  <c r="M141" i="1"/>
  <c r="M142" i="1"/>
  <c r="M86" i="1"/>
  <c r="M143" i="1"/>
  <c r="M144" i="1"/>
  <c r="M145" i="1"/>
  <c r="M146" i="1"/>
  <c r="M147" i="1"/>
  <c r="M87" i="1"/>
  <c r="M148" i="1"/>
  <c r="M149" i="1"/>
  <c r="M150" i="1"/>
  <c r="M63" i="1"/>
  <c r="M5" i="1"/>
  <c r="M6" i="1"/>
  <c r="M88" i="1"/>
  <c r="M89" i="1"/>
  <c r="M7" i="1"/>
  <c r="M8" i="1"/>
  <c r="M9" i="1"/>
  <c r="M10" i="1"/>
  <c r="M11" i="1"/>
  <c r="M12" i="1"/>
  <c r="M13" i="1"/>
  <c r="M14" i="1"/>
  <c r="M15" i="1"/>
  <c r="M16" i="1"/>
  <c r="M17" i="1"/>
  <c r="M18" i="1"/>
  <c r="M19" i="1"/>
  <c r="M90" i="1"/>
  <c r="M91" i="1"/>
  <c r="M92" i="1"/>
  <c r="M20" i="1"/>
  <c r="M21" i="1"/>
  <c r="M22" i="1"/>
  <c r="M23" i="1"/>
  <c r="M93" i="1"/>
  <c r="M24" i="1"/>
  <c r="M94" i="1"/>
  <c r="M25" i="1"/>
  <c r="M95" i="1"/>
  <c r="M26" i="1"/>
  <c r="M27" i="1"/>
  <c r="M28" i="1"/>
  <c r="M29" i="1"/>
  <c r="M96" i="1"/>
  <c r="M30" i="1"/>
  <c r="M97" i="1"/>
  <c r="M31" i="1"/>
  <c r="M32" i="1"/>
  <c r="M33" i="1"/>
  <c r="M98" i="1"/>
  <c r="M34" i="1"/>
  <c r="M35" i="1"/>
  <c r="M36" i="1"/>
  <c r="M37" i="1"/>
  <c r="M99" i="1"/>
  <c r="M38" i="1"/>
  <c r="M39" i="1"/>
  <c r="M40" i="1"/>
  <c r="M41" i="1"/>
  <c r="M100" i="1"/>
  <c r="M42" i="1"/>
  <c r="M101" i="1"/>
  <c r="M102" i="1"/>
  <c r="M43" i="1"/>
  <c r="M45" i="1"/>
  <c r="M46" i="1"/>
  <c r="M47" i="1"/>
  <c r="M48" i="1"/>
  <c r="M49" i="1"/>
  <c r="M50" i="1"/>
  <c r="M51" i="1"/>
  <c r="M52" i="1"/>
  <c r="M53" i="1"/>
  <c r="M54" i="1"/>
  <c r="M55" i="1"/>
  <c r="M56" i="1"/>
  <c r="M57" i="1"/>
  <c r="M58" i="1"/>
  <c r="M59" i="1"/>
  <c r="M60" i="1"/>
  <c r="M61" i="1"/>
  <c r="M62" i="1"/>
  <c r="M44" i="1"/>
  <c r="M314" i="1"/>
  <c r="M315" i="1"/>
  <c r="M316" i="1"/>
  <c r="M317" i="1"/>
  <c r="M318" i="1"/>
  <c r="M319" i="1"/>
  <c r="M320" i="1"/>
  <c r="M321" i="1"/>
  <c r="M322" i="1"/>
  <c r="M313"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26" i="1"/>
  <c r="V576" i="1" l="1"/>
  <c r="V578" i="1"/>
  <c r="V579" i="1"/>
  <c r="V577" i="1"/>
  <c r="V262" i="1" l="1"/>
  <c r="V256" i="1"/>
  <c r="V261" i="1"/>
  <c r="V260" i="1"/>
  <c r="V270" i="1"/>
  <c r="V269" i="1"/>
  <c r="V259" i="1"/>
  <c r="V255" i="1"/>
  <c r="V258" i="1"/>
  <c r="V254" i="1"/>
  <c r="V253" i="1"/>
  <c r="V257" i="1"/>
  <c r="M264" i="1"/>
  <c r="V264" i="1" s="1"/>
  <c r="M265" i="1"/>
  <c r="M271" i="1"/>
  <c r="M266" i="1"/>
  <c r="M267" i="1"/>
  <c r="M268" i="1"/>
  <c r="M263" i="1"/>
  <c r="V263" i="1" s="1"/>
  <c r="M258" i="1"/>
  <c r="M259" i="1"/>
  <c r="M270" i="1"/>
  <c r="M260" i="1"/>
  <c r="M261" i="1"/>
  <c r="M262" i="1"/>
  <c r="M257" i="1"/>
  <c r="M254" i="1"/>
  <c r="M255" i="1"/>
  <c r="M269" i="1"/>
  <c r="M256" i="1"/>
  <c r="M253" i="1"/>
  <c r="M419" i="1"/>
  <c r="M418" i="1"/>
  <c r="M299" i="1" l="1"/>
  <c r="M303" i="1"/>
  <c r="M304" i="1"/>
  <c r="M300" i="1"/>
  <c r="M301" i="1"/>
  <c r="M302" i="1"/>
  <c r="M298" i="1"/>
  <c r="M3" i="1"/>
  <c r="M4" i="1"/>
  <c r="M2" i="1"/>
  <c r="M575" i="1" l="1"/>
  <c r="M574" i="1"/>
  <c r="M573" i="1"/>
  <c r="M572" i="1"/>
  <c r="M571" i="1"/>
  <c r="M570" i="1"/>
  <c r="M569" i="1"/>
  <c r="M568" i="1"/>
  <c r="M567" i="1"/>
  <c r="V330" i="1"/>
  <c r="M246" i="1"/>
  <c r="M247" i="1"/>
  <c r="M248" i="1"/>
  <c r="V248" i="1" s="1"/>
  <c r="M251" i="1"/>
  <c r="M252" i="1"/>
  <c r="M249" i="1"/>
  <c r="V249" i="1" s="1"/>
  <c r="M250" i="1"/>
  <c r="V250" i="1" s="1"/>
  <c r="M245" i="1"/>
  <c r="V245" i="1" s="1"/>
  <c r="V247" i="1" l="1"/>
  <c r="V246" i="1"/>
  <c r="M244" i="1"/>
  <c r="M243" i="1"/>
  <c r="M332" i="1"/>
  <c r="M331" i="1"/>
  <c r="M559" i="1" l="1"/>
  <c r="M560" i="1"/>
  <c r="M561" i="1"/>
  <c r="M562" i="1"/>
  <c r="M563" i="1"/>
  <c r="M564" i="1"/>
  <c r="M565" i="1"/>
  <c r="M566" i="1"/>
  <c r="M558" i="1"/>
  <c r="M180" i="1"/>
  <c r="M198" i="1"/>
  <c r="M196" i="1"/>
  <c r="M197" i="1"/>
  <c r="M181" i="1"/>
  <c r="M182" i="1"/>
  <c r="M199" i="1"/>
  <c r="M183" i="1"/>
  <c r="M213" i="1"/>
  <c r="M160" i="1"/>
  <c r="M184" i="1"/>
  <c r="M174" i="1"/>
  <c r="M175" i="1"/>
  <c r="M176" i="1"/>
  <c r="M177" i="1"/>
  <c r="M178" i="1"/>
  <c r="M179" i="1"/>
  <c r="M173" i="1"/>
  <c r="M194" i="1"/>
  <c r="M212" i="1"/>
  <c r="M171" i="1"/>
  <c r="M195" i="1"/>
  <c r="M172" i="1"/>
  <c r="M164" i="1"/>
  <c r="M165" i="1"/>
  <c r="M192" i="1"/>
  <c r="M166" i="1"/>
  <c r="M167" i="1"/>
  <c r="M209" i="1"/>
  <c r="M204" i="1"/>
  <c r="M210" i="1"/>
  <c r="V251" i="1" s="1"/>
  <c r="M168" i="1"/>
  <c r="M205" i="1"/>
  <c r="M169" i="1"/>
  <c r="M211" i="1"/>
  <c r="V252" i="1" s="1"/>
  <c r="M188" i="1"/>
  <c r="M193" i="1"/>
  <c r="M202" i="1"/>
  <c r="M185" i="1"/>
  <c r="M161" i="1"/>
  <c r="M200" i="1"/>
  <c r="M186" i="1"/>
  <c r="M201" i="1"/>
  <c r="M162" i="1"/>
  <c r="M163" i="1"/>
  <c r="M203" i="1"/>
  <c r="M206" i="1"/>
  <c r="M207" i="1"/>
  <c r="M208" i="1"/>
  <c r="M187" i="1"/>
  <c r="M190" i="1"/>
  <c r="M170" i="1"/>
  <c r="M191" i="1"/>
  <c r="M189" i="1"/>
  <c r="M549" i="1" l="1"/>
  <c r="M550" i="1"/>
  <c r="M551" i="1"/>
  <c r="M554" i="1"/>
  <c r="M548" i="1"/>
  <c r="M330" i="1"/>
  <c r="M424" i="1"/>
  <c r="M422" i="1"/>
  <c r="M420" i="1"/>
  <c r="M421" i="1"/>
  <c r="M4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tc={C58A0F1B-AD2B-4F93-AF39-54847A2BA808}</author>
    <author>tc={476F851B-E27E-4FC0-A111-A32743385086}</author>
    <author>tc={E589216F-76E8-40D3-9574-4CD5B94F79FF}</author>
    <author>tc={6E0D0DE3-0359-486E-8AB6-CA98F2BBCA52}</author>
  </authors>
  <commentList>
    <comment ref="I44" authorId="0" shapeId="0" xr:uid="{C58A0F1B-AD2B-4F93-AF39-54847A2BA808}">
      <text>
        <t>[Threaded comment]
Your version of Excel allows you to read this threaded comment; however, any edits to it will get removed if the file is opened in a newer version of Excel. Learn more: https://go.microsoft.com/fwlink/?linkid=870924
Comment:
    Lat/long must be different for Southern and Northern</t>
      </text>
    </comment>
    <comment ref="X253" authorId="1" shapeId="0" xr:uid="{476F851B-E27E-4FC0-A111-A32743385086}">
      <text>
        <t>[Threaded comment]
Your version of Excel allows you to read this threaded comment; however, any edits to it will get removed if the file is opened in a newer version of Excel. Learn more: https://go.microsoft.com/fwlink/?linkid=870924
Comment:
    Ask Ant whether we based abundance base on this figure??? Why is that abundance inc but phenology is earlier</t>
      </text>
    </comment>
    <comment ref="V298" authorId="2" shapeId="0" xr:uid="{E589216F-76E8-40D3-9574-4CD5B94F79FF}">
      <text>
        <t>[Threaded comment]
Your version of Excel allows you to read this threaded comment; however, any edits to it will get removed if the file is opened in a newer version of Excel. Learn more: https://go.microsoft.com/fwlink/?linkid=870924
Comment:
    Review the formula here
Reply:
    Just multiply by 10</t>
      </text>
    </comment>
    <comment ref="X298" authorId="3" shapeId="0" xr:uid="{6E0D0DE3-0359-486E-8AB6-CA98F2BBCA52}">
      <text>
        <t xml:space="preserve">[Threaded comment]
Your version of Excel allows you to read this threaded comment; however, any edits to it will get removed if the file is opened in a newer version of Excel. Learn more: https://go.microsoft.com/fwlink/?linkid=870924
Comment:
    They have a change in abundance with time regression line
Reply:
    Abundance over time is not good estimate for climate change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tc={70078735-ED57-4DC4-9679-9F2936FE9BAC}</author>
    <author>tc={62CB1354-8877-444F-B364-51B89C6F907C}</author>
    <author>tc={C52E734C-F115-43F5-B370-DFF1DF3DA567}</author>
    <author>tc={D0BB13E4-3C83-4DD2-B0C4-1385AD58E332}</author>
    <author>tc={18F0F8FD-8D57-42C3-A93E-318860BF9AFF}</author>
    <author>tc={B5E86053-1D64-4022-B991-EB1366466202}</author>
    <author>tc={07A81D36-4C4F-400C-A962-9ADA08DE18CD}</author>
    <author>tc={E71F3989-6513-46E7-A5E3-7263ADFF39E3}</author>
    <author>tc={B8F35FC1-388E-4448-AAB8-31FC6FE54916}</author>
    <author>tc={5F596EB7-F08F-4F43-8330-6591CB33EEEA}</author>
    <author>tc={494794C6-703D-4919-87AA-811C2AB05BC0}</author>
  </authors>
  <commentList>
    <comment ref="K15" authorId="0" shapeId="0" xr:uid="{70078735-ED57-4DC4-9679-9F2936FE9BAC}">
      <text>
        <t>[Threaded comment]
Your version of Excel allows you to read this threaded comment; however, any edits to it will get removed if the file is opened in a newer version of Excel. Learn more: https://go.microsoft.com/fwlink/?linkid=870924
Comment:
    Can be community composition?</t>
      </text>
    </comment>
    <comment ref="O15" authorId="1" shapeId="0" xr:uid="{62CB1354-8877-444F-B364-51B89C6F907C}">
      <text>
        <t>[Threaded comment]
Your version of Excel allows you to read this threaded comment; however, any edits to it will get removed if the file is opened in a newer version of Excel. Learn more: https://go.microsoft.com/fwlink/?linkid=870924
Comment:
    Not clear what is the overall thermal preference</t>
      </text>
    </comment>
    <comment ref="O16" authorId="2" shapeId="0" xr:uid="{C52E734C-F115-43F5-B370-DFF1DF3DA567}">
      <text>
        <t xml:space="preserve">[Threaded comment]
Your version of Excel allows you to read this threaded comment; however, any edits to it will get removed if the file is opened in a newer version of Excel. Learn more: https://go.microsoft.com/fwlink/?linkid=870924
Comment:
    Analysis used biomass, but disc inferred mostly to copepod </t>
      </text>
    </comment>
    <comment ref="Q44" authorId="3" shapeId="0" xr:uid="{D0BB13E4-3C83-4DD2-B0C4-1385AD58E332}">
      <text>
        <t>[Threaded comment]
Your version of Excel allows you to read this threaded comment; however, any edits to it will get removed if the file is opened in a newer version of Excel. Learn more: https://go.microsoft.com/fwlink/?linkid=870924
Comment:
    Very slight increase</t>
      </text>
    </comment>
    <comment ref="Q48" authorId="4" shapeId="0" xr:uid="{18F0F8FD-8D57-42C3-A93E-318860BF9AFF}">
      <text>
        <t>[Threaded comment]
Your version of Excel allows you to read this threaded comment; however, any edits to it will get removed if the file is opened in a newer version of Excel. Learn more: https://go.microsoft.com/fwlink/?linkid=870924
Comment:
    Very slight decrease</t>
      </text>
    </comment>
    <comment ref="N61" authorId="5" shapeId="0" xr:uid="{B5E86053-1D64-4022-B991-EB1366466202}">
      <text>
        <t>[Threaded comment]
Your version of Excel allows you to read this threaded comment; however, any edits to it will get removed if the file is opened in a newer version of Excel. Learn more: https://go.microsoft.com/fwlink/?linkid=870924
Comment:
    Highlighted bc not specific species, assumed to be oithona similis which is cold-water</t>
      </text>
    </comment>
    <comment ref="Q112" authorId="6" shapeId="0" xr:uid="{07A81D36-4C4F-400C-A962-9ADA08DE18CD}">
      <text>
        <t>[Threaded comment]
Your version of Excel allows you to read this threaded comment; however, any edits to it will get removed if the file is opened in a newer version of Excel. Learn more: https://go.microsoft.com/fwlink/?linkid=870924
Comment:
    Trend is different in respect to PC1 and PC2</t>
      </text>
    </comment>
    <comment ref="A177" authorId="7" shapeId="0" xr:uid="{E71F3989-6513-46E7-A5E3-7263ADFF39E3}">
      <text>
        <t>[Threaded comment]
Your version of Excel allows you to read this threaded comment; however, any edits to it will get removed if the file is opened in a newer version of Excel. Learn more: https://go.microsoft.com/fwlink/?linkid=870924
Comment:
    Recheck the article</t>
      </text>
    </comment>
    <comment ref="T181" authorId="8" shapeId="0" xr:uid="{B8F35FC1-388E-4448-AAB8-31FC6FE54916}">
      <text>
        <t>[Threaded comment]
Your version of Excel allows you to read this threaded comment; however, any edits to it will get removed if the file is opened in a newer version of Excel. Learn more: https://go.microsoft.com/fwlink/?linkid=870924
Comment:
    Unsure about this</t>
      </text>
    </comment>
    <comment ref="T182" authorId="9" shapeId="0" xr:uid="{5F596EB7-F08F-4F43-8330-6591CB33EEEA}">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A183" authorId="10" shapeId="0" xr:uid="{494794C6-703D-4919-87AA-811C2AB05BC0}">
      <text>
        <t>[Threaded comment]
Your version of Excel allows you to read this threaded comment; however, any edits to it will get removed if the file is opened in a newer version of Excel. Learn more: https://go.microsoft.com/fwlink/?linkid=870924
Comment:
    Do we need to break this down?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tc={B9FA9C5E-0E7A-4B22-A81E-0FE98629E483}</author>
    <author>tc={F39E98C4-D9D3-43B8-BFFE-4C57FDA27D86}</author>
  </authors>
  <commentList>
    <comment ref="L1" authorId="0" shapeId="0" xr:uid="{B9FA9C5E-0E7A-4B22-A81E-0FE98629E483}">
      <text>
        <t>[Threaded comment]
Your version of Excel allows you to read this threaded comment; however, any edits to it will get removed if the file is opened in a newer version of Excel. Learn more: https://go.microsoft.com/fwlink/?linkid=870924
Comment:
    Do we even include latitude?</t>
      </text>
    </comment>
    <comment ref="M240" authorId="1" shapeId="0" xr:uid="{F39E98C4-D9D3-43B8-BFFE-4C57FDA27D86}">
      <text>
        <t>[Threaded comment]
Your version of Excel allows you to read this threaded comment; however, any edits to it will get removed if the file is opened in a newer version of Excel. Learn more: https://go.microsoft.com/fwlink/?linkid=870924
Comment:
    Take note of this for the graph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tc={4913466D-C25A-4411-883D-F92F7DBC34A3}</author>
  </authors>
  <commentList>
    <comment ref="W150" authorId="0" shapeId="0" xr:uid="{4913466D-C25A-4411-883D-F92F7DBC34A3}">
      <text>
        <t>[Threaded comment]
Your version of Excel allows you to read this threaded comment; however, any edits to it will get removed if the file is opened in a newer version of Excel. Learn more: https://go.microsoft.com/fwlink/?linkid=870924
Comment:
    More recent values for the other paper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Poloczanska, Elvira (O&amp;A, Dutton Park)</author>
  </authors>
  <commentList>
    <comment ref="A1" authorId="0" shapeId="0" xr:uid="{81A9B1D6-4531-496B-A927-8DEF9EFFA90E}">
      <text>
        <r>
          <rPr>
            <b/>
            <sz val="9"/>
            <color indexed="81"/>
            <rFont val="Tahoma"/>
            <family val="2"/>
          </rPr>
          <t>Poloczanska, Elvira (O&amp;A, Dutton Park):</t>
        </r>
        <r>
          <rPr>
            <sz val="9"/>
            <color indexed="81"/>
            <rFont val="Tahoma"/>
            <family val="2"/>
          </rPr>
          <t xml:space="preserve">
Enter 
Full reference</t>
        </r>
      </text>
    </comment>
    <comment ref="B1" authorId="0" shapeId="0" xr:uid="{91A0A2BF-7AA1-4F73-B642-20904E332F69}">
      <text>
        <r>
          <rPr>
            <b/>
            <sz val="9"/>
            <color indexed="81"/>
            <rFont val="Tahoma"/>
            <family val="2"/>
          </rPr>
          <t>Poloczanska, Elvira (O&amp;A, Dutton Park):</t>
        </r>
        <r>
          <rPr>
            <sz val="9"/>
            <color indexed="81"/>
            <rFont val="Tahoma"/>
            <family val="2"/>
          </rPr>
          <t xml:space="preserve">
Select ocean subregion from list (see IPCC fig for details)
</t>
        </r>
      </text>
    </comment>
    <comment ref="C1" authorId="0" shapeId="0" xr:uid="{2F183CE1-471A-4119-8BAD-B8C7531B03F6}">
      <text>
        <r>
          <rPr>
            <b/>
            <sz val="9"/>
            <color indexed="81"/>
            <rFont val="Tahoma"/>
            <family val="2"/>
          </rPr>
          <t>Poloczanska, Elvira (O&amp;A, Dutton Park):</t>
        </r>
        <r>
          <rPr>
            <sz val="9"/>
            <color indexed="81"/>
            <rFont val="Tahoma"/>
            <family val="2"/>
          </rPr>
          <t xml:space="preserve">
Select taxonomic group</t>
        </r>
      </text>
    </comment>
    <comment ref="D1" authorId="0" shapeId="0" xr:uid="{6EC743E9-BCF7-4237-ADB9-E80A4E90CE23}">
      <text>
        <r>
          <rPr>
            <b/>
            <sz val="9"/>
            <color indexed="81"/>
            <rFont val="Tahoma"/>
            <family val="2"/>
          </rPr>
          <t xml:space="preserve">Poloczanska, Elvira (O&amp;A, Dutton Park):
Enter genus 
</t>
        </r>
      </text>
    </comment>
    <comment ref="G1" authorId="0" shapeId="0" xr:uid="{A833EDC7-4F24-4A19-BBC7-22BA707B3848}">
      <text>
        <r>
          <rPr>
            <b/>
            <sz val="9"/>
            <color indexed="81"/>
            <rFont val="Tahoma"/>
            <family val="2"/>
          </rPr>
          <t>Poloczanska, Elvira (O&amp;A, Dutton Park):</t>
        </r>
        <r>
          <rPr>
            <sz val="9"/>
            <color indexed="81"/>
            <rFont val="Tahoma"/>
            <family val="2"/>
          </rPr>
          <t xml:space="preserve">
First yr in data series </t>
        </r>
      </text>
    </comment>
  </commentList>
</comments>
</file>

<file path=xl/sharedStrings.xml><?xml version="1.0" encoding="utf-8"?>
<sst xmlns="http://schemas.openxmlformats.org/spreadsheetml/2006/main" count="28344" uniqueCount="2088">
  <si>
    <t>Reference</t>
  </si>
  <si>
    <t>RefYear</t>
  </si>
  <si>
    <t>Region</t>
  </si>
  <si>
    <t>Hemisphere</t>
  </si>
  <si>
    <t>Latitude</t>
  </si>
  <si>
    <t>Longitude</t>
  </si>
  <si>
    <t>FirstYear</t>
  </si>
  <si>
    <t>LastYear</t>
  </si>
  <si>
    <t>Duration</t>
  </si>
  <si>
    <t>DataType</t>
  </si>
  <si>
    <t>Subgroup</t>
  </si>
  <si>
    <t>Taxa</t>
  </si>
  <si>
    <t>Species</t>
  </si>
  <si>
    <t>Measure</t>
  </si>
  <si>
    <t>Type</t>
  </si>
  <si>
    <t>InitialDOY</t>
  </si>
  <si>
    <t>Season</t>
  </si>
  <si>
    <t>Consistent</t>
  </si>
  <si>
    <t>Include</t>
  </si>
  <si>
    <t>Author</t>
  </si>
  <si>
    <t>Predictors</t>
  </si>
  <si>
    <t>Explanation</t>
  </si>
  <si>
    <t>Details</t>
  </si>
  <si>
    <t>PhenologyVsPredictorTested</t>
  </si>
  <si>
    <t>Models</t>
  </si>
  <si>
    <t>Chevillot et al. (2017) Toward a phenological mismatch in estuarine pelagic food web? PLoS One 12(3): e0173752</t>
  </si>
  <si>
    <t>Gironde Estuary, France</t>
  </si>
  <si>
    <t xml:space="preserve">Northern </t>
  </si>
  <si>
    <t>Bay of Biscay</t>
  </si>
  <si>
    <t>Peak abundance</t>
  </si>
  <si>
    <t xml:space="preserve">Continuous </t>
  </si>
  <si>
    <t>Eurytemora affinis</t>
  </si>
  <si>
    <t>Acartia bifilosa</t>
  </si>
  <si>
    <t>Acartia tonsa</t>
  </si>
  <si>
    <t xml:space="preserve">Neomysis integer </t>
  </si>
  <si>
    <t>Mesopodopsis slabberi</t>
  </si>
  <si>
    <t>Copepod</t>
  </si>
  <si>
    <t>Mysid</t>
  </si>
  <si>
    <t xml:space="preserve">Phenology </t>
  </si>
  <si>
    <t>Chevillot et al. (2017) Toward a phenological mismatch in estuarine pelagic food web? PLoS One 12(3): e0173755</t>
  </si>
  <si>
    <t>NA</t>
  </si>
  <si>
    <t>NC</t>
  </si>
  <si>
    <t>Y</t>
  </si>
  <si>
    <t>None</t>
  </si>
  <si>
    <t>No</t>
  </si>
  <si>
    <t>Bayesian hierarchical models with hidden Markov process</t>
  </si>
  <si>
    <t>Warming is likely a driver</t>
  </si>
  <si>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S.Fig1</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</si>
  <si>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S.Fig2</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</si>
  <si>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S.Fig3</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</si>
  <si>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S.Fig4</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</si>
  <si>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S.Fig5</t>
    </r>
    <r>
      <rPr>
        <sz val="11"/>
        <color theme="1"/>
        <rFont val="Aptos Narrow"/>
        <family val="2"/>
        <scheme val="minor"/>
      </rPr>
      <t/>
    </r>
  </si>
  <si>
    <t>Spring</t>
  </si>
  <si>
    <t>Summer</t>
  </si>
  <si>
    <t>Autumn</t>
  </si>
  <si>
    <t>Winter</t>
  </si>
  <si>
    <t>Centropages typicus</t>
  </si>
  <si>
    <t>Durant et al. (2019) Contrasting effects of rising temperatures on trophic interactions in marine ecosystems. Scientific Reports 9: 15214</t>
  </si>
  <si>
    <t>NAO, Temp</t>
  </si>
  <si>
    <t>Temp (p = 0.02)</t>
  </si>
  <si>
    <t>LM</t>
  </si>
  <si>
    <t>Burthe et al. (2012) Phenological trends and trophic mismatch across multiple levels of a North Sea pelagic food web. Marine Ecology Progress Series 454: 119-133</t>
  </si>
  <si>
    <t>North Sea</t>
  </si>
  <si>
    <t>Calanus stages I-IV</t>
  </si>
  <si>
    <t>Temora longicornis</t>
  </si>
  <si>
    <t>Calanus finmarchicus</t>
  </si>
  <si>
    <t>Calanus helgolandicus</t>
  </si>
  <si>
    <t>Copepod nauplii</t>
  </si>
  <si>
    <t>Digitised from Figure 3</t>
  </si>
  <si>
    <t>Warming</t>
  </si>
  <si>
    <t>Notes</t>
  </si>
  <si>
    <t>Phenology</t>
  </si>
  <si>
    <t xml:space="preserve">Abundance </t>
  </si>
  <si>
    <t>Ant</t>
  </si>
  <si>
    <t>Kris</t>
  </si>
  <si>
    <t>Link</t>
  </si>
  <si>
    <t>https://doi.org/10.1111/ele.14441</t>
  </si>
  <si>
    <t>https://doi.org/10.1371/journal.pone.0173752</t>
  </si>
  <si>
    <t>https://doi.org/10.1371/journal.pone.0173755</t>
  </si>
  <si>
    <t>https://doi.org/10.1038/s41598-019-51607-w</t>
  </si>
  <si>
    <t>Delta Region, San Francisco Bay</t>
  </si>
  <si>
    <t>Suisun Bay, San Francisco Bay</t>
  </si>
  <si>
    <t>San Pablo Bay, San Francisco Bay</t>
  </si>
  <si>
    <t>Limnoithona</t>
  </si>
  <si>
    <t>Hyperacanthomysis</t>
  </si>
  <si>
    <t>Diaphanosoma</t>
  </si>
  <si>
    <t>Pseudodiaptomus</t>
  </si>
  <si>
    <t>Trichocerca</t>
  </si>
  <si>
    <t>Bosmina</t>
  </si>
  <si>
    <t>Polyarthra</t>
  </si>
  <si>
    <t>Sinocalanus</t>
  </si>
  <si>
    <t>Eurytemora</t>
  </si>
  <si>
    <t>Neomysis</t>
  </si>
  <si>
    <t>Synchaeta</t>
  </si>
  <si>
    <t>Asplanchna</t>
  </si>
  <si>
    <t>Keratella</t>
  </si>
  <si>
    <t>Daphnia</t>
  </si>
  <si>
    <t>Rotifer</t>
  </si>
  <si>
    <t>Cladoceran</t>
  </si>
  <si>
    <t>Acanthocyclops</t>
  </si>
  <si>
    <t>Salinity (main driver); warming</t>
  </si>
  <si>
    <t>Trivariate mixed-effects meta regression model</t>
  </si>
  <si>
    <t>Oithona</t>
  </si>
  <si>
    <t>Acartiella</t>
  </si>
  <si>
    <t>Tortanus</t>
  </si>
  <si>
    <t>Acartia</t>
  </si>
  <si>
    <t>Coordinates obtained using Google Maps; Shift: digitised from Fig. 6 (multiplied slope with 10) as time is based on PT (phenological trend = date of peak abundance)</t>
  </si>
  <si>
    <t>Massachusetts Bay, Massachusetts</t>
  </si>
  <si>
    <t>Cape Cod, Massachusetts</t>
  </si>
  <si>
    <t>Acartia spp.</t>
  </si>
  <si>
    <t>Centropages hamatus</t>
  </si>
  <si>
    <t>Pseudocalanus spp.</t>
  </si>
  <si>
    <t>Centropages spp.</t>
  </si>
  <si>
    <t>Bivalvia</t>
  </si>
  <si>
    <t>Microsetella norvegica</t>
  </si>
  <si>
    <t>Oithona similis</t>
  </si>
  <si>
    <t>Gastropoda</t>
  </si>
  <si>
    <t>Oikopleura dioica</t>
  </si>
  <si>
    <t>McGinty et al. (2011) Variation among northeast Atlantic regions in the responses of zooplankton to climate change: Not all areas follow the same path. Journal of Experimental Marine Biology and Ecology 400: 120–131</t>
  </si>
  <si>
    <t>https://doi.org/10.1016/j.jembe.2011.02.013</t>
  </si>
  <si>
    <t>Irish Sea (IS)</t>
  </si>
  <si>
    <t>Celtic Mixed (CM)</t>
  </si>
  <si>
    <t>Celtic Sea Stratified (CS)</t>
  </si>
  <si>
    <t>Shelf Edge (SE)</t>
  </si>
  <si>
    <t>Warm Temperature (WT)</t>
  </si>
  <si>
    <t>Abyssal South (ABS)</t>
  </si>
  <si>
    <t>Rockall Bank (RB)</t>
  </si>
  <si>
    <t>Rockall Trough (RT)</t>
  </si>
  <si>
    <t>Malin Shelf (MS)</t>
  </si>
  <si>
    <t>GAM</t>
  </si>
  <si>
    <t>Yes</t>
  </si>
  <si>
    <t>https://doi.org/10.1111/fog.12429</t>
  </si>
  <si>
    <t>Gulf of Maine</t>
  </si>
  <si>
    <t>Intermittent</t>
  </si>
  <si>
    <t>Calanus spp.</t>
  </si>
  <si>
    <t xml:space="preserve">Changes in water mass transport </t>
  </si>
  <si>
    <t> https://doi.org/10.3354/meps14796</t>
  </si>
  <si>
    <t xml:space="preserve">Kris </t>
  </si>
  <si>
    <t xml:space="preserve">Bering Sea </t>
  </si>
  <si>
    <t>Neocalanus spp.</t>
  </si>
  <si>
    <t>Wind+temp</t>
  </si>
  <si>
    <t>Warmer T and reduced spring SW wind frequency</t>
  </si>
  <si>
    <t>Consistency: based on Figure 3 whereby an increase in DSI through the years means there are more adult forms in that season over time (suggest earlier phenology)</t>
  </si>
  <si>
    <t>Peak biomass</t>
  </si>
  <si>
    <t xml:space="preserve">Bosmina longispina  </t>
  </si>
  <si>
    <t>Abundance</t>
  </si>
  <si>
    <t>https://doi.org/10.1007/s00227-024-04435-0</t>
  </si>
  <si>
    <t>Northern</t>
  </si>
  <si>
    <t>Storfjärden</t>
  </si>
  <si>
    <r>
      <t xml:space="preserve">Try to get the centroid of the lines of the figure: </t>
    </r>
    <r>
      <rPr>
        <b/>
        <sz val="11"/>
        <color theme="1"/>
        <rFont val="Calibri"/>
        <family val="2"/>
      </rPr>
      <t xml:space="preserve">centroid: sum of the abundance (y value)*the month : divided by the sum of the abunances </t>
    </r>
    <r>
      <rPr>
        <sz val="11"/>
        <color theme="1"/>
        <rFont val="Calibri"/>
        <family val="2"/>
      </rPr>
      <t>=&gt; gives you the month [Edwards and Rochardson: 2004]</t>
    </r>
  </si>
  <si>
    <t>Group</t>
  </si>
  <si>
    <t>Zooplankton</t>
  </si>
  <si>
    <t>Phytoplankton</t>
  </si>
  <si>
    <t>Date Added</t>
  </si>
  <si>
    <t xml:space="preserve">NC </t>
  </si>
  <si>
    <t>InitialDOY: based on Sup p.4 using observed data point; Shift: based on Sup p. 4 (imagine a trendline and then get the first and last point)</t>
  </si>
  <si>
    <t>Shift: based on fig 5 by drawing a trendline among the trend and then getting the first and last point divided by the duration of that line or points; Long/lat: digitised from fig 2</t>
  </si>
  <si>
    <t>Shift: based on fig 5 by drawing a trendline among the trend and then getting the first and last point divided by the duration of that line or points; Long/lat: digitised from fig 3</t>
  </si>
  <si>
    <t>Shift: based on fig 5 by drawing a trendline among the trend and then getting the first and last point divided by the duration of that line or points; Long/lat: digitised from fig 4</t>
  </si>
  <si>
    <t>Shift: based on fig 5 by drawing a trendline among the trend and then getting the first and last point divided by the duration of that line or points; Long/lat: digitised from fig 5</t>
  </si>
  <si>
    <t>Shift: based on fig 5 by drawing a trendline among the trend and then getting the first and last point divided by the duration of that line or points; Long/lat: digitised from fig 6</t>
  </si>
  <si>
    <t>Shift: based on fig 5 by drawing a trendline among the trend and then getting the first and last point divided by the duration of that line or points; Long/lat: digitised from fig 7</t>
  </si>
  <si>
    <t>Shift: based on fig 5 by drawing a trendline among the trend and then getting the first and last point divided by the duration of that line or points; Long/lat: digitised from fig 9</t>
  </si>
  <si>
    <t>Shift: based on fig 5 by drawing a trendline among the trend and then getting the first and last point divided by the duration of that line or points; Long/lat: digitised from fig 10</t>
  </si>
  <si>
    <t>Shift: based on fig 5 by drawing a trendline among the trend and then getting the first and last point divided by the duration of that line or points; Long/lat: digitised from fig 11</t>
  </si>
  <si>
    <t>E. affinis adult</t>
  </si>
  <si>
    <t>E. affinis copepodite</t>
  </si>
  <si>
    <t>T. longicornis adult</t>
  </si>
  <si>
    <t>T. longicornis copepodite</t>
  </si>
  <si>
    <t>Acartia spp. copepodite</t>
  </si>
  <si>
    <t>Acartia spp. adult</t>
  </si>
  <si>
    <t xml:space="preserve">Shift: Digitised from Figure 4. Obtained by deteriming the start of season - DOY - of the left side of the left regression line and also the start of season of the right side of the right regression line; InitialDOY: using the left side of the left regression line </t>
  </si>
  <si>
    <t>Warmer years and earlier ice-break up</t>
  </si>
  <si>
    <t>Phenology; Change in Sea Ice</t>
  </si>
  <si>
    <t>T and ice</t>
  </si>
  <si>
    <t>Skjoldal, H. R., Eriksen, E., &amp; Gjøsæter, H. (2022). Size-fractioned zooplankton biomass in the Barents Sea: Spatial patterns and temporal variations during three decades of warming and strong fluctuations of the capelin stock (1989–2020). Progress in Oceanography, 206, 102852. https://doi.org/10.1016/j.pocean.2022.102852</t>
  </si>
  <si>
    <t>https://doi.org/10.1016/j.pocean.2022.102852</t>
  </si>
  <si>
    <t>Barents Sea</t>
  </si>
  <si>
    <t>Zooplankton biomass</t>
  </si>
  <si>
    <t>Four decades of warming</t>
  </si>
  <si>
    <t>Consistency: based on Fig. 5</t>
  </si>
  <si>
    <t>Copepods</t>
  </si>
  <si>
    <t>Chen, K. S., Petrik, C. M., Asch, R. G., Thompson, A. R., &amp; Auth, T. D. (2025). Continuing Long‐Term Shifts in Larval Fish Phenology in the Southern California Current Ecosystem Are Matched by Rapid Advances in the North. Global Change Biology, 31(3). https://doi.org/10.1111/gcb.70141</t>
  </si>
  <si>
    <t>https://doi.org/10.1111/gcb.70141</t>
  </si>
  <si>
    <t>Southern California Current Ecosystem</t>
  </si>
  <si>
    <t>Northern, Southern California Current Ecosystem</t>
  </si>
  <si>
    <t>Southern, California Current Ecosystem</t>
  </si>
  <si>
    <t>Long/lat: estimated from Fig. 1; Shift: digitised from Fig. 4 using AI</t>
  </si>
  <si>
    <t xml:space="preserve">Likely attributed to T variability </t>
  </si>
  <si>
    <t>Full reference</t>
  </si>
  <si>
    <t>Ocean Region</t>
  </si>
  <si>
    <t>Start Year</t>
  </si>
  <si>
    <t>Timespan</t>
  </si>
  <si>
    <t>Shift</t>
  </si>
  <si>
    <t>Observation</t>
  </si>
  <si>
    <t>Rate</t>
  </si>
  <si>
    <t>Consistency</t>
  </si>
  <si>
    <r>
      <t xml:space="preserve">Costello, J.H et al. (2006). A physical-biological interaction underlying variable phenological responses to climate change by coastal zooplankton. </t>
    </r>
    <r>
      <rPr>
        <i/>
        <sz val="11"/>
        <rFont val="Aptos Narrow"/>
        <family val="2"/>
        <scheme val="minor"/>
      </rPr>
      <t>Journal of Plankton Research</t>
    </r>
    <r>
      <rPr>
        <sz val="11"/>
        <rFont val="Aptos Narrow"/>
        <family val="2"/>
        <scheme val="minor"/>
      </rPr>
      <t xml:space="preserve"> 28:1099-1105</t>
    </r>
  </si>
  <si>
    <t>North Pacific HLSBS west</t>
  </si>
  <si>
    <t>Zooplankton - holo</t>
  </si>
  <si>
    <t>Mnemiopsis leidyi</t>
  </si>
  <si>
    <t>Advance</t>
  </si>
  <si>
    <t>First appearance</t>
  </si>
  <si>
    <r>
      <t xml:space="preserve">Edwards, M. and A.J. Richardson (2004). Impact of climate change on marine pelagic phenology and trophic mismatch. </t>
    </r>
    <r>
      <rPr>
        <i/>
        <sz val="11"/>
        <rFont val="Aptos Narrow"/>
        <family val="2"/>
        <scheme val="minor"/>
      </rPr>
      <t>Nature</t>
    </r>
    <r>
      <rPr>
        <sz val="11"/>
        <rFont val="Aptos Narrow"/>
        <family val="2"/>
        <scheme val="minor"/>
      </rPr>
      <t xml:space="preserve"> 430: 881-884.</t>
    </r>
  </si>
  <si>
    <t>North Atlantic HLSBS east</t>
  </si>
  <si>
    <t>Zooplankton - mero</t>
  </si>
  <si>
    <t>Larval bony fish</t>
  </si>
  <si>
    <t>centroid month</t>
  </si>
  <si>
    <t>Echinoderms</t>
  </si>
  <si>
    <t>Crabs and shrimps</t>
  </si>
  <si>
    <t>Benthic molluscs</t>
  </si>
  <si>
    <t>Bryozoans</t>
  </si>
  <si>
    <t>Barnacles</t>
  </si>
  <si>
    <t>Mysids and amphipods</t>
  </si>
  <si>
    <t>Delay</t>
  </si>
  <si>
    <t>Equivocal</t>
  </si>
  <si>
    <t>Pteropods</t>
  </si>
  <si>
    <t>Diatoms</t>
  </si>
  <si>
    <r>
      <t xml:space="preserve">Schluter, M.H. et al. (2010). Phenological shifts in three interacting zooplankton groups in relation to climate change. </t>
    </r>
    <r>
      <rPr>
        <i/>
        <sz val="11"/>
        <rFont val="Aptos Narrow"/>
        <family val="2"/>
        <scheme val="minor"/>
      </rPr>
      <t>Global Change Biology</t>
    </r>
    <r>
      <rPr>
        <sz val="11"/>
        <rFont val="Aptos Narrow"/>
        <family val="2"/>
        <scheme val="minor"/>
      </rPr>
      <t xml:space="preserve"> 16:3144-3153</t>
    </r>
  </si>
  <si>
    <t>Beroe gracilis</t>
  </si>
  <si>
    <t>start of bloom</t>
  </si>
  <si>
    <t>Pleurobrachia pileus</t>
  </si>
  <si>
    <t>Copepod assemblage</t>
  </si>
  <si>
    <t>No change</t>
  </si>
  <si>
    <r>
      <t xml:space="preserve">Mackas, D.L. et al. (1998). Interdecadal variation in developmental timing of </t>
    </r>
    <r>
      <rPr>
        <i/>
        <sz val="11"/>
        <rFont val="Aptos Narrow"/>
        <family val="2"/>
        <scheme val="minor"/>
      </rPr>
      <t xml:space="preserve">Neocalanus plumchrus </t>
    </r>
    <r>
      <rPr>
        <sz val="11"/>
        <rFont val="Aptos Narrow"/>
        <family val="2"/>
        <scheme val="minor"/>
      </rPr>
      <t xml:space="preserve">populations at Ocean Station P in the subarctic North Pacific. </t>
    </r>
    <r>
      <rPr>
        <i/>
        <sz val="11"/>
        <rFont val="Aptos Narrow"/>
        <family val="2"/>
        <scheme val="minor"/>
      </rPr>
      <t xml:space="preserve">Canadian Journal of Fisheries and Aquatic Sciences </t>
    </r>
    <r>
      <rPr>
        <sz val="11"/>
        <rFont val="Aptos Narrow"/>
        <family val="2"/>
        <scheme val="minor"/>
      </rPr>
      <t>55: 1878-1893</t>
    </r>
  </si>
  <si>
    <t>North Atlantic HLSBS west</t>
  </si>
  <si>
    <t>Neocalanus plumchrus</t>
  </si>
  <si>
    <t>timing of peak biomass</t>
  </si>
  <si>
    <r>
      <t xml:space="preserve">Bertram, D.F. et al. (2001). The seasonal cycle revisited: interannual variation and ecosystem consequences.  </t>
    </r>
    <r>
      <rPr>
        <i/>
        <sz val="11"/>
        <rFont val="Aptos Narrow"/>
        <family val="2"/>
        <scheme val="minor"/>
      </rPr>
      <t>Progress in Oceanography</t>
    </r>
    <r>
      <rPr>
        <sz val="11"/>
        <rFont val="Aptos Narrow"/>
        <family val="2"/>
        <scheme val="minor"/>
      </rPr>
      <t xml:space="preserve"> 49: 283-307.</t>
    </r>
  </si>
  <si>
    <t>North Pacific HLSBS east</t>
  </si>
  <si>
    <t>Date of maximum biomass</t>
  </si>
  <si>
    <r>
      <t xml:space="preserve">Greve, W et al. (2004). Helgoland Roads meso- and macrozooplankton time-series 1974 to 2004: lessons from 30 years of single spot, high frequency sampling at the only off-shore island of the North Sea. </t>
    </r>
    <r>
      <rPr>
        <i/>
        <sz val="11"/>
        <rFont val="Aptos Narrow"/>
        <family val="2"/>
        <scheme val="minor"/>
      </rPr>
      <t>Helgoland Marine Research</t>
    </r>
    <r>
      <rPr>
        <sz val="11"/>
        <rFont val="Aptos Narrow"/>
        <family val="2"/>
        <scheme val="minor"/>
      </rPr>
      <t xml:space="preserve"> 58:274-288</t>
    </r>
  </si>
  <si>
    <t>Evadne spp.</t>
  </si>
  <si>
    <t>Numbers per m3 converted to middle of season</t>
  </si>
  <si>
    <r>
      <t>Greve, W. et al. (1996). Biocoenotic changes of the zooplankton in the German Bight: the possible effects of eutrophication and climate.</t>
    </r>
    <r>
      <rPr>
        <i/>
        <sz val="11"/>
        <rFont val="Aptos Narrow"/>
        <family val="2"/>
        <scheme val="minor"/>
      </rPr>
      <t xml:space="preserve"> ICES Journal of Marine Science</t>
    </r>
    <r>
      <rPr>
        <sz val="11"/>
        <rFont val="Aptos Narrow"/>
        <family val="2"/>
        <scheme val="minor"/>
      </rPr>
      <t>. 53: 951-956.</t>
    </r>
  </si>
  <si>
    <t>Month of maximum abundance</t>
  </si>
  <si>
    <t>Actinotrocha</t>
  </si>
  <si>
    <t>Aglantha digitale</t>
  </si>
  <si>
    <t>Alaurina spp.</t>
  </si>
  <si>
    <t>Arachnactes</t>
  </si>
  <si>
    <t>Asterias rubens Bip.</t>
  </si>
  <si>
    <t>Carcinus maenas (zoea)</t>
  </si>
  <si>
    <t>Cirripede larvae</t>
  </si>
  <si>
    <t>Crangonidae</t>
  </si>
  <si>
    <t>Cyphonautes</t>
  </si>
  <si>
    <t>Echinocardium cordatum</t>
  </si>
  <si>
    <t>Fish eggs</t>
  </si>
  <si>
    <t>Galathea spp. (zoea)</t>
  </si>
  <si>
    <t>Gastropoda (Veliger)</t>
  </si>
  <si>
    <t>Lanice conchilega</t>
  </si>
  <si>
    <t>Liocarcinus spp. (zoea)</t>
  </si>
  <si>
    <t>Magelona spp.</t>
  </si>
  <si>
    <t>Ophiura spp.</t>
  </si>
  <si>
    <t>Para-pseudocalanus spp.</t>
  </si>
  <si>
    <t>Podon spp.</t>
  </si>
  <si>
    <t>Sagitta spp.</t>
  </si>
  <si>
    <t>Temora longicaudata</t>
  </si>
  <si>
    <t>Start of season</t>
  </si>
  <si>
    <t>Fritillaria borealis</t>
  </si>
  <si>
    <t>Lamellibranchia larvae</t>
  </si>
  <si>
    <t>Obelia spp.</t>
  </si>
  <si>
    <t>Pagurus spp. (zoea)</t>
  </si>
  <si>
    <t>Paramysis spp.</t>
  </si>
  <si>
    <t>Spioniden Metatrocha</t>
  </si>
  <si>
    <t>Conversi A. et al. (2009) Gulf of Trieste: a changing ecosystem. Journal of Geophysical Research - Oceans. Vol 114, C03S90</t>
  </si>
  <si>
    <t>Mediterranean Sea</t>
  </si>
  <si>
    <t>Peak Bloom</t>
  </si>
  <si>
    <t>Clausocalanus spp.</t>
  </si>
  <si>
    <t>Ctenocalanus vanus</t>
  </si>
  <si>
    <t>Paracalanus parvus</t>
  </si>
  <si>
    <t>Pseudocalanus elongat</t>
  </si>
  <si>
    <t>Corycaeus spp.b</t>
  </si>
  <si>
    <t>autumn</t>
  </si>
  <si>
    <t>Euterpina acutifrons</t>
  </si>
  <si>
    <t>Oncaea spp.</t>
  </si>
  <si>
    <t>SA</t>
  </si>
  <si>
    <t>Usov N. et al. (2013) Every species is good in its season: Do the shifts in the annual temperature dynamics affect the phenology of the zooplankton species in the White Sea? Hydrobiologia 706:11-33</t>
  </si>
  <si>
    <t>Arctic east</t>
  </si>
  <si>
    <t>Calanus glacialis</t>
  </si>
  <si>
    <t>First appearance juveniles</t>
  </si>
  <si>
    <t>Acartia longiremis</t>
  </si>
  <si>
    <t>Evadne nordmanni</t>
  </si>
  <si>
    <r>
      <t xml:space="preserve">Asch R.G. (2015) Climate change and decadal shifts in the phenology of larval fishes in the California Current ecosystem. </t>
    </r>
    <r>
      <rPr>
        <i/>
        <sz val="11"/>
        <rFont val="Aptos Narrow"/>
        <family val="2"/>
        <scheme val="minor"/>
      </rPr>
      <t>Proceedings of the National Academy of Sciences of the United States of America</t>
    </r>
    <r>
      <rPr>
        <sz val="11"/>
        <rFont val="Aptos Narrow"/>
        <family val="2"/>
        <scheme val="minor"/>
      </rPr>
      <t xml:space="preserve"> 112:E4065-E4074.</t>
    </r>
  </si>
  <si>
    <t>California Current EBUE</t>
  </si>
  <si>
    <t>Engraulis mordax</t>
  </si>
  <si>
    <t>Peak larval abundance</t>
  </si>
  <si>
    <t>Sardinops sagax</t>
  </si>
  <si>
    <t>Argentina sialis</t>
  </si>
  <si>
    <t>Bathylagus pacificus</t>
  </si>
  <si>
    <t>Bathylagus wesethi</t>
  </si>
  <si>
    <t>Leuroglossus stilbius</t>
  </si>
  <si>
    <t>Cyclothone signata</t>
  </si>
  <si>
    <t>Argyropelecus sladeni</t>
  </si>
  <si>
    <t>Danaphos oculatus</t>
  </si>
  <si>
    <t>Vinciguerria lucetia</t>
  </si>
  <si>
    <t>Chauliodus macouni</t>
  </si>
  <si>
    <t>Idiacanthus antrostomus</t>
  </si>
  <si>
    <t>Stomias atriventer</t>
  </si>
  <si>
    <t>Lestidiops ringens</t>
  </si>
  <si>
    <t>Ceratoscopelus townsendi</t>
  </si>
  <si>
    <t>Diogenichthys attanticus</t>
  </si>
  <si>
    <t>Nannobrachium regale</t>
  </si>
  <si>
    <t>Nannobrachium ritteri</t>
  </si>
  <si>
    <t>Protomyctophum crockeri</t>
  </si>
  <si>
    <t>Stenobrachius leucopsarus</t>
  </si>
  <si>
    <t>Symbolophorus californiensis</t>
  </si>
  <si>
    <t>Tarletonbeania crenularis</t>
  </si>
  <si>
    <t>Triphoturus mexicanus</t>
  </si>
  <si>
    <t>Merluccius productus</t>
  </si>
  <si>
    <t>Melamphaes lugubris</t>
  </si>
  <si>
    <t>Sebastes aurora</t>
  </si>
  <si>
    <t>Sebastes diploproa</t>
  </si>
  <si>
    <t>Sebastes goodei</t>
  </si>
  <si>
    <t>Sebastes jordani</t>
  </si>
  <si>
    <t>Sebastes paucispinis</t>
  </si>
  <si>
    <t>Trachurus symmetricus</t>
  </si>
  <si>
    <t>Chromis punctipinnis</t>
  </si>
  <si>
    <t>Oxyjulis californica</t>
  </si>
  <si>
    <t>Scomber japonicus</t>
  </si>
  <si>
    <t>Icichthys lockingtoni</t>
  </si>
  <si>
    <t>Tetragonurus cuvieri</t>
  </si>
  <si>
    <t>Citharichthys sordidus</t>
  </si>
  <si>
    <t>Citharichthys stigmaeus</t>
  </si>
  <si>
    <t>Paralichthys californicus</t>
  </si>
  <si>
    <t>Lyopsetta exilis</t>
  </si>
  <si>
    <t>Parophrys vetulus</t>
  </si>
  <si>
    <t>Pleuronichthys verticalis</t>
  </si>
  <si>
    <r>
      <t xml:space="preserve">Hinder, S. L. et al. (2012). Long-term changes in abundance and distribution of microzooplankton in the NE Atlantic and North Sea. </t>
    </r>
    <r>
      <rPr>
        <i/>
        <u/>
        <sz val="11"/>
        <rFont val="Aptos Narrow"/>
        <family val="2"/>
        <scheme val="minor"/>
      </rPr>
      <t>Journal of Plankton Research</t>
    </r>
    <r>
      <rPr>
        <sz val="11"/>
        <rFont val="Aptos Narrow"/>
        <family val="2"/>
        <scheme val="minor"/>
      </rPr>
      <t xml:space="preserve"> </t>
    </r>
    <r>
      <rPr>
        <b/>
        <sz val="11"/>
        <rFont val="Aptos Narrow"/>
        <family val="2"/>
        <scheme val="minor"/>
      </rPr>
      <t>34</t>
    </r>
    <r>
      <rPr>
        <sz val="11"/>
        <rFont val="Aptos Narrow"/>
        <family val="2"/>
        <scheme val="minor"/>
      </rPr>
      <t>(1): 83-91.</t>
    </r>
  </si>
  <si>
    <t>tintinnid</t>
  </si>
  <si>
    <t>Peak bloom</t>
  </si>
  <si>
    <t>Range edge</t>
  </si>
  <si>
    <r>
      <t>Beaugrand, G. et al. (2009). Rapid biogeographical plankton shifts in the North Atlantic Ocean.</t>
    </r>
    <r>
      <rPr>
        <i/>
        <sz val="11"/>
        <color theme="1"/>
        <rFont val="Aptos Narrow"/>
        <family val="2"/>
        <scheme val="minor"/>
      </rPr>
      <t xml:space="preserve"> Global Change Biology</t>
    </r>
    <r>
      <rPr>
        <sz val="11"/>
        <color theme="1"/>
        <rFont val="Aptos Narrow"/>
        <family val="2"/>
        <scheme val="minor"/>
      </rPr>
      <t xml:space="preserve"> 15: 1790-1803</t>
    </r>
  </si>
  <si>
    <t>Calanoides carinatus</t>
  </si>
  <si>
    <t>Leading</t>
  </si>
  <si>
    <t>expansion</t>
  </si>
  <si>
    <t>Undeuchaeta major</t>
  </si>
  <si>
    <t>Euchaeta acuta</t>
  </si>
  <si>
    <t>Aetideus armatus</t>
  </si>
  <si>
    <t>Trailing</t>
  </si>
  <si>
    <t>contraction</t>
  </si>
  <si>
    <t>Heterohabdus norvegicus</t>
  </si>
  <si>
    <t>Calanus hyperboreus</t>
  </si>
  <si>
    <t>Isias clavipes</t>
  </si>
  <si>
    <r>
      <t xml:space="preserve">Bonnet et al. (2005). An overview of </t>
    </r>
    <r>
      <rPr>
        <i/>
        <sz val="11"/>
        <color theme="1"/>
        <rFont val="Aptos Narrow"/>
        <family val="2"/>
        <scheme val="minor"/>
      </rPr>
      <t>Calanus helgolandicus</t>
    </r>
    <r>
      <rPr>
        <sz val="11"/>
        <color theme="1"/>
        <rFont val="Aptos Narrow"/>
        <family val="2"/>
        <scheme val="minor"/>
      </rPr>
      <t xml:space="preserve"> ecology in European waters. </t>
    </r>
    <r>
      <rPr>
        <i/>
        <sz val="11"/>
        <color theme="1"/>
        <rFont val="Aptos Narrow"/>
        <family val="2"/>
        <scheme val="minor"/>
      </rPr>
      <t>Progress in Oceanography</t>
    </r>
    <r>
      <rPr>
        <sz val="11"/>
        <color theme="1"/>
        <rFont val="Aptos Narrow"/>
        <family val="2"/>
        <scheme val="minor"/>
      </rPr>
      <t xml:space="preserve"> 65: 1-53</t>
    </r>
  </si>
  <si>
    <t>Centre</t>
  </si>
  <si>
    <r>
      <t xml:space="preserve">Cubillos, J.C. et al. (2007). Calcification morphotypes of the coccolithophorid </t>
    </r>
    <r>
      <rPr>
        <i/>
        <sz val="11"/>
        <color theme="1"/>
        <rFont val="Aptos Narrow"/>
        <family val="2"/>
        <scheme val="minor"/>
      </rPr>
      <t xml:space="preserve">Emiliania huxleyi </t>
    </r>
    <r>
      <rPr>
        <sz val="11"/>
        <color theme="1"/>
        <rFont val="Aptos Narrow"/>
        <family val="2"/>
        <scheme val="minor"/>
      </rPr>
      <t xml:space="preserve"> in the Southern Ocean: changes in 2001 to 2006 compared to historical data. Marine Ecology Progress Series 348:47-54</t>
    </r>
  </si>
  <si>
    <t>Southern Ocean east</t>
  </si>
  <si>
    <t>Emiliania huxleyi</t>
  </si>
  <si>
    <r>
      <t xml:space="preserve">Hallegraeff G. et al. (2008). Recent range expansion of the red-tide dinoflagellate </t>
    </r>
    <r>
      <rPr>
        <i/>
        <sz val="11"/>
        <color theme="1"/>
        <rFont val="Aptos Narrow"/>
        <family val="2"/>
        <scheme val="minor"/>
      </rPr>
      <t>Noctiluca scintillans</t>
    </r>
    <r>
      <rPr>
        <sz val="11"/>
        <color theme="1"/>
        <rFont val="Aptos Narrow"/>
        <family val="2"/>
        <scheme val="minor"/>
      </rPr>
      <t xml:space="preserve"> in Australian coastal waters. </t>
    </r>
    <r>
      <rPr>
        <i/>
        <sz val="11"/>
        <color theme="1"/>
        <rFont val="Aptos Narrow"/>
        <family val="2"/>
        <scheme val="minor"/>
      </rPr>
      <t>IOC-UNESCO Algae Newsletter</t>
    </r>
    <r>
      <rPr>
        <sz val="11"/>
        <color theme="1"/>
        <rFont val="Aptos Narrow"/>
        <family val="2"/>
        <scheme val="minor"/>
      </rPr>
      <t xml:space="preserve"> 38:10-11.</t>
    </r>
  </si>
  <si>
    <t>South Pacific HLSBS west</t>
  </si>
  <si>
    <t>Noctiluca scintillans</t>
  </si>
  <si>
    <r>
      <t xml:space="preserve">Hays, G.C. et al. (2005). Climate change and marine plankton. </t>
    </r>
    <r>
      <rPr>
        <i/>
        <sz val="11"/>
        <color theme="1"/>
        <rFont val="Aptos Narrow"/>
        <family val="2"/>
        <scheme val="minor"/>
      </rPr>
      <t xml:space="preserve">Trends in Ecology and Evolution </t>
    </r>
    <r>
      <rPr>
        <sz val="11"/>
        <color theme="1"/>
        <rFont val="Aptos Narrow"/>
        <family val="2"/>
        <scheme val="minor"/>
      </rPr>
      <t>20: 337-344</t>
    </r>
  </si>
  <si>
    <t>Ceratium trichoceros</t>
  </si>
  <si>
    <r>
      <t xml:space="preserve">Hsieh, C. et al. (2008). Spatial analysis shows that fishing enhances the climatic sensitivity of marine fishes. </t>
    </r>
    <r>
      <rPr>
        <i/>
        <sz val="11"/>
        <color theme="1"/>
        <rFont val="Aptos Narrow"/>
        <family val="2"/>
        <scheme val="minor"/>
      </rPr>
      <t>Canadian Journal of Fisheries and Aquatic Science</t>
    </r>
    <r>
      <rPr>
        <sz val="11"/>
        <color theme="1"/>
        <rFont val="Aptos Narrow"/>
        <family val="2"/>
        <scheme val="minor"/>
      </rPr>
      <t>s 65: 947-961</t>
    </r>
  </si>
  <si>
    <t>Hippoglossina stomata</t>
  </si>
  <si>
    <t>Ophidion scrippsae</t>
  </si>
  <si>
    <t>Microstomus pacificus</t>
  </si>
  <si>
    <t>Cololabis saira</t>
  </si>
  <si>
    <t>Trachipterus altivelis</t>
  </si>
  <si>
    <t>Paralabrax clathratus</t>
  </si>
  <si>
    <t>Chromis punctipinnus</t>
  </si>
  <si>
    <t>Sphyraena argentea</t>
  </si>
  <si>
    <t>Hypsoblennius jenkins</t>
  </si>
  <si>
    <t>no change</t>
  </si>
  <si>
    <t>Symphurus atricaudus</t>
  </si>
  <si>
    <t>Zaniolepis frenata</t>
  </si>
  <si>
    <t>Oxylebius pictus</t>
  </si>
  <si>
    <t>Scorpaenichthys marmoratus</t>
  </si>
  <si>
    <r>
      <t xml:space="preserve">Lindley JA and Daykin S. (2005). Variations in the distributions of </t>
    </r>
    <r>
      <rPr>
        <i/>
        <sz val="11"/>
        <color theme="1"/>
        <rFont val="Aptos Narrow"/>
        <family val="2"/>
        <scheme val="minor"/>
      </rPr>
      <t>Centropages chierchiae</t>
    </r>
    <r>
      <rPr>
        <sz val="11"/>
        <color theme="1"/>
        <rFont val="Aptos Narrow"/>
        <family val="2"/>
        <scheme val="minor"/>
      </rPr>
      <t xml:space="preserve"> and </t>
    </r>
    <r>
      <rPr>
        <i/>
        <sz val="11"/>
        <color theme="1"/>
        <rFont val="Aptos Narrow"/>
        <family val="2"/>
        <scheme val="minor"/>
      </rPr>
      <t>Temora stylifera</t>
    </r>
    <r>
      <rPr>
        <sz val="11"/>
        <color theme="1"/>
        <rFont val="Aptos Narrow"/>
        <family val="2"/>
        <scheme val="minor"/>
      </rPr>
      <t xml:space="preserve"> (Copepoda: Calanoida) in the north-eastern Atlantic Ocean and western European shelf waters.</t>
    </r>
    <r>
      <rPr>
        <i/>
        <sz val="11"/>
        <color theme="1"/>
        <rFont val="Aptos Narrow"/>
        <family val="2"/>
        <scheme val="minor"/>
      </rPr>
      <t xml:space="preserve"> ICES Journal of Marine Science</t>
    </r>
    <r>
      <rPr>
        <sz val="11"/>
        <color theme="1"/>
        <rFont val="Aptos Narrow"/>
        <family val="2"/>
        <scheme val="minor"/>
      </rPr>
      <t xml:space="preserve"> 62: 869-877.</t>
    </r>
  </si>
  <si>
    <t>Temora stylifera</t>
  </si>
  <si>
    <t>Centropages chierchiae</t>
  </si>
  <si>
    <t>Kingdom</t>
  </si>
  <si>
    <t>Phylum</t>
  </si>
  <si>
    <t>Order</t>
  </si>
  <si>
    <t>Class</t>
  </si>
  <si>
    <t>Family</t>
  </si>
  <si>
    <t>Genus</t>
  </si>
  <si>
    <t>Ecosystem</t>
  </si>
  <si>
    <t>Gradient</t>
  </si>
  <si>
    <t>Position</t>
  </si>
  <si>
    <t>ShiftR</t>
  </si>
  <si>
    <t>Unit</t>
  </si>
  <si>
    <t>PrAb</t>
  </si>
  <si>
    <t>Sampling</t>
  </si>
  <si>
    <t>Grain</t>
  </si>
  <si>
    <t>Signif</t>
  </si>
  <si>
    <t>Quality</t>
  </si>
  <si>
    <t>Start</t>
  </si>
  <si>
    <t>Source</t>
  </si>
  <si>
    <t>Animalia</t>
  </si>
  <si>
    <t>Arthropoda</t>
  </si>
  <si>
    <t>Decapoda</t>
  </si>
  <si>
    <t>Malacostraca</t>
  </si>
  <si>
    <t>Majidae</t>
  </si>
  <si>
    <t>Chionoecetes</t>
  </si>
  <si>
    <t>Chionoecetes bairdi</t>
  </si>
  <si>
    <t>Meroplankton</t>
  </si>
  <si>
    <t>North</t>
  </si>
  <si>
    <t>Marine</t>
  </si>
  <si>
    <t>Latitudinal</t>
  </si>
  <si>
    <t>Centroid</t>
  </si>
  <si>
    <t>km/year</t>
  </si>
  <si>
    <t>ABUND</t>
  </si>
  <si>
    <t>CONT</t>
  </si>
  <si>
    <t>COARSE</t>
  </si>
  <si>
    <t>YES</t>
  </si>
  <si>
    <t>LOW</t>
  </si>
  <si>
    <t>A54_P1</t>
  </si>
  <si>
    <t>Pandalidae</t>
  </si>
  <si>
    <t>Pandalus</t>
  </si>
  <si>
    <t>Pandalus borealis</t>
  </si>
  <si>
    <t>Pandalus goniurus</t>
  </si>
  <si>
    <t>Chionoecetes opilio</t>
  </si>
  <si>
    <t>Mollusca</t>
  </si>
  <si>
    <t>Nuculoida</t>
  </si>
  <si>
    <t>Nuculidae</t>
  </si>
  <si>
    <t>Nucula</t>
  </si>
  <si>
    <t>Nucula nitidosa</t>
  </si>
  <si>
    <t>Trailing edge</t>
  </si>
  <si>
    <t>OCCUR</t>
  </si>
  <si>
    <t>TWO</t>
  </si>
  <si>
    <t>MEDIUM</t>
  </si>
  <si>
    <t>NO</t>
  </si>
  <si>
    <t>BALANCED</t>
  </si>
  <si>
    <t>A86_P1</t>
  </si>
  <si>
    <t>Echinodermata</t>
  </si>
  <si>
    <t>Ophiurida</t>
  </si>
  <si>
    <t>Ophiuroidea</t>
  </si>
  <si>
    <t>Ophiuridae</t>
  </si>
  <si>
    <t>Ophiura</t>
  </si>
  <si>
    <t>Ophiura albida</t>
  </si>
  <si>
    <t>Leading edge</t>
  </si>
  <si>
    <t>Annelida</t>
  </si>
  <si>
    <t>Phyllodocida</t>
  </si>
  <si>
    <t>Polychaeta</t>
  </si>
  <si>
    <t>Nephtyidae</t>
  </si>
  <si>
    <t>Nephtys</t>
  </si>
  <si>
    <t>Nephtys cirrosa</t>
  </si>
  <si>
    <t>Spionida</t>
  </si>
  <si>
    <t>Spionidae</t>
  </si>
  <si>
    <t>Spiophanes</t>
  </si>
  <si>
    <t>Spiophanes kroyeri</t>
  </si>
  <si>
    <t>Veneroida</t>
  </si>
  <si>
    <t>Semelidae</t>
  </si>
  <si>
    <t>Abra</t>
  </si>
  <si>
    <t>Abra alba</t>
  </si>
  <si>
    <t>Nephtys caeca</t>
  </si>
  <si>
    <t>Spio</t>
  </si>
  <si>
    <t>Spio filicornis</t>
  </si>
  <si>
    <t>Amphipoda</t>
  </si>
  <si>
    <t>Ampeliscidae</t>
  </si>
  <si>
    <t>Ampelisca</t>
  </si>
  <si>
    <t>Ampelisca macrocephala</t>
  </si>
  <si>
    <t>Canalipalpata</t>
  </si>
  <si>
    <t>Magelonidae</t>
  </si>
  <si>
    <t>Magelona</t>
  </si>
  <si>
    <t>Magelona alleni</t>
  </si>
  <si>
    <t>Spatangoida</t>
  </si>
  <si>
    <t>Echinoidea</t>
  </si>
  <si>
    <t>Loveniidae</t>
  </si>
  <si>
    <t>Echinocardium</t>
  </si>
  <si>
    <t>Abra prismatica</t>
  </si>
  <si>
    <t>Nephtys longosetosa</t>
  </si>
  <si>
    <t>Ampelisca tenuicornis</t>
  </si>
  <si>
    <t>Terebellida</t>
  </si>
  <si>
    <t>Terebellidae</t>
  </si>
  <si>
    <t>Lanice</t>
  </si>
  <si>
    <t>Glyceridae</t>
  </si>
  <si>
    <t>Glycera</t>
  </si>
  <si>
    <t>Glycera alba</t>
  </si>
  <si>
    <t>Spiophanes bombyx</t>
  </si>
  <si>
    <t>Nephtys hombergii</t>
  </si>
  <si>
    <t>Ampelisca brevicornis</t>
  </si>
  <si>
    <t>Phyllodocidae</t>
  </si>
  <si>
    <t>Anaitides</t>
  </si>
  <si>
    <t>Anaitides groenlandica</t>
  </si>
  <si>
    <t>Tellinidae</t>
  </si>
  <si>
    <t>Fabulina</t>
  </si>
  <si>
    <t>Fabulina fabula</t>
  </si>
  <si>
    <t>Incertae.Gastropoda</t>
  </si>
  <si>
    <t>Orbiniidae</t>
  </si>
  <si>
    <t>Scoloplos</t>
  </si>
  <si>
    <t>Scoloplos armiger</t>
  </si>
  <si>
    <t>Sabellida</t>
  </si>
  <si>
    <t>Oweniidae</t>
  </si>
  <si>
    <t>Owenia</t>
  </si>
  <si>
    <t>Owenia fusiformis</t>
  </si>
  <si>
    <t>Opheliidae</t>
  </si>
  <si>
    <t>Ophelina</t>
  </si>
  <si>
    <t>Ophelina acuminata</t>
  </si>
  <si>
    <t>Flabelligerida</t>
  </si>
  <si>
    <t>Flabelligeridae</t>
  </si>
  <si>
    <t>Diplocirrus</t>
  </si>
  <si>
    <t>Diplocirrus glaucus</t>
  </si>
  <si>
    <t>Glycera lapidum</t>
  </si>
  <si>
    <t>Calanoida</t>
  </si>
  <si>
    <t>Maxillopoda</t>
  </si>
  <si>
    <t>Calanidae</t>
  </si>
  <si>
    <t>Calanus</t>
  </si>
  <si>
    <t>Holoplankton</t>
  </si>
  <si>
    <t>MODELED</t>
  </si>
  <si>
    <t>A94_P1</t>
  </si>
  <si>
    <t>RESURVEYED</t>
  </si>
  <si>
    <t>A97_P1</t>
  </si>
  <si>
    <t>Hippolytidae</t>
  </si>
  <si>
    <t>Eualus</t>
  </si>
  <si>
    <t>Eualus gaimardii</t>
  </si>
  <si>
    <t>A117_P7</t>
  </si>
  <si>
    <t>Pandalus montagui</t>
  </si>
  <si>
    <t>Pandalus platyceros</t>
  </si>
  <si>
    <t>A117_P3</t>
  </si>
  <si>
    <t>Eualus macilentus</t>
  </si>
  <si>
    <t>Chordata</t>
  </si>
  <si>
    <t>Batrachoidiformes</t>
  </si>
  <si>
    <t>Actinopterygii</t>
  </si>
  <si>
    <t>Batrachoididae</t>
  </si>
  <si>
    <t>Porichthys</t>
  </si>
  <si>
    <t>Porichthys notatus</t>
  </si>
  <si>
    <t>A117_P6</t>
  </si>
  <si>
    <t>Pandalus eous</t>
  </si>
  <si>
    <t>A117_P2</t>
  </si>
  <si>
    <t>Porichthys plectrodon</t>
  </si>
  <si>
    <t>A117_P4</t>
  </si>
  <si>
    <t>Portunidae</t>
  </si>
  <si>
    <t>Callinectes</t>
  </si>
  <si>
    <t>Callinectes similis</t>
  </si>
  <si>
    <t>Forcipulatida</t>
  </si>
  <si>
    <t>Asteroidea</t>
  </si>
  <si>
    <t>Asteriidae</t>
  </si>
  <si>
    <t>Asterias</t>
  </si>
  <si>
    <t>Asterias amurensis</t>
  </si>
  <si>
    <t>Callinectes sapidus</t>
  </si>
  <si>
    <t>A117_P1</t>
  </si>
  <si>
    <t>Nephropidae</t>
  </si>
  <si>
    <t>Homarus</t>
  </si>
  <si>
    <t>Homarus americanus</t>
  </si>
  <si>
    <t>A117_P5</t>
  </si>
  <si>
    <t>Eunicida</t>
  </si>
  <si>
    <t>Onuphidae</t>
  </si>
  <si>
    <t>Diopatra</t>
  </si>
  <si>
    <t>Diopatra neapolitana</t>
  </si>
  <si>
    <t>IRR</t>
  </si>
  <si>
    <t>FINE</t>
  </si>
  <si>
    <t>A124_P1</t>
  </si>
  <si>
    <t>A125_P1</t>
  </si>
  <si>
    <t>A132_P1</t>
  </si>
  <si>
    <t>Centropagidae</t>
  </si>
  <si>
    <t>Centropages</t>
  </si>
  <si>
    <t>A150_P1</t>
  </si>
  <si>
    <t>Temoridae</t>
  </si>
  <si>
    <t>Temora</t>
  </si>
  <si>
    <t>MULT</t>
  </si>
  <si>
    <t>A163_P1</t>
  </si>
  <si>
    <t>Euchaetidae</t>
  </si>
  <si>
    <t>Euchaeta</t>
  </si>
  <si>
    <t>Aetideidae</t>
  </si>
  <si>
    <t>Undeuchaeta</t>
  </si>
  <si>
    <t>Aetideus</t>
  </si>
  <si>
    <t>Calanoides</t>
  </si>
  <si>
    <t>A196_P1</t>
  </si>
  <si>
    <t>A196_P3</t>
  </si>
  <si>
    <t>A196_P4</t>
  </si>
  <si>
    <t>Metridinidae</t>
  </si>
  <si>
    <t>Pleuromamma</t>
  </si>
  <si>
    <t>Pleuromamma gracilis</t>
  </si>
  <si>
    <t>A232_P2</t>
  </si>
  <si>
    <t>Pleuromamma robusta</t>
  </si>
  <si>
    <t>A232_P1</t>
  </si>
  <si>
    <t>Metridia</t>
  </si>
  <si>
    <t>Metridia longa</t>
  </si>
  <si>
    <t>Paraeuchaeta</t>
  </si>
  <si>
    <t>Paraeuchaeta hebes</t>
  </si>
  <si>
    <t>Metridia lucens</t>
  </si>
  <si>
    <t>Pleuromamma abdominalis</t>
  </si>
  <si>
    <t>Undeuchaeta plumosa</t>
  </si>
  <si>
    <t>Pleuromamma borealis</t>
  </si>
  <si>
    <t>Tellina</t>
  </si>
  <si>
    <t>Tellina agilis</t>
  </si>
  <si>
    <t>A257_P1</t>
  </si>
  <si>
    <t>Polydora</t>
  </si>
  <si>
    <t>Polydora cornuta</t>
  </si>
  <si>
    <t>Scolecida</t>
  </si>
  <si>
    <t>Capitellidae</t>
  </si>
  <si>
    <t>Mediomastus</t>
  </si>
  <si>
    <t>Mediomastus ambiseta</t>
  </si>
  <si>
    <t>Streblospio</t>
  </si>
  <si>
    <t>Streblospio benedicti</t>
  </si>
  <si>
    <t>Scoloplos robustus</t>
  </si>
  <si>
    <t>Nephtys incisa</t>
  </si>
  <si>
    <t>Glycera americana</t>
  </si>
  <si>
    <t>Nephtys picta</t>
  </si>
  <si>
    <t>Ampelisca abdita</t>
  </si>
  <si>
    <t>Nucula proxima</t>
  </si>
  <si>
    <t>Pectinariidae</t>
  </si>
  <si>
    <t>Pectinaria</t>
  </si>
  <si>
    <t>Pectinaria gouldii</t>
  </si>
  <si>
    <t>Neotaenioglossa</t>
  </si>
  <si>
    <t>Calyptraeidae</t>
  </si>
  <si>
    <t>Crepidula</t>
  </si>
  <si>
    <t>Crepidula fornicata</t>
  </si>
  <si>
    <t>Sabellariidae</t>
  </si>
  <si>
    <t>Sabellaria</t>
  </si>
  <si>
    <t>Sabellaria vulgaris</t>
  </si>
  <si>
    <t xml:space="preserve">Calanus glacialis </t>
  </si>
  <si>
    <t>https://doi.org/10.1007/s00300-021-02851-2</t>
  </si>
  <si>
    <t>Chuap Inlet, White Sea</t>
  </si>
  <si>
    <t>Premise states T and ice melt shifted to an earlier time in phenology</t>
  </si>
  <si>
    <t>Summer-Autumn</t>
  </si>
  <si>
    <t>Phenology; Change in Sea Ice; Abundance</t>
  </si>
  <si>
    <t>T and Ice</t>
  </si>
  <si>
    <t>F. J. Mueter, M. A. Litzow, Sea ice retreat alters the biogeography of the Bering Sea continental shelf. Ecol. Appl. 18, 309–320 (2008).</t>
  </si>
  <si>
    <t>J. G. Hiddink, M. T. Burrows, J. García Molinos, Temperature tracking by North Sea benthic invertebrates in response to climate change. Glob. Change Biol. 21, 117–129 (2015).</t>
  </si>
  <si>
    <t>G. Chust et al., Are Calanus spp. shifting poleward in the North Atlantic? A habitat modelling approach. ICES J. Mar. Sci. 71, 241–253 (2014).</t>
  </si>
  <si>
    <t>J. L. Orensanz, B. Ernst, D. A. Armstrong, P. J. Stabeno, P. Livingston, Contraction of the geographical range of distribution of snow crab (Chionoecetes Opilio) in the Eastern Bering Sea: an environmental ratchet?? CalCOFI Reports. 45, 65–79 (2004).</t>
  </si>
  <si>
    <t>M. L. Pinsky, B. Worm, M. J. Fogarty, J. L. Sarmiento, S. A. Levin, Marine taxa track local climate velocities. Science. 341, 1239–1242 (2013).</t>
  </si>
  <si>
    <t>S. K. Berke et al., Range shifts and species diversity in marine ecosystem engineers: patterns and predictions for European sedimentary habitats. Glob. Ecol. Biogeogr. 19, 223–232 (2010).</t>
  </si>
  <si>
    <t>D. S. Wethey, S. A. Woodin, Ecological hindcasting of biogeographic responses to climate change in the European intertidal zone. Hydrobiologia. 606, 139–151 (2008).</t>
  </si>
  <si>
    <t>J. Lindley, S. Daykin, Variations in the distributions of  Centropages chierchiae and Temora stylifera (Copepoda: Calanoida) in the north-eastern Atlantic Ocean and western European shelf waters. ICES J. Mar. Sci. 62, 869–877 (2005).</t>
  </si>
  <si>
    <t>B. Gregory, L. Christophe, E. Martin, Rapid biogeographical plankton shifts in the North Atlantic Ocean. Glob. Change Biol. 15, 1790–1803 (2009).</t>
  </si>
  <si>
    <t>K. M. Kleisner et al., The effects of sub-regional climate velocity on the distribution and spatial extent of marine species assemblages. PLoS One. 11, e0149220 (2016).</t>
  </si>
  <si>
    <t>W. J. Chivers, A. W. Walne, G. C. Hays, Mismatch between marine plankton range movements and the velocity of climate change. Nat. Commun. 8, 14434 (2017).</t>
  </si>
  <si>
    <t>S. S. Hale, H. W. Buffum, J. A. Kiddon, M. M. Hughes, Subtidal benthic invertebrates shifting northward along the US Atlantic Coast. Estuaries and Coasts. 40, 1744–1756 (2017).</t>
  </si>
  <si>
    <t>Durant et al. (2019) Contrasting effects of rising temperatures on trophic interactions in marine ecosystems. Scientific Reports 9: 15213</t>
  </si>
  <si>
    <t>Continuous</t>
  </si>
  <si>
    <t>Timing</t>
  </si>
  <si>
    <t>SST, NAO</t>
  </si>
  <si>
    <t>Warming leading to earlier peak</t>
  </si>
  <si>
    <t>Estimated from phenology data (CPR) on Centropages typicus in the Bay of Biscay (p. 4 in Supplement) - Day 210 (1970) to Day 140 (2012)</t>
  </si>
  <si>
    <t>E. afinis</t>
  </si>
  <si>
    <t>Warming in the region most likely responsible for earlier shifts</t>
  </si>
  <si>
    <t>No effect sizes given. Data from Table 2. Data from Central tendency used. Getting earlier (/) was consistent and later (\) was not consistent. C and backward C were NC (no change overall) (See Fig.3 for definitions). Paper says there has been warming. Dates estimated from Fig. S1 and peak month taken as middle of month (day 15) for peak month for the 1985-1988 period.</t>
  </si>
  <si>
    <t>Bayesian modelling</t>
  </si>
  <si>
    <t>A. bifilosa</t>
  </si>
  <si>
    <t>A. tonsa</t>
  </si>
  <si>
    <t>Persson et al. (2012) Scale-dependent effects of climate on
two copepod species, Calanus glacialis and
Pseudocalanus minutus, in an Arctic-boreal sea. Mar Ecol Prog Ser 468: 71–83</t>
  </si>
  <si>
    <t>White Sea</t>
  </si>
  <si>
    <t>Biomass peak</t>
  </si>
  <si>
    <t>No value, but peak biomass earlier. Fig. 2 shows warming, and the paper talks about earlier peaks, especially for Calanus glacialis</t>
  </si>
  <si>
    <t>Pseudocalanus minutus</t>
  </si>
  <si>
    <t>No value, but peak biomass earlier. Fig. 2 shows warming, and the paper talks about earlier peaks, only slightly for Pseudocalanus minutus because of its broader temperature range (see p. 81)</t>
  </si>
  <si>
    <t>Calanus I-IV</t>
  </si>
  <si>
    <t>Digitised rom Fig. 3</t>
  </si>
  <si>
    <t>N</t>
  </si>
  <si>
    <t>From Fig. 5. Ignored Calanus I-IV  because same species as included. And Para/Pseudo is not a species. Lat/Lon from Fig. 2.</t>
  </si>
  <si>
    <t>Celtic mixed (CM)</t>
  </si>
  <si>
    <t>Celtic Sea (stratified) (CS)</t>
  </si>
  <si>
    <t>Shelf edge (SE)</t>
  </si>
  <si>
    <t>Warm temperate (WT)</t>
  </si>
  <si>
    <t>Abyssal south (ABS)</t>
  </si>
  <si>
    <t>Malin Shelf</t>
  </si>
  <si>
    <t>NCEAS</t>
  </si>
  <si>
    <t>Schluter, M.H., A. Merico, M. Reginatto, M. Boersma, K.H. Wiltshire and W. Greve. 2010. Phenological shifts in three interacting zooplankton groups in relation to climate change. Global Change Biology doi: 10.1111/j.1365-2486.2010.02246.x</t>
  </si>
  <si>
    <t>Mixed</t>
  </si>
  <si>
    <t>Fig. 1d goes from Week 20 to Week 19</t>
  </si>
  <si>
    <t>Other</t>
  </si>
  <si>
    <t>Comb jellies</t>
  </si>
  <si>
    <t>Chris B</t>
  </si>
  <si>
    <t>Costello, J.H, B.K. Sullivan and D.J. Gifford. 2006. A physical-biological interaction underlying variable phenological responses to climate change by coastal zooplankton. Journal of Plankton Research 28:1099-1105</t>
  </si>
  <si>
    <t>North-west Atlantic</t>
  </si>
  <si>
    <t>Irregular</t>
  </si>
  <si>
    <t>Edwards, M., D.G. Johns, P. Licandro, A.W.G. John and D.P. Stevens. 2005. Ecological status report: result from the CPR survey 2004/2005. SAHFOS Technical Report 3: 1-8</t>
  </si>
  <si>
    <t>North-east Atlantic</t>
  </si>
  <si>
    <t>Edwards, M. and A.J. Richardson. 2004. Impact of climate change on marine pelagic phenology and trophic mismatch. Nature 430: 881-884.</t>
  </si>
  <si>
    <t>Larvacea</t>
  </si>
  <si>
    <t>Anthony R</t>
  </si>
  <si>
    <t>Candacia armata</t>
  </si>
  <si>
    <t>Harpacticoida</t>
  </si>
  <si>
    <t>Pseudocalanus elongatus</t>
  </si>
  <si>
    <t>Labidocera wollastoni</t>
  </si>
  <si>
    <t>Oithona spp.</t>
  </si>
  <si>
    <t>Arrow worm</t>
  </si>
  <si>
    <t>Chaetognatha</t>
  </si>
  <si>
    <t>Corycaeus spp.</t>
  </si>
  <si>
    <t>Annelids</t>
  </si>
  <si>
    <t>Tomopteris spp.</t>
  </si>
  <si>
    <t>Cumacea</t>
  </si>
  <si>
    <t>amphipod</t>
  </si>
  <si>
    <t>Gammaridea</t>
  </si>
  <si>
    <t>Mollusc</t>
  </si>
  <si>
    <t>Clione limacina</t>
  </si>
  <si>
    <t>Limacina retroversa</t>
  </si>
  <si>
    <t>Greve, W, Reiners, F, Nusta, Hoffmann S. 2004. Helgoland Roads meso- and macrozooplankton time-series 1974 to 2004: lessons from 30 years of single spot, high frequency sampling at the only off-shore island of the North Sea. Helgoland Marine Research 58: 274Ð288</t>
  </si>
  <si>
    <t>Bertram, D.F., D.L. Mackas, and S.M. McKinnell. 2001. The seasonal cycle revisited: interannual variation and ecosystem consequences.  Progress in Oceanography 49: 283-307.</t>
  </si>
  <si>
    <t>North-east Pacific</t>
  </si>
  <si>
    <t>Bill S</t>
  </si>
  <si>
    <t>Mackas, D.L., R. Goldblatt and A.G. Lewis. 1998. Interdecadal variation in developmental timing of Neocalanus plumchrus populations at Ocean Station P in the subarctic North Pacific. Canadian Journal of Fisheries and Aquatic Sciences 55: 1878-1893</t>
  </si>
  <si>
    <t>North-west Pacific</t>
  </si>
  <si>
    <t>copepods</t>
  </si>
  <si>
    <t>Greve, W., F. Reiners and J. Nast. 1996. Biocoenotic changes of the zooplankton in the German Bight: the possible effects of eutrophication and climate. ICES Journal of Marine Science. 53: 951-956.</t>
  </si>
  <si>
    <t>From Table 1. Column D = Correlation with month of maximum abundance</t>
  </si>
  <si>
    <t>Para-, Pseudocalanus spp</t>
  </si>
  <si>
    <t>https://doi.org/10.1093/plankt/fby029</t>
  </si>
  <si>
    <t>Narragansett Bay</t>
  </si>
  <si>
    <t>Acartia hudsonica</t>
  </si>
  <si>
    <t>C</t>
  </si>
  <si>
    <t xml:space="preserve">Shift: based on Table 1, there was no slope provided, and upon reading the text, they mention that first 5 years of observations and last 5 years of observations were not significantly different </t>
  </si>
  <si>
    <t>In the inro, they cited a paper mentioning that A. hudsonica shifter to earlier timing</t>
  </si>
  <si>
    <t>impact of warming with timing and abundance</t>
  </si>
  <si>
    <t>warming</t>
  </si>
  <si>
    <t>K. Mäkinen, I. Vuorinen, &amp; J. Hänninen. (2016). Climate-induced hydrography change favours small-bodied zooplankton in a coastal ecosystem. Hydrobiologia, 792(1), 83–96. https://doi.org/10.1007/s10750-016-3046-6</t>
  </si>
  <si>
    <t>https://doi.org/10.1007/s10750-016-3046-6</t>
  </si>
  <si>
    <t>Eurytemora affinis copepodite</t>
  </si>
  <si>
    <t>Centropages hamatus copepodite</t>
  </si>
  <si>
    <t>Temora longicornis copepodite</t>
  </si>
  <si>
    <t>Limnocalanus macrurus adult</t>
  </si>
  <si>
    <t>Eurytemora affinis adult</t>
  </si>
  <si>
    <t>Centropages hamatus adult</t>
  </si>
  <si>
    <t>Temora longicornis adult</t>
  </si>
  <si>
    <t>Pseudocalnus elongatus</t>
  </si>
  <si>
    <t>Pleopsis polyphemoides</t>
  </si>
  <si>
    <t>Podon intermedius</t>
  </si>
  <si>
    <t>Synchaeta baltica</t>
  </si>
  <si>
    <t>Northern Baltic Sea</t>
  </si>
  <si>
    <t>stable</t>
  </si>
  <si>
    <t>dec</t>
  </si>
  <si>
    <t>slight inc</t>
  </si>
  <si>
    <t>inc</t>
  </si>
  <si>
    <t>Pinkerton, M. H., Décima, M., Kitchener, J. A., Takahashi, K. T., Robinson, K. V., Stewart, R., &amp; Hosie, G. W. (2020). Zooplankton in the Southern Ocean from the continuous plankton recorder: Distributions and long-term change. Deep Sea Research Part I Oceanographic Research Papers, 162, 103303–103303. https://doi.org/10.1016/j.dsr.2020.103303</t>
  </si>
  <si>
    <t>https://doi.org/10.1016/j.dsr.2020.103303</t>
  </si>
  <si>
    <t>Copepoda</t>
  </si>
  <si>
    <t>Euphausiidae</t>
  </si>
  <si>
    <t>Foraminifera</t>
  </si>
  <si>
    <t>Fritillaria spp.</t>
  </si>
  <si>
    <t>Southern</t>
  </si>
  <si>
    <t>Southern Ocean</t>
  </si>
  <si>
    <t>BRT</t>
  </si>
  <si>
    <t>chl, sst, seaIce, vgpm, mixed layer depth</t>
  </si>
  <si>
    <t xml:space="preserve">Long/lat: based on Internet; Abundance: based  on Fig. 10 </t>
  </si>
  <si>
    <t>inconclusive</t>
  </si>
  <si>
    <t>Author did not hypothesize beforehand what the impact of the environmental change would be on the taxa</t>
  </si>
  <si>
    <t>Lee, C. I., Pakhomov, E., Atkinson, A., &amp; Siegel, V. (2010). Long-Term Relationships between the Marine Environment, Krill and Salps in the Southern Ocean. Journal of Marine Biology, 2010, 1–18. https://doi.org/10.1155/2010/410129</t>
  </si>
  <si>
    <t>https://doi.org/10.1155/2010/410129</t>
  </si>
  <si>
    <t>Corona, S., Hirst, A. G., Atkinson, D., Renz, J., Boersma, M., &amp; Atkinson, A. (2024). Long‐term shifts in phenology, thermal niche, population size, and their interactions in marine pelagic copepods. Limnology and Oceanography, 69(3), 482–497. https://doi.org/10.1002/lno.12499</t>
  </si>
  <si>
    <t>https://doi.org/10.1002/lno.12499</t>
  </si>
  <si>
    <t>Stonehaven, UK</t>
  </si>
  <si>
    <t>Helgoland Roads, Germany</t>
  </si>
  <si>
    <t>A. clausi</t>
  </si>
  <si>
    <t>C. helgolandicus</t>
  </si>
  <si>
    <t>C. typicus</t>
  </si>
  <si>
    <t>P. elongatus</t>
  </si>
  <si>
    <t>P. parvus</t>
  </si>
  <si>
    <t>T. longicornis</t>
  </si>
  <si>
    <t>L4, Plymouth, UK</t>
  </si>
  <si>
    <t>Phenology; Abundance</t>
  </si>
  <si>
    <t>Premise: copepods generally show ealier peak of abundance in response to warming</t>
  </si>
  <si>
    <t>Long/lat: based on fig. 1; Years: based on Table 2; InitialDOY: based on Fig. 5c (first 10 years); Shift: based on fig 5c, computed by digitising the values for first 10 and final 10 years for the julian day. Abundance: based on Fig. 4, particularly (may to september)</t>
  </si>
  <si>
    <t>https://www.sciencedirect.com/science/article/pii/S0079661115000907?via%3Dihub</t>
  </si>
  <si>
    <t>https://www.researchgate.net/publication/287215515_Long-term_and_seasonal_zooplankton_dynamics_in_the_northwest_Iberian_shelf_and_its_relationship_with_meteo-climatic_and_hydrographic_variability</t>
  </si>
  <si>
    <t>Fournier, R. J., Colombano, D. D., Latour, R. J., Carlson, S. M., &amp; Ruhi, A. (2024). Long‐term data reveal widespread phenological change across major US estuarine food webs. Ecology Letters, 27(12)</t>
  </si>
  <si>
    <t>Staudinger, M. D., Mills, K. E., Stamieszkin, K., Record, N. R., Hudak, C. A., Allyn, A., Diamond, A., Friedland, K. D., Golet, W., Henderson, M. E., Hernandez, C. M., Huntington, T. G., Ji, R., Johnson, C. L., Johnson, D. S., Jordaan, A., Kocik, J., Li, Y., Liebman, M., &amp; Nichols, O. C. (2019). It’s about time: A synthesis of changing phenology in the Gulf of Maine ecosystem. Fisheries Oceanography, 28(5), 532–566</t>
  </si>
  <si>
    <t>Sullaway, G., Cunningham, C., Kimmel, D., Nielsen, J., Pilcher, D., Pinchuk, A., &amp; Stabeno, P. (2025). Impacts of climate change on Bering Sea copepod phenology and reproductive strategy. Marine Ecology Progress Series, 755, 45–61</t>
  </si>
  <si>
    <t>Cooley et al. 2022 - IPCC</t>
  </si>
  <si>
    <t>https://doi.org/10.3354/meps09944</t>
  </si>
  <si>
    <t>Ignored Calanus I-IV  because same species as included. And Para/Pseudo is not a species.</t>
  </si>
  <si>
    <t>https://doi.org/10.1006/jmsc.1996.0117</t>
  </si>
  <si>
    <t xml:space="preserve">Zooplankton - mero </t>
  </si>
  <si>
    <t>Schluter, M. H., Merico, A., Reginatto, M., Boersma, M., Wiltshire, K. H., &amp; Greve, W. (2010). Phenological shifts in three interacting zooplankton groups in relation to climate change. Global Change Biology, 16(11), 3144–3153.</t>
  </si>
  <si>
    <t>https://doi.org/10.1111/j.1365-2486.2010.02246.x</t>
  </si>
  <si>
    <t>Pleurobrachia pileus adult</t>
  </si>
  <si>
    <t xml:space="preserve">Pleurobrachia pileus juvenile </t>
  </si>
  <si>
    <t>Start of bloom (week)</t>
  </si>
  <si>
    <t>https://doi.org/10.1038/nature02808</t>
  </si>
  <si>
    <t>Can't find figure in the reference for the shift, but values are from the author himself</t>
  </si>
  <si>
    <t>Month of seasonal peak</t>
  </si>
  <si>
    <t>https://doi.org/10.1093/plankt/fbl042</t>
  </si>
  <si>
    <t>Date of first appearance</t>
  </si>
  <si>
    <t>Shift digitsed from Fig. 1; NC as it was mentioned in the introduction that they would have similar shifts as the spatial and thermal ranges of the two species (A. tonsa and M. leidyi) overlap</t>
  </si>
  <si>
    <t>Consistency was changed from the previous database.</t>
  </si>
  <si>
    <t>https://doi.org/10.1016/S0079-6611(01)00027-1</t>
  </si>
  <si>
    <t xml:space="preserve">No notes as to which figures were used as basis </t>
  </si>
  <si>
    <t>https://doi.org/10.1139/f98-080</t>
  </si>
  <si>
    <t>https://doi.org/10.1007/s10152-004-0191-5</t>
  </si>
  <si>
    <t>no details where values were obtained</t>
  </si>
  <si>
    <t xml:space="preserve">Probably based on Fig. 5 </t>
  </si>
  <si>
    <t>https://www.cprsurvey.org/media/1060/ecostat2006.pdf</t>
  </si>
  <si>
    <t xml:space="preserve">Rate </t>
  </si>
  <si>
    <t>Polczanska et al. 2016</t>
  </si>
  <si>
    <t>First appearance of juveniles</t>
  </si>
  <si>
    <t>Need to cross check</t>
  </si>
  <si>
    <t>Timing of peak biomass</t>
  </si>
  <si>
    <t>Hinder, S. L. et al. (2012). Long-term changes in abundance and distribution of microzooplankton in the NE Atlantic and North Sea. Journal of Plankton Research 34(1): 83-91.</t>
  </si>
  <si>
    <t xml:space="preserve">No change </t>
  </si>
  <si>
    <t xml:space="preserve">Spring </t>
  </si>
  <si>
    <t xml:space="preserve">Peak bloom </t>
  </si>
  <si>
    <t>N. integer</t>
  </si>
  <si>
    <t>M. slabberi</t>
  </si>
  <si>
    <t>Asch et al. (2015) Climate change and decadal shifts in the phenology of
larval fishes in the California Current ecosystem. PNAS E4065–E4074</t>
  </si>
  <si>
    <t>California Current</t>
  </si>
  <si>
    <t>Fish larvae</t>
  </si>
  <si>
    <t>Fish</t>
  </si>
  <si>
    <t>SST, climate indices</t>
  </si>
  <si>
    <t>The species whose phenology became earlier were characterized by an offshore, pelagic distribution, whereas species with delayed phenology were more likely to reside in coastal, demersal habitats. Phenological changes were more closely associated with a trend toward earlier warming of surface waters rather than decadal climate cycles, such as the Pacific Decadal Oscillation and North Pacific Gyre Oscillation</t>
  </si>
  <si>
    <t>Data in Table S2. Only Phase I used when 2 phenophases. Resident species less consistent. 31 of 51 are consistent - earlier with warming</t>
  </si>
  <si>
    <t>Asch et al. (2015) Climate change and decadal shifts in the phenology of
larval fishes in the California Current ecosystem. PNAS E4065–E4075</t>
  </si>
  <si>
    <t>Asch et al. (2015) Climate change and decadal shifts in the phenology of
larval fishes in the California Current ecosystem. PNAS E4065–E4076</t>
  </si>
  <si>
    <t>Asch et al. (2015) Climate change and decadal shifts in the phenology of
larval fishes in the California Current ecosystem. PNAS E4065–E4077</t>
  </si>
  <si>
    <t>Asch et al. (2015) Climate change and decadal shifts in the phenology of
larval fishes in the California Current ecosystem. PNAS E4065–E4078</t>
  </si>
  <si>
    <t>Asch et al. (2015) Climate change and decadal shifts in the phenology of
larval fishes in the California Current ecosystem. PNAS E4065–E4079</t>
  </si>
  <si>
    <t>Asch et al. (2015) Climate change and decadal shifts in the phenology of
larval fishes in the California Current ecosystem. PNAS E4065–E4080</t>
  </si>
  <si>
    <t>Lipolagus ochotensis</t>
  </si>
  <si>
    <t>Asch et al. (2015) Climate change and decadal shifts in the phenology of
larval fishes in the California Current ecosystem. PNAS E4065–E4081</t>
  </si>
  <si>
    <t>Cyclothone signata Phase I</t>
  </si>
  <si>
    <t>Asch et al. (2015) Climate change and decadal shifts in the phenology of
larval fishes in the California Current ecosystem. PNAS E4065–E4082</t>
  </si>
  <si>
    <t>Argyropelecus sladeni Phase I</t>
  </si>
  <si>
    <t>Asch et al. (2015) Climate change and decadal shifts in the phenology of
larval fishes in the California Current ecosystem. PNAS E4065–E4083</t>
  </si>
  <si>
    <t>Asch et al. (2015) Climate change and decadal shifts in the phenology of
larval fishes in the California Current ecosystem. PNAS E4065–E4084</t>
  </si>
  <si>
    <t>Asch et al. (2015) Climate change and decadal shifts in the phenology of
larval fishes in the California Current ecosystem. PNAS E4065–E4085</t>
  </si>
  <si>
    <t>Asch et al. (2015) Climate change and decadal shifts in the phenology of
larval fishes in the California Current ecosystem. PNAS E4065–E4086</t>
  </si>
  <si>
    <t>Asch et al. (2015) Climate change and decadal shifts in the phenology of
larval fishes in the California Current ecosystem. PNAS E4065–E4087</t>
  </si>
  <si>
    <t>Asch et al. (2015) Climate change and decadal shifts in the phenology of
larval fishes in the California Current ecosystem. PNAS E4065–E4088</t>
  </si>
  <si>
    <t>Asch et al. (2015) Climate change and decadal shifts in the phenology of
larval fishes in the California Current ecosystem. PNAS E4065–E4089</t>
  </si>
  <si>
    <t>Asch et al. (2015) Climate change and decadal shifts in the phenology of
larval fishes in the California Current ecosystem. PNAS E4065–E4090</t>
  </si>
  <si>
    <t>Diogenichthys attanticus Phase I</t>
  </si>
  <si>
    <t>Asch et al. (2015) Climate change and decadal shifts in the phenology of
larval fishes in the California Current ecosystem. PNAS E4065–E4091</t>
  </si>
  <si>
    <t>Asch et al. (2015) Climate change and decadal shifts in the phenology of
larval fishes in the California Current ecosystem. PNAS E4065–E4092</t>
  </si>
  <si>
    <t>Asch et al. (2015) Climate change and decadal shifts in the phenology of
larval fishes in the California Current ecosystem. PNAS E4065–E4093</t>
  </si>
  <si>
    <t>Asch et al. (2015) Climate change and decadal shifts in the phenology of
larval fishes in the California Current ecosystem. PNAS E4065–E4094</t>
  </si>
  <si>
    <t>Asch et al. (2015) Climate change and decadal shifts in the phenology of
larval fishes in the California Current ecosystem. PNAS E4065–E4095</t>
  </si>
  <si>
    <t>Symbolophorus californiensis Phase I</t>
  </si>
  <si>
    <t>Asch et al. (2015) Climate change and decadal shifts in the phenology of
larval fishes in the California Current ecosystem. PNAS E4065–E4096</t>
  </si>
  <si>
    <t>Tarletonbeania crenularis Phase I</t>
  </si>
  <si>
    <t>Asch et al. (2015) Climate change and decadal shifts in the phenology of
larval fishes in the California Current ecosystem. PNAS E4065–E4097</t>
  </si>
  <si>
    <t>Asch et al. (2015) Climate change and decadal shifts in the phenology of
larval fishes in the California Current ecosystem. PNAS E4065–E4098</t>
  </si>
  <si>
    <t>Asch et al. (2015) Climate change and decadal shifts in the phenology of
larval fishes in the California Current ecosystem. PNAS E4065–E4099</t>
  </si>
  <si>
    <t>Melamphaes lugubris Phase I</t>
  </si>
  <si>
    <t>Asch et al. (2015) Climate change and decadal shifts in the phenology of
larval fishes in the California Current ecosystem. PNAS E4065–E4100</t>
  </si>
  <si>
    <t>Asch et al. (2015) Climate change and decadal shifts in the phenology of
larval fishes in the California Current ecosystem. PNAS E4065–E4101</t>
  </si>
  <si>
    <t>Asch et al. (2015) Climate change and decadal shifts in the phenology of
larval fishes in the California Current ecosystem. PNAS E4065–E4102</t>
  </si>
  <si>
    <t>Asch et al. (2015) Climate change and decadal shifts in the phenology of
larval fishes in the California Current ecosystem. PNAS E4065–E4103</t>
  </si>
  <si>
    <t>Asch et al. (2015) Climate change and decadal shifts in the phenology of
larval fishes in the California Current ecosystem. PNAS E4065–E4104</t>
  </si>
  <si>
    <t>Asch et al. (2015) Climate change and decadal shifts in the phenology of
larval fishes in the California Current ecosystem. PNAS E4065–E4105</t>
  </si>
  <si>
    <t>Asch et al. (2015) Climate change and decadal shifts in the phenology of
larval fishes in the California Current ecosystem. PNAS E4065–E4106</t>
  </si>
  <si>
    <t>Asch et al. (2015) Climate change and decadal shifts in the phenology of
larval fishes in the California Current ecosystem. PNAS E4065–E4107</t>
  </si>
  <si>
    <t>Asch et al. (2015) Climate change and decadal shifts in the phenology of
larval fishes in the California Current ecosystem. PNAS E4065–E4108</t>
  </si>
  <si>
    <t>Asch et al. (2015) Climate change and decadal shifts in the phenology of
larval fishes in the California Current ecosystem. PNAS E4065–E4109</t>
  </si>
  <si>
    <t>Asch et al. (2015) Climate change and decadal shifts in the phenology of
larval fishes in the California Current ecosystem. PNAS E4065–E4110</t>
  </si>
  <si>
    <t>Asch et al. (2015) Climate change and decadal shifts in the phenology of
larval fishes in the California Current ecosystem. PNAS E4065–E4111</t>
  </si>
  <si>
    <t>Citharichthys sordidus Phase I</t>
  </si>
  <si>
    <t>Citharichthys sordidus Phase II</t>
  </si>
  <si>
    <t>Asch et al. (2015) Climate change and decadal shifts in the phenology of
larval fishes in the California Current ecosystem. PNAS E4065–E4112</t>
  </si>
  <si>
    <t>Asch et al. (2015) Climate change and decadal shifts in the phenology of
larval fishes in the California Current ecosystem. PNAS E4065–E4113</t>
  </si>
  <si>
    <t>Cyclothone signata Phase II</t>
  </si>
  <si>
    <t>Argyropelecus sladeni Phase II</t>
  </si>
  <si>
    <t>Diogenichthys attanticus Phase II</t>
  </si>
  <si>
    <t>Symbolophorus californiensis Phase II</t>
  </si>
  <si>
    <t>Tarletonbeania crenularis Phase II</t>
  </si>
  <si>
    <t>Melamphaes lugubris Phase II</t>
  </si>
  <si>
    <t>Paralichthys californicus Phase I</t>
  </si>
  <si>
    <t>Paralichthys californicus Phase II</t>
  </si>
  <si>
    <t>Asch et al. (2015) Climate change and decadal shifts in the phenology of
larval fishes in the California Current ecosystem. PNAS E4065–E4114</t>
  </si>
  <si>
    <t>Asch et al. (2015) Climate change and decadal shifts in the phenology of
larval fishes in the California Current ecosystem. PNAS E4065–E4115</t>
  </si>
  <si>
    <t>Cirripedia (Nauplii)</t>
  </si>
  <si>
    <t>Lamellibranchia (Veliger)</t>
  </si>
  <si>
    <t>Fish (eggs)</t>
  </si>
  <si>
    <t>Fish (larvae)</t>
  </si>
  <si>
    <t>Echinoderm larvae</t>
  </si>
  <si>
    <t>Decapoda larvae</t>
  </si>
  <si>
    <t>Cyphonautes larvae</t>
  </si>
  <si>
    <t>Polychaeta larvae</t>
  </si>
  <si>
    <t>barnacles</t>
  </si>
  <si>
    <t>Emond et al. (2020) Long-term trends and drivers of larval phenology and abundance of dominant brachyuran crabs in the Gulf of St. Lawrence (Canada). Fisheries Oceanography. 29:185–200.</t>
  </si>
  <si>
    <t>Canada</t>
  </si>
  <si>
    <t>Snow crab</t>
  </si>
  <si>
    <t>Spawning time</t>
  </si>
  <si>
    <t>SST, sea ice</t>
  </si>
  <si>
    <t>Warming and sea ice retreat lead to earlier blooms and earlier occurrence of crabs</t>
  </si>
  <si>
    <t>Information from Fig. 2 and Table 1. Phenology index based of proportion of young larvae at fixed time of year, so no rate value per decade available.</t>
  </si>
  <si>
    <t>Toad crab</t>
  </si>
  <si>
    <t>Hyas spp.</t>
  </si>
  <si>
    <t>McGeady et al. (2021) Shift in the larval phenology of a marine ectotherm due to ocean
warming with consequences for larval transport. Limnology and Oceanography 66: 543-557</t>
  </si>
  <si>
    <t>Irish Sea</t>
  </si>
  <si>
    <t>Two periods</t>
  </si>
  <si>
    <t>Norway lobster</t>
  </si>
  <si>
    <t>Nephrops norvegicus</t>
  </si>
  <si>
    <t>Biomass Peak</t>
  </si>
  <si>
    <t>SST</t>
  </si>
  <si>
    <t>Warmer temperatures and earlier spawning/faster development</t>
  </si>
  <si>
    <t>Data from observations of Stage 1 larvae that were summarised into 2 periods (19.1 days earlier). 2 periods = 1982-1995 and 2000-2010. Because the mean was used for the timing, use mean date for each period for the duration. So mean Period 1 = 1989 and Period 2 = 2005</t>
  </si>
  <si>
    <t>Mann-Whitney U-tests</t>
  </si>
  <si>
    <t>Thaxton WC, Taylor JC, Asch RG (2020) Climate-associated trends and variability in
ichthyoplankton phenology from the longest
continuous larval fish time series on
the east coast of the United States. MEPS 650: 269-287</t>
  </si>
  <si>
    <t>North Atlantic</t>
  </si>
  <si>
    <t>American eel</t>
  </si>
  <si>
    <t>Anguilla rostrata</t>
  </si>
  <si>
    <t>SST, wind, AMO, NAO, Tide</t>
  </si>
  <si>
    <t>Warmer temperature and earlier appearance</t>
  </si>
  <si>
    <t>Values from Table S3. Used beginning of ingress - use first occurrence measures before centroids, where possible</t>
  </si>
  <si>
    <t>Linear model</t>
  </si>
  <si>
    <t>Atlantic menhaden</t>
  </si>
  <si>
    <t>Brevoortia tyrannus</t>
  </si>
  <si>
    <t>Pinfish</t>
  </si>
  <si>
    <t>Lagodon rhomboides</t>
  </si>
  <si>
    <t>Spot</t>
  </si>
  <si>
    <t>Leiostomus xanthurus</t>
  </si>
  <si>
    <t>Striped mullet</t>
  </si>
  <si>
    <t>Mugil cephalus</t>
  </si>
  <si>
    <t>Speckled worm eel</t>
  </si>
  <si>
    <t>Myrophis punctatus</t>
  </si>
  <si>
    <t>Atlantic croaker</t>
  </si>
  <si>
    <t>Micropogonias undulatus</t>
  </si>
  <si>
    <t>Gulf flounder</t>
  </si>
  <si>
    <t>Paralichthys albigutta</t>
  </si>
  <si>
    <t>Summer flounder</t>
  </si>
  <si>
    <t>Paralichthys dentatus</t>
  </si>
  <si>
    <t>Southern flounder</t>
  </si>
  <si>
    <t>Paralichthys lethostigma</t>
  </si>
  <si>
    <t>Number</t>
  </si>
  <si>
    <t>Database</t>
  </si>
  <si>
    <t>Pseudoreplication(N=don't include; Y=include)</t>
  </si>
  <si>
    <t>Checked</t>
  </si>
  <si>
    <t>Cooley et al. 2022 - IPCC; Polczanska et al. 2016</t>
  </si>
  <si>
    <t>Amphipod</t>
  </si>
  <si>
    <t xml:space="preserve">Zooplankton </t>
  </si>
  <si>
    <t>https://doi.org/10.1073/pnas.1421946112</t>
  </si>
  <si>
    <t>https://doi.org/10.1073/pnas.1421946113</t>
  </si>
  <si>
    <t>https://doi.org/10.1073/pnas.1421946114</t>
  </si>
  <si>
    <t>https://doi.org/10.1073/pnas.1421946115</t>
  </si>
  <si>
    <t>https://doi.org/10.1073/pnas.1421946116</t>
  </si>
  <si>
    <t>https://doi.org/10.1073/pnas.1421946117</t>
  </si>
  <si>
    <t>https://doi.org/10.1073/pnas.1421946118</t>
  </si>
  <si>
    <t>https://doi.org/10.1073/pnas.1421946119</t>
  </si>
  <si>
    <t>https://doi.org/10.1073/pnas.1421946120</t>
  </si>
  <si>
    <t>https://doi.org/10.1073/pnas.1421946121</t>
  </si>
  <si>
    <t>https://doi.org/10.1073/pnas.1421946122</t>
  </si>
  <si>
    <t>https://doi.org/10.1073/pnas.1421946123</t>
  </si>
  <si>
    <t>https://doi.org/10.1073/pnas.1421946124</t>
  </si>
  <si>
    <t>https://doi.org/10.1073/pnas.1421946125</t>
  </si>
  <si>
    <t>https://doi.org/10.1073/pnas.1421946126</t>
  </si>
  <si>
    <t>https://doi.org/10.1073/pnas.1421946127</t>
  </si>
  <si>
    <t>https://doi.org/10.1073/pnas.1421946128</t>
  </si>
  <si>
    <t>https://doi.org/10.1073/pnas.1421946129</t>
  </si>
  <si>
    <t>https://doi.org/10.1073/pnas.1421946130</t>
  </si>
  <si>
    <t>https://doi.org/10.1073/pnas.1421946131</t>
  </si>
  <si>
    <t>https://doi.org/10.1073/pnas.1421946132</t>
  </si>
  <si>
    <t>https://doi.org/10.1073/pnas.1421946133</t>
  </si>
  <si>
    <t>https://doi.org/10.1073/pnas.1421946134</t>
  </si>
  <si>
    <t>https://doi.org/10.1073/pnas.1421946135</t>
  </si>
  <si>
    <t>https://doi.org/10.1073/pnas.1421946136</t>
  </si>
  <si>
    <t>https://doi.org/10.1073/pnas.1421946137</t>
  </si>
  <si>
    <t>https://doi.org/10.1073/pnas.1421946138</t>
  </si>
  <si>
    <t>https://doi.org/10.1073/pnas.1421946139</t>
  </si>
  <si>
    <t>https://doi.org/10.1073/pnas.1421946140</t>
  </si>
  <si>
    <t>https://doi.org/10.1073/pnas.1421946141</t>
  </si>
  <si>
    <t>https://doi.org/10.1073/pnas.1421946142</t>
  </si>
  <si>
    <t>https://doi.org/10.1073/pnas.1421946143</t>
  </si>
  <si>
    <t>https://doi.org/10.1073/pnas.1421946144</t>
  </si>
  <si>
    <t>https://doi.org/10.1073/pnas.1421946145</t>
  </si>
  <si>
    <t>https://doi.org/10.1073/pnas.1421946146</t>
  </si>
  <si>
    <t>https://doi.org/10.1073/pnas.1421946147</t>
  </si>
  <si>
    <t>https://doi.org/10.1073/pnas.1421946148</t>
  </si>
  <si>
    <t>https://doi.org/10.1073/pnas.1421946149</t>
  </si>
  <si>
    <t>https://doi.org/10.1073/pnas.1421946150</t>
  </si>
  <si>
    <t>https://doi.org/10.1073/pnas.1421946151</t>
  </si>
  <si>
    <t>https://doi.org/10.1073/pnas.1421946152</t>
  </si>
  <si>
    <t>https://doi.org/10.1073/pnas.1421946153</t>
  </si>
  <si>
    <t>https://doi.org/10.1073/pnas.1421946154</t>
  </si>
  <si>
    <t>https://doi.org/10.1073/pnas.1421946155</t>
  </si>
  <si>
    <t>https://doi.org/10.1073/pnas.1421946156</t>
  </si>
  <si>
    <t>https://doi.org/10.1073/pnas.1421946157</t>
  </si>
  <si>
    <t>https://doi.org/10.1073/pnas.1421946158</t>
  </si>
  <si>
    <t>https://doi.org/10.1073/pnas.1421946159</t>
  </si>
  <si>
    <t>https://doi.org/10.1073/pnas.1421946160</t>
  </si>
  <si>
    <t>https://doi.org/10.1073/pnas.1421946161</t>
  </si>
  <si>
    <t>https://doi.org/10.1073/pnas.1421946162</t>
  </si>
  <si>
    <t>https://doi.org/10.3354/meps13404</t>
  </si>
  <si>
    <t>Decapod</t>
  </si>
  <si>
    <t>https://pubmed.ncbi.nlm.nih.gov/33107157/</t>
  </si>
  <si>
    <t>Anoplarchus purpurescens</t>
  </si>
  <si>
    <t>Aristostomias scintillans</t>
  </si>
  <si>
    <t>Artedius fenestralis</t>
  </si>
  <si>
    <t>Artedius harringtoni</t>
  </si>
  <si>
    <t>Bathophilus flemingi</t>
  </si>
  <si>
    <t>Bathylagoides wesethi</t>
  </si>
  <si>
    <t>Brosmophyciis marginata</t>
  </si>
  <si>
    <t>Diogenichthys atlanticus</t>
  </si>
  <si>
    <t>Electrona risso</t>
  </si>
  <si>
    <t>n.p.</t>
  </si>
  <si>
    <t>Girella nigricans</t>
  </si>
  <si>
    <t>Glyptocephalus zachirus</t>
  </si>
  <si>
    <t>Hemilepidotus hemilepidotus</t>
  </si>
  <si>
    <t>Hemilepidotus spinosus</t>
  </si>
  <si>
    <t>Hexagrammos decagrammus</t>
  </si>
  <si>
    <t>Hypsypops rubicundus</t>
  </si>
  <si>
    <t>Isopsetta isolepis</t>
  </si>
  <si>
    <t>Lampadena urophaos</t>
  </si>
  <si>
    <t>Leptocottus armatus</t>
  </si>
  <si>
    <t>Liparis fucensis</t>
  </si>
  <si>
    <t>Rate of shift is from Suppl Table S1. and this is for the CalCOFI trend (which is in days per year) so multiply by 10</t>
  </si>
  <si>
    <t>Medialuna californiensis</t>
  </si>
  <si>
    <t>Microgadus proximus</t>
  </si>
  <si>
    <t>Nansenia candida</t>
  </si>
  <si>
    <t>Notolychnus valdiviae</t>
  </si>
  <si>
    <t>Notoscopelus resplendens</t>
  </si>
  <si>
    <t>Ophiodon elongatus</t>
  </si>
  <si>
    <t>Peprilus simillimus</t>
  </si>
  <si>
    <t>Platichthys stellatus</t>
  </si>
  <si>
    <t>Pleuronichthys coenosus</t>
  </si>
  <si>
    <t>The CalCOFI dataset is similar to Asch but just extended</t>
  </si>
  <si>
    <t>Pleuronichthys decurrens</t>
  </si>
  <si>
    <t>Psettichthys melanostictus</t>
  </si>
  <si>
    <t>Pseudobathylagus milleri</t>
  </si>
  <si>
    <t>Ronquilus jordani</t>
  </si>
  <si>
    <t>Ruscarius meanyi</t>
  </si>
  <si>
    <t>Sebastes levis</t>
  </si>
  <si>
    <t xml:space="preserve">Sphyraena argentea  </t>
  </si>
  <si>
    <t xml:space="preserve">Stenobrachius leucopsarus  </t>
  </si>
  <si>
    <t xml:space="preserve">Stomias atriventer  </t>
  </si>
  <si>
    <t xml:space="preserve">Symbolophorus californiensis  </t>
  </si>
  <si>
    <t xml:space="preserve">Symphurus atricaudus  </t>
  </si>
  <si>
    <t xml:space="preserve">Tactostoma macropus  </t>
  </si>
  <si>
    <t xml:space="preserve">Tarletonbeania crenularis  </t>
  </si>
  <si>
    <t xml:space="preserve">Tetragonurus cuvieri  </t>
  </si>
  <si>
    <t xml:space="preserve">Trachurus symmetricus  </t>
  </si>
  <si>
    <t xml:space="preserve">Triphoturus mexicanus  </t>
  </si>
  <si>
    <t xml:space="preserve">n.p.  </t>
  </si>
  <si>
    <t>Calanoids</t>
  </si>
  <si>
    <t>Non-calanoids</t>
  </si>
  <si>
    <t>Appendicularians</t>
  </si>
  <si>
    <t>Euphausiids</t>
  </si>
  <si>
    <t>Hydromedusae</t>
  </si>
  <si>
    <t>Polychaetes</t>
  </si>
  <si>
    <t>Ctenophores</t>
  </si>
  <si>
    <t>Gelatinous carnivores</t>
  </si>
  <si>
    <t>Paracalanus spp.</t>
  </si>
  <si>
    <t>Temora spp.</t>
  </si>
  <si>
    <t>Tunicates</t>
  </si>
  <si>
    <t xml:space="preserve">Onset bloom timing (weeks) </t>
  </si>
  <si>
    <t>Digitised from Fig 5b</t>
  </si>
  <si>
    <t>Digitised from Fig 6b</t>
  </si>
  <si>
    <t>https://doi.org/10.1016/j.pocean.2015.04.025</t>
  </si>
  <si>
    <t>Reygondeau, G., Molinero, J. C., Coombs, S., MacKenzie, B. R., &amp; Bonnet, D. (2015). Progressive changes in the Western English Channel foster a reorganization in the plankton food web. Progress in Oceanography, 137, 524–532.</t>
  </si>
  <si>
    <t>L4, Western English Channel</t>
  </si>
  <si>
    <t>Rate: calculated a line of best from Table using Date and First appearance</t>
  </si>
  <si>
    <t xml:space="preserve">Sullivan, B. K., Keuren, D. V., &amp; Clancy, M. (2001). Hydrobiologia, 451(1/3), 113–120. </t>
  </si>
  <si>
    <t>https://doi.org/10.1023/a:1011848327684</t>
  </si>
  <si>
    <t>Lower Narragansett Bay</t>
  </si>
  <si>
    <t>Need to update based on Ant's comments</t>
  </si>
  <si>
    <t>Beaugrand, G. et al. (2009). Rapid biogeographical plankton shifts in the North Atlantic Ocean. Global Change Biology 15: 1790-1803</t>
  </si>
  <si>
    <t>Bonnet et al. (2005). An overview of Calanus helgolandicus ecology in European waters. Progress in Oceanography 65: 1-53</t>
  </si>
  <si>
    <t>Cubillos, J.C. et al. (2007). Calcification morphotypes of the coccolithophorid Emiliania huxleyi  in the Southern Ocean: changes in 2001 to 2006 compared to historical data. Marine Ecology Progress Series 348:47-54</t>
  </si>
  <si>
    <t>Lindley JA and Daykin S. (2005). Variations in the distributions of Centropages chierchiae and Temora stylifera (Copepoda: Calanoida) in the north-eastern Atlantic Ocean and western European shelf waters. ICES Journal of Marine Science 62: 869-877.</t>
  </si>
  <si>
    <t>https://www.mccip.org.uk/sites/default/files/2021-08/15_plankton_2020.pdf</t>
  </si>
  <si>
    <t>NE Atlantic and North Sea </t>
  </si>
  <si>
    <t>End Year</t>
  </si>
  <si>
    <t>https://pmc.ncbi.nlm.nih.gov/articles/PMC8166933/</t>
  </si>
  <si>
    <t>https://livrepository.liverpool.ac.uk/3172413/1/201385337_Mar2023.pdf</t>
  </si>
  <si>
    <r>
      <t xml:space="preserve">straightforward; include phytoplankton; leave out 1959-1984 (period of cooling) =&gt; take midpoints of the timeframes and then add up the movement across both time periods; for zooplankton, first 1to3 are NC, 6 onwards are consistent (consistent if moving north); so if they overlap =&gt; just add, if they are opposite (substract) [USE THE EXTREME POINTS OF THE TIME PERIODS] </t>
    </r>
    <r>
      <rPr>
        <b/>
        <sz val="11"/>
        <color theme="1"/>
        <rFont val="Aptos Narrow"/>
        <family val="2"/>
        <scheme val="minor"/>
      </rPr>
      <t>TAKE THE WHOLE THING</t>
    </r>
  </si>
  <si>
    <t>https://academic.oup.com/plankt/article-abstract/42/3/334/5837810?redirectedFrom=fulltext</t>
  </si>
  <si>
    <t>https://doi.org/10.1038/ncomms14434</t>
  </si>
  <si>
    <t>Euchaeta hebes</t>
  </si>
  <si>
    <t xml:space="preserve">Metridia longa </t>
  </si>
  <si>
    <t xml:space="preserve">Details </t>
  </si>
  <si>
    <t>Rate: Digitised from Fig.4. Took the extremes of the timespand for the cooling and warming period (i.e., whole time duration), and then just added the northward shift for both time periods</t>
  </si>
  <si>
    <t>Poleward</t>
  </si>
  <si>
    <t>Equator-ward</t>
  </si>
  <si>
    <t>Eucampia zodiacus</t>
  </si>
  <si>
    <t>Dinophysis spp.</t>
  </si>
  <si>
    <t>Thalassiosira spp.</t>
  </si>
  <si>
    <t>Rhizosolenia styliformis</t>
  </si>
  <si>
    <t>Rhizosolenia imbricata</t>
  </si>
  <si>
    <t>Thalassiothrix longissima</t>
  </si>
  <si>
    <t>Pseudo-nitzschia seriata complex</t>
  </si>
  <si>
    <t>Protoperidinium spp.</t>
  </si>
  <si>
    <t>Rhizosolenia hebetata semispina</t>
  </si>
  <si>
    <t>Thalassionema nitzschioides</t>
  </si>
  <si>
    <t>Ceratium fusus</t>
  </si>
  <si>
    <t>Ceratium minutum</t>
  </si>
  <si>
    <t>Ceratium tripos</t>
  </si>
  <si>
    <t>Skeletonema costatum</t>
  </si>
  <si>
    <t>Pseudo-nitzschia complex</t>
  </si>
  <si>
    <t>Ceratium lineatum</t>
  </si>
  <si>
    <t>Proboscia indica</t>
  </si>
  <si>
    <t>Ceratium furca</t>
  </si>
  <si>
    <t>Prorocentrum spp.</t>
  </si>
  <si>
    <t>Ceratium longipes</t>
  </si>
  <si>
    <t>Ditylum brightwellii</t>
  </si>
  <si>
    <t>Ceratium macroceros</t>
  </si>
  <si>
    <t>Ceratium hexacanthum</t>
  </si>
  <si>
    <t>Diatom</t>
  </si>
  <si>
    <t>Dinoflagellate</t>
  </si>
  <si>
    <t>https://onlinelibrary.wiley.com/doi/10.1111/gcb.15066</t>
  </si>
  <si>
    <t>https://doi.org/10.1111/gcb.16009</t>
  </si>
  <si>
    <t>Atkinson, A., Hill, S. L., Reiss, C. S., Pakhomov, E. A., Beaugrand, G., Tarling, G. A., Yang, G., Steinberg, D. K., Schmidt, K., Edwards, M., Emilce Rombolá, &amp; Perry, F. A. (2021). Stepping stones towards Antarctica: Switch to southern spawning grounds explains an abrupt range shift in krill. Global Change Biology, 28(4), 1359–1375. https://doi.org/10.1111/gcb.16009</t>
  </si>
  <si>
    <t>Euphausia superba larvae</t>
  </si>
  <si>
    <t>Euphausia superba adult</t>
  </si>
  <si>
    <t>Rate: Digitised from Fig. 3. Took the centroid for each of the first and last bars only, and then the Year start and Year end is based on the midpoint of the bar</t>
  </si>
  <si>
    <t>Median latitude</t>
  </si>
  <si>
    <t>https://doi.org/10.1038/s41558-018-0370-z</t>
  </si>
  <si>
    <t>Atkinson, A., Hill, S. L., Pakhomov, E. A., Siegel, V., Reiss, C. S., Loeb, V. J., Steinberg, D. K., Schmidt, K., Tarling, G. A., Gerrish, L., &amp; Sailley, S. F. (2019). Krill (Euphausia superba) distribution contracts southward during rapid regional warming. Nature Climate Change, 9(2), 142–147. https://doi.org/10.1038/s41558-018-0370-z</t>
  </si>
  <si>
    <t xml:space="preserve">Rate: Based on figure 1. Just take the first and last time periods </t>
  </si>
  <si>
    <t>P. obliquiloculata</t>
  </si>
  <si>
    <t>G. conglobatus</t>
  </si>
  <si>
    <t>G. ruber ruber</t>
  </si>
  <si>
    <t>H. pelagica</t>
  </si>
  <si>
    <t>T. humilis</t>
  </si>
  <si>
    <t>O. universa</t>
  </si>
  <si>
    <t>G. truncatulinoides</t>
  </si>
  <si>
    <t>G. hirsuta</t>
  </si>
  <si>
    <t>G. scitula</t>
  </si>
  <si>
    <t>G. calida</t>
  </si>
  <si>
    <t>T. sacculifer</t>
  </si>
  <si>
    <t>G. glutinata</t>
  </si>
  <si>
    <t>G. uvula</t>
  </si>
  <si>
    <t>G. bulloides</t>
  </si>
  <si>
    <t>G. ruber</t>
  </si>
  <si>
    <t>T. quinqueloba</t>
  </si>
  <si>
    <t>N. incompta</t>
  </si>
  <si>
    <t>G. siphonifera</t>
  </si>
  <si>
    <t>G. crassaformis</t>
  </si>
  <si>
    <t>N. pachyderma</t>
  </si>
  <si>
    <t>G. cultrata</t>
  </si>
  <si>
    <t>G. inflata</t>
  </si>
  <si>
    <t>G. rubescens</t>
  </si>
  <si>
    <t>N. dutertrei</t>
  </si>
  <si>
    <t>https://doi.org/10.1038/s41586-024-08191-5</t>
  </si>
  <si>
    <t xml:space="preserve">Chaabane, S., Thibault de Garidel-Thoron, Meilland, J., Olivier Sulpis, Chalk, T. B., Brummer, G.-J. A., P Graham Mortyn, Giraud, X., Howa, H., Casajus, N., Azumi Kuroyanagi, Beaugrand, G., &amp; Schiebel, R. (2024). Migrating is not enough for modern planktonic foraminifera in a changing ocean. Nature. </t>
  </si>
  <si>
    <t>North Atlantic Ocean and Arctic Ocean</t>
  </si>
  <si>
    <t>Rate: Based from Extended Figure 7; From the Foraminifera Response to Climatic Stress (FORCIS) database. For the temporal range, as the latitudinal change is based on the time period before 1990 and after 1990, I took the midpoint of those two time periods instead for the year start and year end</t>
  </si>
  <si>
    <t>Atlantic sector</t>
  </si>
  <si>
    <t>Southwest Atlantic sector</t>
  </si>
  <si>
    <t xml:space="preserve">https://doi.org/10.1038/s41586-024-08191-5 </t>
  </si>
  <si>
    <t>Para-Pseudocalanus spp.</t>
  </si>
  <si>
    <t>Non-calanoid</t>
  </si>
  <si>
    <t>Northeast Atlantic</t>
  </si>
  <si>
    <t>Corona, S. (2023). Universal ecological responses to climate change: Understanding impacts on zooplankton (Doctoral dissertation, University of Liverpool). University of Liverpool.</t>
  </si>
  <si>
    <t xml:space="preserve">Mean of all three quartiles </t>
  </si>
  <si>
    <t>Rate: based on Table 4.1, calculated by summing up the movements between the cooling and warming periods, and then for the temporal period, since the start and end points for both cooling and warming periods are ranges, get the midpoint of the start and end points, and then for each period, get the midpoint, these will then be the startyear and end year</t>
  </si>
  <si>
    <t>North hemisphere</t>
  </si>
  <si>
    <t>South hemisphere</t>
  </si>
  <si>
    <t>These copepods could be representative of a broad trend of range extensions and increased abundances of warm-water copepods, and assemblage shifts towards their dominance in other temperate regions, such as Tasmania (Johnson et al., 2011), the East China Sea (Tseng et al., 2008), the Southern Benguela (Verheye and Richardson, 1998; Huggett et al., 2009) and Chesapeake Bay (Kimmel et al., 2012), as well as the large ocean basins (Beaugrand et al., 2002a; Batten et al., 2011)</t>
  </si>
  <si>
    <t>https://www.sciencedirect.com/science/article/pii/S0022098111000803</t>
  </si>
  <si>
    <t>https://doi.org/10.1111/j.1365-2486.2009.01848.x</t>
  </si>
  <si>
    <t>Warm-temperate pseudo-oceanic species</t>
  </si>
  <si>
    <t>Temperate pseudo-oceanic species</t>
  </si>
  <si>
    <t>Cold-temperate mixed-water species</t>
  </si>
  <si>
    <t>Subarctic species</t>
  </si>
  <si>
    <t>Subtropical and warm-temperate species assemblage</t>
  </si>
  <si>
    <t>Warm-temperate oceanic species assemblage</t>
  </si>
  <si>
    <t>Shallow-water species assemblage</t>
  </si>
  <si>
    <t>Continental shelf species assemblage</t>
  </si>
  <si>
    <t xml:space="preserve">Arctic species assemblage </t>
  </si>
  <si>
    <t>North Atlantic and North Sea</t>
  </si>
  <si>
    <t>Rate: based on Fig. 3 and Fig. 4 (estimated by determining the approximate location of the leading/trailing edge) in the the first and last time periods</t>
  </si>
  <si>
    <t>Values from Polczanska (may recheck)</t>
  </si>
  <si>
    <t>https://doi.org/10.1016/j.pocean.2005.02.002</t>
  </si>
  <si>
    <t xml:space="preserve">North Atlantic </t>
  </si>
  <si>
    <t>Rate: based on Fig. 1</t>
  </si>
  <si>
    <t>https://doi.org/10.1016/j.icesjms.2005.02.009</t>
  </si>
  <si>
    <t>Rate : based on Figure 1; StartYear is based on 1978 (as it has more data points)</t>
  </si>
  <si>
    <t>Bruge, A., Alvarez, P., Almudena Fontán, Unai Cotano, &amp; Guillem Chust. (2016). Thermal Niche Tracking and Future Distribution of Atlantic Mackerel Spawning in Response to Ocean Warming. Frontiers in Marine Science, 3. https://doi.org/10.3389/fmars.2016.00086</t>
  </si>
  <si>
    <t>https://doi.org/10.3389/fmars.2016.00086</t>
  </si>
  <si>
    <t xml:space="preserve">Northeast atlantic mackerel </t>
  </si>
  <si>
    <t xml:space="preserve">Centroid </t>
  </si>
  <si>
    <t>Rate: based on Fig. 1 (reconstructed spawning distribution)</t>
  </si>
  <si>
    <t>Guillem Chust, Taboada, F. G., Alvarez, P., &amp; Leire Ibaibarriaga. (2022). Species acclimatization pathways: Latitudinal shifts and timing adjustments to track ocean warming. Ecological Indicators, 146, 109752–109752. https://doi.org/10.1016/j.ecolind.2022.109752</t>
  </si>
  <si>
    <t xml:space="preserve">Rate: based on Fig. S3 (based on the solid trend line, which is after homogenization) </t>
  </si>
  <si>
    <t>Horse mackerel</t>
  </si>
  <si>
    <t>Atlantic mackerel</t>
  </si>
  <si>
    <t>https://doi.org/10.1016/j.ecolind.2022.109752</t>
  </si>
  <si>
    <t>Southern bay of Biscay, Northeast Atlantic</t>
  </si>
  <si>
    <t xml:space="preserve">Horse mackerel </t>
  </si>
  <si>
    <t>Abundance-weighted seasonal centre of spawning activity (day of year)</t>
  </si>
  <si>
    <t>Long/lat: based from Google; Rate: based on Fig S3. (following solid line trend)</t>
  </si>
  <si>
    <t>https://doi.org/10.1139/f08-017</t>
  </si>
  <si>
    <t>Have to cross-check</t>
  </si>
  <si>
    <t>crab and shrimp considered as meroplankton</t>
  </si>
  <si>
    <t>DON’T KNOW WHICH FIGURE</t>
  </si>
  <si>
    <t xml:space="preserve">which model to use </t>
  </si>
  <si>
    <t>adult distribution?</t>
  </si>
  <si>
    <t>where is the data from?</t>
  </si>
  <si>
    <t>which figure?</t>
  </si>
  <si>
    <t>are these zooplankton?</t>
  </si>
  <si>
    <t>done</t>
  </si>
  <si>
    <t>NOT sure which figure</t>
  </si>
  <si>
    <t>WHICH DATA</t>
  </si>
  <si>
    <t>you can keep it</t>
  </si>
  <si>
    <t>they are part of the plankton at night</t>
  </si>
  <si>
    <t>https://www.int-res.com/abstracts/meps/v348/meps07058</t>
  </si>
  <si>
    <t>Coccolithophore</t>
  </si>
  <si>
    <t>E. huxleyi</t>
  </si>
  <si>
    <t>Southern Ocean East</t>
  </si>
  <si>
    <t>https://www.imosoceanreport.org.au/wp-content/uploads/2020/01/STAR3.6-Hallegraeff.et.al.pdf</t>
  </si>
  <si>
    <t>https://doi.org/10.1016/j.tree.2005.03.004</t>
  </si>
  <si>
    <t>https://doi.org/10.1890/07-0564.1</t>
  </si>
  <si>
    <t>https://doi.org/10.1890/07-0564.2</t>
  </si>
  <si>
    <t>https://doi.org/10.1890/07-0564.3</t>
  </si>
  <si>
    <t>BioShifts</t>
  </si>
  <si>
    <t>https://doi.org/10.1890/07-0564.4</t>
  </si>
  <si>
    <t>Copied directly from Bioshifts; Must cross-check</t>
  </si>
  <si>
    <t>https://doi.org/10.1111/gcb.12726</t>
  </si>
  <si>
    <t>https://doi.org/10.1111/gcb.12727</t>
  </si>
  <si>
    <t xml:space="preserve">Bivalve  </t>
  </si>
  <si>
    <t>Echinoderm</t>
  </si>
  <si>
    <t>Polychaete</t>
  </si>
  <si>
    <t>Bivalve</t>
  </si>
  <si>
    <t>https://doi.org/10.1111/gcb.12728</t>
  </si>
  <si>
    <t>https://doi.org/10.1111/gcb.12729</t>
  </si>
  <si>
    <t>https://doi.org/10.1111/gcb.12730</t>
  </si>
  <si>
    <t>https://doi.org/10.1111/gcb.12731</t>
  </si>
  <si>
    <t>https://doi.org/10.1111/gcb.12732</t>
  </si>
  <si>
    <t>https://doi.org/10.1111/gcb.12733</t>
  </si>
  <si>
    <t>https://doi.org/10.1111/gcb.12734</t>
  </si>
  <si>
    <t>https://doi.org/10.1111/gcb.12735</t>
  </si>
  <si>
    <t>https://doi.org/10.1111/gcb.12736</t>
  </si>
  <si>
    <t>https://doi.org/10.1111/gcb.12737</t>
  </si>
  <si>
    <t>https://doi.org/10.1111/gcb.12738</t>
  </si>
  <si>
    <t>https://doi.org/10.1111/gcb.12739</t>
  </si>
  <si>
    <t>https://doi.org/10.1111/gcb.12740</t>
  </si>
  <si>
    <t>https://doi.org/10.1111/gcb.12741</t>
  </si>
  <si>
    <t>https://doi.org/10.1111/gcb.12742</t>
  </si>
  <si>
    <t>https://doi.org/10.1111/gcb.12743</t>
  </si>
  <si>
    <t>https://doi.org/10.1111/gcb.12744</t>
  </si>
  <si>
    <t>https://doi.org/10.1111/gcb.12745</t>
  </si>
  <si>
    <t>https://doi.org/10.1111/gcb.12746</t>
  </si>
  <si>
    <t>https://doi.org/10.1111/gcb.12747</t>
  </si>
  <si>
    <t>https://doi.org/10.1111/gcb.12748</t>
  </si>
  <si>
    <t>https://doi.org/10.1111/gcb.12749</t>
  </si>
  <si>
    <t>https://doi.org/10.1111/gcb.12750</t>
  </si>
  <si>
    <t>https://doi.org/10.1111/gcb.12751</t>
  </si>
  <si>
    <t>https://doi.org/10.1111/gcb.12752</t>
  </si>
  <si>
    <t>https://doi.org/10.1111/gcb.12753</t>
  </si>
  <si>
    <t>https://doi.org/10.1111/gcb.12754</t>
  </si>
  <si>
    <t>https://doi.org/10.1111/gcb.12755</t>
  </si>
  <si>
    <t>https://doi.org/10.1111/gcb.12756</t>
  </si>
  <si>
    <t>https://doi.org/10.1111/gcb.12757</t>
  </si>
  <si>
    <t>https://doi.org/10.1111/gcb.12758</t>
  </si>
  <si>
    <t>https://doi.org/10.1111/gcb.12759</t>
  </si>
  <si>
    <t>https://doi.org/10.1111/gcb.12760</t>
  </si>
  <si>
    <t>https://doi.org/10.1111/gcb.12761</t>
  </si>
  <si>
    <t>https://doi.org/10.1111/gcb.12762</t>
  </si>
  <si>
    <t>https://doi.org/10.1111/gcb.12763</t>
  </si>
  <si>
    <t>https://doi.org/10.1111/gcb.12764</t>
  </si>
  <si>
    <t>https://doi.org/10.1111/gcb.12765</t>
  </si>
  <si>
    <t>https://doi.org/10.1111/gcb.12766</t>
  </si>
  <si>
    <t>https://doi.org/10.1111/gcb.12767</t>
  </si>
  <si>
    <t>https://doi.org/10.1111/gcb.12768</t>
  </si>
  <si>
    <t>https://doi.org/10.1111/gcb.12769</t>
  </si>
  <si>
    <t>https://doi.org/10.1111/gcb.12770</t>
  </si>
  <si>
    <t>https://doi.org/10.1111/gcb.12771</t>
  </si>
  <si>
    <t>https://doi.org/10.1111/gcb.12772</t>
  </si>
  <si>
    <t>https://doi.org/10.1111/gcb.12773</t>
  </si>
  <si>
    <t>https://doi.org/10.1111/gcb.12774</t>
  </si>
  <si>
    <t>https://doi.org/10.1111/gcb.12775</t>
  </si>
  <si>
    <t>https://doi.org/10.1111/gcb.12776</t>
  </si>
  <si>
    <t>https://doi.org/10.1111/gcb.12777</t>
  </si>
  <si>
    <t>https://doi.org/10.1111/gcb.12778</t>
  </si>
  <si>
    <t>https://doi.org/10.1111/gcb.12779</t>
  </si>
  <si>
    <t>https://doi.org/10.1111/gcb.12780</t>
  </si>
  <si>
    <t>https://doi.org/10.1111/gcb.12781</t>
  </si>
  <si>
    <t>https://doi.org/10.1111/gcb.12782</t>
  </si>
  <si>
    <t>https://doi.org/10.1111/gcb.12783</t>
  </si>
  <si>
    <t>https://doi.org/10.1111/gcb.12784</t>
  </si>
  <si>
    <t>https://doi.org/10.1111/gcb.12785</t>
  </si>
  <si>
    <t>https://doi.org/10.1111/gcb.12786</t>
  </si>
  <si>
    <t>https://doi.org/10.1111/gcb.12787</t>
  </si>
  <si>
    <t>https://doi.org/10.1111/gcb.12788</t>
  </si>
  <si>
    <t>https://doi.org/10.1111/gcb.12789</t>
  </si>
  <si>
    <t>https://doi.org/10.1111/gcb.12790</t>
  </si>
  <si>
    <t>https://doi.org/10.1111/gcb.12791</t>
  </si>
  <si>
    <t>https://doi.org/10.1111/gcb.12792</t>
  </si>
  <si>
    <t>https://doi.org/10.1111/gcb.12793</t>
  </si>
  <si>
    <t>https://doi.org/10.1111/gcb.12794</t>
  </si>
  <si>
    <t>https://doi.org/10.1111/gcb.12795</t>
  </si>
  <si>
    <t>https://doi.org/10.1111/gcb.12796</t>
  </si>
  <si>
    <t>https://doi.org/10.1111/gcb.12797</t>
  </si>
  <si>
    <t>https://doi.org/10.1111/gcb.12798</t>
  </si>
  <si>
    <t>https://doi.org/10.1111/gcb.12799</t>
  </si>
  <si>
    <t>https://doi.org/10.1111/gcb.12800</t>
  </si>
  <si>
    <t>https://calcofi.org/downloads/publications/calcofireports/v45/Vol_45_Orensanz.pdf</t>
  </si>
  <si>
    <t>Chionoecetes Opilio</t>
  </si>
  <si>
    <t>Gastropod</t>
  </si>
  <si>
    <t>S. Kotwicki, R. R. Lauth, Detecting temporal trends and environmentally-driven changes in the spatial distribution of bottom fishes and crabs on the eastern Bering Sea shelf. Deep Sea Res. Part II Top. Stud. Oceanogr. 94, 231–243 (2013).</t>
  </si>
  <si>
    <t>Copied from BioShifts</t>
  </si>
  <si>
    <t>Polczanska</t>
  </si>
  <si>
    <t>Bering Sea</t>
  </si>
  <si>
    <t> https://doi.org/10.1007/s10750-008-9338-8</t>
  </si>
  <si>
    <t>Coasts of Spain and France</t>
  </si>
  <si>
    <t>https://doi.org/10.1093/icesjms/fst147</t>
  </si>
  <si>
    <t>https://doi.org/10.1093/icesjms/fst148</t>
  </si>
  <si>
    <t>https://doi.org/10.1093/icesjms/fst149</t>
  </si>
  <si>
    <t>https://doi.org/10.1093/icesjms/fst150</t>
  </si>
  <si>
    <t>North Atlantic basin</t>
  </si>
  <si>
    <t>US Atlantic coast</t>
  </si>
  <si>
    <t>https://doi.org/10.1007/s12237-017-0236-z</t>
  </si>
  <si>
    <t>https://doi.org/10.1371/journal.pone.0149220</t>
  </si>
  <si>
    <t>https://doi.org/10.1371/journal.pone.0149221</t>
  </si>
  <si>
    <t>https://doi.org/10.1371/journal.pone.0149222</t>
  </si>
  <si>
    <t>US Northeast shelf</t>
  </si>
  <si>
    <t>https://doi.org/10.1016/j.dsr2.2013.03.017</t>
  </si>
  <si>
    <t>https://doi.org/10.1016/j.dsr2.2013.03.018</t>
  </si>
  <si>
    <t>https://doi.org/10.1111/j.1466-8238.2009.00509.x</t>
  </si>
  <si>
    <t xml:space="preserve">Helaouët, P., &amp; Beaugrand, G. (2009). Physiology, Ecological Niches and Species Distribution. Ecosystems, 12(8), 1235–1245. </t>
  </si>
  <si>
    <t>https://doi.org/10.1007/s10021-009-9261-5</t>
  </si>
  <si>
    <t>Rate: based on Figure 4 by estimating the centroid from the maps comparing 1960-1969 and 2000-2005; based off the darkest red of the distribution</t>
  </si>
  <si>
    <t xml:space="preserve">Sorte, C. J. B., Williams, S. L., &amp; Carlton, J. T. (2010). Marine range shifts and species introductions: comparative spread rates and community impacts. Global Ecology and Biogeography, 19(3), 303–316. </t>
  </si>
  <si>
    <t>https://doi.org/10.1111/j.1466-8238.2009.00519.x</t>
  </si>
  <si>
    <t>Aglantha digitalis</t>
  </si>
  <si>
    <t>England</t>
  </si>
  <si>
    <t>Rate: based on Table 1</t>
  </si>
  <si>
    <t>Thysanoessa inspinata</t>
  </si>
  <si>
    <t>Alaska, USA</t>
  </si>
  <si>
    <t>Rate: based on Table 2</t>
  </si>
  <si>
    <t xml:space="preserve">Edwards, M., Atkinson, A., Bresnan, E., Helaouet, P., Mcquatters-Gollup, A., Ostle, C., Pitois, S., &amp; Widdicombe, C. (n.d.). 2020) Plankton, jellyfish and climate in the North-East Atlantic. MCCIP Science Review, 2020, 322–353. </t>
  </si>
  <si>
    <t>https://doi.org/10.14465/2020.arc15.plk</t>
  </si>
  <si>
    <t xml:space="preserve">Rate: based on Fig. 6; estimated using centroid </t>
  </si>
  <si>
    <t>Need Ant's confirmation</t>
  </si>
  <si>
    <t xml:space="preserve">Leading edge </t>
  </si>
  <si>
    <t>Hughes, K. M., Dransfeld, L., &amp; Johnson, M. P. (2014). Changes in the spatial distribution of spawning activity by north-east Atlantic mackerel in warming seas: 1977–2010. Marine Biology, 161(11), 2563–2576. https://doi.org/10.1007/s00227-014-2528-1</t>
  </si>
  <si>
    <t>https://doi.org/10.1007/s00227-014-2528-1</t>
  </si>
  <si>
    <t xml:space="preserve">Rate: Based on figure 1. Use leading edge </t>
  </si>
  <si>
    <t xml:space="preserve">https://www.frontiersin.org/articles/10.3389/fmars.2020.576011/full </t>
  </si>
  <si>
    <t>Climate change cascades: Shifts in oceanography, species' ranges and subtidal marine</t>
  </si>
  <si>
    <t>community dynamics in eastern Tasmania</t>
  </si>
  <si>
    <t xml:space="preserve">The response of the </t>
  </si>
  <si>
    <t xml:space="preserve">copepod community to </t>
  </si>
  <si>
    <t xml:space="preserve">long-term warming along </t>
  </si>
  <si>
    <t>the east coast of Australia</t>
  </si>
  <si>
    <t xml:space="preserve">Beaugrand, G., McQuatters-Gollop, A., Edwards, M., &amp; Goberville, E. (2012). Long-term responses of North Atlantic calcifying plankton to climate change. Nature Climate Change, 3(3), 263–267. </t>
  </si>
  <si>
    <t>https://doi.org/10.1038/nclimate1753</t>
  </si>
  <si>
    <t>Limacina spp.</t>
  </si>
  <si>
    <t>Bivalve larvae</t>
  </si>
  <si>
    <t>Cocoolithophores</t>
  </si>
  <si>
    <t>Rate: Based on Figure 2</t>
  </si>
  <si>
    <t>https://doi.org/10.3354/meps09520</t>
  </si>
  <si>
    <t>Seasonal peak (months)</t>
  </si>
  <si>
    <t xml:space="preserve">Datatype: Intermittent periods of 1961-1974, 1978-1988, 1992-2000, 2001-2013; Shfit: based from Figure 3. Get the DOY peak in first and last time periods. In this case it is July for 1961-1974 and June for 2001-2013. Get the midpoint for each time period to calculate the timespan </t>
  </si>
  <si>
    <t>Datatype: Intermittent periods of 1961-1974, 1978-1988, 1992-2000, 2001-2013; Shfit: based from Figure 3. Get the DOY peak in first and last time periods. In this case it is July for 1961-1974 and June for 2001-2013. Get the midpoint for each time period to calculate the timespan. For this, since the peaks for the first and last time periods are a bit similar, we use the formula of Edwards and Richardson to calculate the DOY for each year using the abundances.</t>
  </si>
  <si>
    <t xml:space="preserve">Forsblom, L., Stoffers, T., Lindén, A., Maiju Lehtiniemi, &amp; Engström-Öst, J. (2024). Warming drives phenological changes in coastal zooplankton. Marine Biology, 171(5). </t>
  </si>
  <si>
    <t xml:space="preserve">Long/lat: estimated from Fig. 1; Shift: digitised from Fig. 4 using AI (manual estimates also gives roughly similar results) </t>
  </si>
  <si>
    <t>Seasonal peak abundance</t>
  </si>
  <si>
    <t xml:space="preserve">Usov, N. V., Khaitov, V. M., Kutcheva, I. P., &amp; Martynova, D. M. (2021). Phenological responses of the Arctic, ubiquitous, and boreal copepod species to long-term changes in the annual seasonality of the water temperature in the White Sea. Polar Biology, 44(5), 959–976. </t>
  </si>
  <si>
    <t>Borkman, D. G., Fofonoff, P., Smayda, T. J., &amp; Turner, J. T. (2018). Changing Acartia spp. phenology and abundance during a warming period in Narragansett Bay, Rhode Island, USA: 1972–1990. Journal of Plankton Research, 40(5), 580–594.</t>
  </si>
  <si>
    <t>Shift: based on Table II. I obtained the slope for the week 1 appearance and then since this is in weeks/year, I just converted it into days/decade</t>
  </si>
  <si>
    <t xml:space="preserve">Corona, S., Hirst, A. G., Atkinson, D., Renz, J., Boersma, M., &amp; Atkinson, A. (2024). Long‐term shifts in phenology, thermal niche, population size, and their interactions in marine pelagic copepods. Limnology and Oceanography, 69(3), 482–497. </t>
  </si>
  <si>
    <t>Long/lat: based on fig. 1; Years: based on Table 2; InitialDOY: based on Fig. 5c (first 10 years); Shift: based on fig 5c, computed by digitising the values for first 10 and final 10 years for the julian day. Abundance: based on Fig. 4, particularly (may to september). Note: just use the whole duration instead of the midpoints, as this will truncate the timespan</t>
  </si>
  <si>
    <t>Middle of the season</t>
  </si>
  <si>
    <t>Updated values from the Cooley et al. 2022</t>
  </si>
  <si>
    <t>Shift: digitised from fig; Consistency: although copepods shifted in days per decade over time, the abstract states that the results were not consistent; Season: based on Pol</t>
  </si>
  <si>
    <t>Shift digitsed from Fig. 1; Season: based on Pol</t>
  </si>
  <si>
    <t>Decapod larvae</t>
  </si>
  <si>
    <t>Shift: Based on Fig. 5, using the white values. Digitised the figure and got the slope and then converted it into days/decade (as plot is months/year)</t>
  </si>
  <si>
    <t>Earlier phenology with CC was framed in the Intro</t>
  </si>
  <si>
    <t>Warming advances phenology</t>
  </si>
  <si>
    <t xml:space="preserve">Zooplankton - holo </t>
  </si>
  <si>
    <t>Guinder et al. (2010) Long-term changes in phytoplankton phenology and community structure in the Bahı´a Blanca Estuary, Argentina. Mar Biol (2010) 157:2703–2716</t>
  </si>
  <si>
    <t>Bahia Blanca Estuary, Argentina</t>
  </si>
  <si>
    <t>Chl-a</t>
  </si>
  <si>
    <t>From Fig. 8c</t>
  </si>
  <si>
    <t>Tunin-Ley, A., F. Ibanez, J-P. Labat, A. Zingone and R. Lemee. 2009. Phytoplankton biodiversity and the NW Mediterranean Sea warming: changes in the dinoflagellate genus Ceratium in the 20th century. Marine Ecology Progress Series 375: 85-99</t>
  </si>
  <si>
    <t>Dinoflagellates</t>
  </si>
  <si>
    <t>Wiltshire, K.H. and B.F.J. Manly. 2004. The warming trend at Helgoland Roads, North Sea: phytoplankton response. Helgoland Marine Research 58: 269-273</t>
  </si>
  <si>
    <t>Rhizosolenia alata alata</t>
  </si>
  <si>
    <t>Odontella aurita</t>
  </si>
  <si>
    <t>Fragilaria spp.</t>
  </si>
  <si>
    <t>Asterionella glacialis</t>
  </si>
  <si>
    <t>Ceratium horridum</t>
  </si>
  <si>
    <t>Rhizosolenia imbrica shrubsolei</t>
  </si>
  <si>
    <t>Paralia sulcata</t>
  </si>
  <si>
    <t>Odontella sinensis</t>
  </si>
  <si>
    <t>Thalassiosira spp</t>
  </si>
  <si>
    <t>Philippart, C. J. M., H. M. van Aken, J. J. Beukema, O. G. Bos, G. C. Cadee, and R. Dekker. 2003. Climate-related changes in recruitment of the bivalve Macoma balthica. Limnology and Oceanography 48:2171-2185.</t>
  </si>
  <si>
    <t>Protozoa</t>
  </si>
  <si>
    <t>Ant: Phytoplankton values of 3,000 mg.m3 must be incorrect! Assume trend is OK</t>
  </si>
  <si>
    <t>Phytoplankton Colour Index</t>
  </si>
  <si>
    <t>Digitised rom Fig. 3. Used this rather than Total Phytoplankton because better idea of phytoplankton biomass</t>
  </si>
  <si>
    <t>Chivers et al. (2019) Phenological shuffling of major marine phytoplankton groups
over the last six decades. Biodiversity Research 26: 536-548.</t>
  </si>
  <si>
    <t>Central North Sea</t>
  </si>
  <si>
    <t>SST, Wind</t>
  </si>
  <si>
    <t>Warming leading to earlier peaks</t>
  </si>
  <si>
    <t>Data from Table 1 and Sections 6 and 7 in Supplement</t>
  </si>
  <si>
    <t>Asterionellopsis glacialis</t>
  </si>
  <si>
    <t>Chaetoceros (Hyalochaete)</t>
  </si>
  <si>
    <t>Chaetoceros (Phaeoceros)</t>
  </si>
  <si>
    <t>Cylindrotheca closterium</t>
  </si>
  <si>
    <t>Ditylum brightwelli</t>
  </si>
  <si>
    <t>Gyrosigma spp.</t>
  </si>
  <si>
    <t>Navicula spp.</t>
  </si>
  <si>
    <t>Proboscia alata</t>
  </si>
  <si>
    <t>Proboscia inermis</t>
  </si>
  <si>
    <t>Pseudo nitzschia delicatissima</t>
  </si>
  <si>
    <t>Pseudo nitzschia seriata</t>
  </si>
  <si>
    <t>Rhizosolenia hebetata</t>
  </si>
  <si>
    <t>Thalassionema nitzscioides</t>
  </si>
  <si>
    <t>Hjerne et al. (2019) Climate Driven Changes in Timing, Composition and Magnitude of the Baltic Sea Phytoplankton Spring Bloom. Frontiers in Marine Science 6: 15 pp.</t>
  </si>
  <si>
    <t>Baltic Sea</t>
  </si>
  <si>
    <t>SST, sunshine, wind, MLD</t>
  </si>
  <si>
    <t>Earlier blooms with warmer SST, more sunshine and less wind</t>
  </si>
  <si>
    <t>Data from Fig. 3. B1 (slope = -0.468, p = 0.001)</t>
  </si>
  <si>
    <t>Data from Fig. 3. B1 (slope = -0.436, p = 0.002)</t>
  </si>
  <si>
    <t>Data from Fig. 3. BY31 (slope = -0.578, p = 0.006)</t>
  </si>
  <si>
    <t>Data from Fig. 3. BY31 (slope = -0.316, p = 0.124)</t>
  </si>
  <si>
    <t>Scharfe &amp; Wiltshire (2019) Modeling of intra-annual abundance distributions: Constancy and variation in the phenology of marine phytoplankton species over five decades at Helgoland Roads (North Sea). Ecological Modelling 404: 46-60</t>
  </si>
  <si>
    <t>SST, sunshine, nutrients</t>
  </si>
  <si>
    <t>Mainly SST</t>
  </si>
  <si>
    <t>Digitised from Fig. 5. All species and peaks used. Spring moving forward and Autum moving back. Fig. 8a. Shows PC1 getting earlier in Spring. Fig. 8b. shows earlier then later in Summer</t>
  </si>
  <si>
    <t>PCA</t>
  </si>
  <si>
    <t>Chaetoceros spp.</t>
  </si>
  <si>
    <t>Ceratulina pelagica</t>
  </si>
  <si>
    <t>Guindardia flaccida</t>
  </si>
  <si>
    <t>Rhizosolenia setigera</t>
  </si>
  <si>
    <t>Guindardia delicatula</t>
  </si>
  <si>
    <t>Pseudo-nitzschia spp.</t>
  </si>
  <si>
    <t>Leptocylindricus minimus</t>
  </si>
  <si>
    <t>Detonula pumila</t>
  </si>
  <si>
    <t>Prorocentrum micans</t>
  </si>
  <si>
    <t>Wasmund et al. (2019) Extension of the growing season of phytoplankton in the western Baltic Sea in response to climate change. Marine Ecology Progress Series 622: 1-16</t>
  </si>
  <si>
    <t>Sunshine, SST, salinity, nutrients</t>
  </si>
  <si>
    <t>Mainly sunshine</t>
  </si>
  <si>
    <t>Fig. 7a. Slope for Spring Chl-a is -1.43 day/yr</t>
  </si>
  <si>
    <t>Mann-Kendall</t>
  </si>
  <si>
    <t>TimingDuration</t>
  </si>
  <si>
    <t>SST, salinity, nutrients</t>
  </si>
  <si>
    <t>Fig. 7b. Slope for Autumn Chl-a is +3.1 day/yr given in text</t>
  </si>
  <si>
    <t xml:space="preserve">Fig. 8. Slope for duration is 4.48 days/yr. Increasing duration is consistent with climate change. The substantial delay in Autumn bloom was not included even though it is consistent with climate change because it would be double dipping having Spring, Autum and Duration - should only include 2 of those 3. </t>
  </si>
  <si>
    <t>Bucci et al. (2020) Interannual variability in the thermal habitat of Alexandrium catenella in the Bay of Fundy and the implications of climate change. Frontiers in Marine Science 7: 587990</t>
  </si>
  <si>
    <t>Alexandrium catenella</t>
  </si>
  <si>
    <t>First occurrence</t>
  </si>
  <si>
    <t>SST, freshwater inflow</t>
  </si>
  <si>
    <t>Warmer temperature earlier blooms</t>
  </si>
  <si>
    <t>Values from Fig. 3 and main text</t>
  </si>
  <si>
    <t>https://essopenarchive.org/users/880404/articles/1259450-contrasting-phenology-shifts-in-the-tropical-indian-ocean-delays-in-the-north-and-advancements-in-the-south</t>
  </si>
  <si>
    <t>https://egusphere.copernicus.org/preprints/2025/egusphere-2025-1862/egusphere-2025-1862.pdf</t>
  </si>
  <si>
    <t>experiment</t>
  </si>
  <si>
    <t>Rhizoprionodon porosus</t>
  </si>
  <si>
    <t>Need to cross-check</t>
  </si>
  <si>
    <t>https://journals.plos.org/plosone/article?id=10.1371/journal.pone.0323675</t>
  </si>
  <si>
    <t>https://www.sciencedirect.com/science/article/pii/S0048969724031449?via%3Dihub</t>
  </si>
  <si>
    <t>https://www.sciencedirect.com/science/article/pii/S0025326X24001565?via%3Dihub</t>
  </si>
  <si>
    <t>https://onlinelibrary.wiley.com/doi/epdf/10.1111/gcb.17163?src=getftr&amp;utm_source=scopus&amp;getft_integrator=scopus</t>
  </si>
  <si>
    <t>https://onlinelibrary.wiley.com/doi/full/10.1111/gcb.17238?saml_referrer</t>
  </si>
  <si>
    <t>https://www.sciencedirect.com/science/article/pii/S0048969723041281#f0025</t>
  </si>
  <si>
    <t>https://marine.rutgers.edu/wp-content/uploads/2024/04/Turner_etal_2024_ChangingPhytoplanktonPhenologyMIZ.pdf</t>
  </si>
  <si>
    <t>https://besjournals.onlinelibrary.wiley.com/doi/full/10.1111/j.1365-2745.2008.01355.x</t>
  </si>
  <si>
    <t>Changes in chlorophyll concentration and phenology in the North Sea</t>
  </si>
  <si>
    <t>in relation to de-eutrophication and sea surface warming</t>
  </si>
  <si>
    <t>https://www.pmel.noaa.gov/foci/publications/2020/kimm0946.pdf</t>
  </si>
  <si>
    <t>refer to this for abundance: https://static-content.springer.com/esm/art%3A10.1038%2Fnclimate1958/MediaObjects/41558_2013_BFnclimate1958_MOESM357_ESM.pdf</t>
  </si>
  <si>
    <t xml:space="preserve">Reference </t>
  </si>
  <si>
    <t>Metric</t>
  </si>
  <si>
    <t>Thermal Preference</t>
  </si>
  <si>
    <t>Ratio</t>
  </si>
  <si>
    <r>
      <t xml:space="preserve">*Ratio: </t>
    </r>
    <r>
      <rPr>
        <sz val="11"/>
        <color theme="1"/>
        <rFont val="Aptos Narrow"/>
        <family val="2"/>
        <scheme val="minor"/>
      </rPr>
      <t>implied that is between warm-water is to cold-water species</t>
    </r>
  </si>
  <si>
    <t>Fig.4 Increase in warm-water species over time</t>
  </si>
  <si>
    <t>Community composition</t>
  </si>
  <si>
    <t xml:space="preserve">Group </t>
  </si>
  <si>
    <t xml:space="preserve">Zooplankton - holoplankton </t>
  </si>
  <si>
    <t>Warm-water</t>
  </si>
  <si>
    <t>Cold-water</t>
  </si>
  <si>
    <t xml:space="preserve">Zooplankton  - holoplankton </t>
  </si>
  <si>
    <t>Penilia avirostris</t>
  </si>
  <si>
    <t xml:space="preserve">Community regime shift index </t>
  </si>
  <si>
    <t>Fig. 8 Shift towards warm-water species</t>
  </si>
  <si>
    <t xml:space="preserve">North </t>
  </si>
  <si>
    <t>Climate change</t>
  </si>
  <si>
    <t>Atkinson, A. et al. (2004). Long-term decline in krill stock and increase in salps within the Southern Ocean. Nature 432: 100-103</t>
  </si>
  <si>
    <t>https://doi.org/10.1038/nature02996</t>
  </si>
  <si>
    <t>South</t>
  </si>
  <si>
    <t>Sea ice</t>
  </si>
  <si>
    <t>Edwards, M., Johns, D., Licandro, P., &amp; Stevens, A. (2007). Ecological status report Results from the North Atlantic CPR survey Monitoring the health of the oceans using planktonic indicators Ecological indicators Using a number of ecological indices, this report summarises unusual species found, large phytoplankton blooms, changes in community structure and trends in hydrobiological indicators from regions in the North Atlantic (with an emphasis on the North Sea). SAHFOS Technical Report, 4, 1–8.</t>
  </si>
  <si>
    <t>Chordates</t>
  </si>
  <si>
    <t>Salpa thompsoni</t>
  </si>
  <si>
    <t>Density change</t>
  </si>
  <si>
    <t>Fig. 2b and 2c. Looking at the density change per decade</t>
  </si>
  <si>
    <t>Beaugrand, G. et al. (2013). Long-term responses of North Atlantic calcifying plankton to climate change. Nature Climate Change 3(3): 263-26</t>
  </si>
  <si>
    <t>Coccolithophores</t>
  </si>
  <si>
    <t>Molluscs</t>
  </si>
  <si>
    <t>Zooplankton - meroplankton</t>
  </si>
  <si>
    <t>Change</t>
  </si>
  <si>
    <t>Increase</t>
  </si>
  <si>
    <t>Decrease</t>
  </si>
  <si>
    <t>PC1 of abundance</t>
  </si>
  <si>
    <t>Fig. 1 looking at the correlation between changes in abundance and PC1</t>
  </si>
  <si>
    <t>PC1 of frequency of occurrence</t>
  </si>
  <si>
    <t>Beaugrand, G. et al. (2008). Causes and projections of abrupt climate-driven ecosystem shifts in the North Atlantic. Ecology Letters 11: 1157-1168</t>
  </si>
  <si>
    <t>https://doi.org/10.1111/j.1461-0248.2008.01218.x</t>
  </si>
  <si>
    <t>PC1 and phytoplankton colour index</t>
  </si>
  <si>
    <t xml:space="preserve">Warming </t>
  </si>
  <si>
    <t xml:space="preserve">Fig. 3a. Phytoplankton colour index has a high correlation with PC1. PC1 increases over time </t>
  </si>
  <si>
    <t>Wiafe, G. et al. (2008). Impact of climate change on long-term zooplankton biomass in the upwelling region of the Gulf of Guinea. ICES Journal of Marine Science 65: 318-324</t>
  </si>
  <si>
    <t>https://doi.org/10.1093/icesjms/fsn042</t>
  </si>
  <si>
    <t>Gulf of Guinea</t>
  </si>
  <si>
    <t>Sardinella larvae</t>
  </si>
  <si>
    <t xml:space="preserve">Biomass change </t>
  </si>
  <si>
    <t>Biomass change</t>
  </si>
  <si>
    <t xml:space="preserve">The article did not explicitly say assumptions about their change in abundance with climate change </t>
  </si>
  <si>
    <t>Paragraph before Fig. 3 mentions lack of trend for larval abunance with time</t>
  </si>
  <si>
    <t>Fig. 3. Trend is mainly attributed to Calanoides carinatus which is cold-preferring</t>
  </si>
  <si>
    <t>Ward, P. et al. (2008). The summertime plankton community at South Georgia (Southern Ocean): Comparing the historical (1926/1927) and modern (post 1995) records. Progress in Oceanography 78: 241-256</t>
  </si>
  <si>
    <t>https://doi.org/10.1016/j.pocean.2008.05.003</t>
  </si>
  <si>
    <t>South Georgia</t>
  </si>
  <si>
    <t>Percentage similarity index</t>
  </si>
  <si>
    <t>Caveat: basis of consistency was if there was statistically significant results</t>
  </si>
  <si>
    <t>Fig. 7 and the paragraph before it "cannot be construed as a systematic change as the mean value reverted to its more normal range"</t>
  </si>
  <si>
    <t>A comparison using all the BAS and Discovery data (ignoring station effects) gives d = 0.48 (se = 0.37, p = 0.19)</t>
  </si>
  <si>
    <t>Sinclair, E.H., et al. (2008). Patterns in prey use among fur seals and seabirds in the Pribilof Islands. Deep-Sea Research II 55: 1897-1918</t>
  </si>
  <si>
    <t>Roemmich, D. and J. McGowan (1995). Climatic warming and the decline of zooplankton in the California Current. Science 267:1324-1326</t>
  </si>
  <si>
    <t>https://doi.org/10.1126/science.267.5202.1324</t>
  </si>
  <si>
    <t>California Current - Line 80</t>
  </si>
  <si>
    <t>California Current - Line 90</t>
  </si>
  <si>
    <t xml:space="preserve">Fig. 2A There's a decrease in both Line 90 </t>
  </si>
  <si>
    <t>Fig. 2B There's a decrease in Line 80</t>
  </si>
  <si>
    <t>Ohman, M.D. et al. (2009). Multi-decadal variations in calcareous holozooplankton in the California Current System: Thecosome pteropods, heteropods, and foraminifera. Geophysical Research Letters 36, L18608, doi:10.1029/2009GL039901</t>
  </si>
  <si>
    <t>https://doi.org/10.1029/2009GL039901</t>
  </si>
  <si>
    <t>Southern California</t>
  </si>
  <si>
    <t>Central California</t>
  </si>
  <si>
    <t>Heteropods</t>
  </si>
  <si>
    <t>Clio spp.</t>
  </si>
  <si>
    <t>Desmopterus spp.</t>
  </si>
  <si>
    <t>Atlanta spp.</t>
  </si>
  <si>
    <t>Less sensitive</t>
  </si>
  <si>
    <t>Sensitive</t>
  </si>
  <si>
    <t>Anthropogenic CO₂ → shoaling aragonite saturation horizon.</t>
  </si>
  <si>
    <t>warming + higher productivity may have boosted some taxa in Southern California.</t>
  </si>
  <si>
    <t>Fig. 1 based on appearance of trendline (with trendline = increasing abundance)</t>
  </si>
  <si>
    <t>Fig. 2 based on appearance of trendline (with trendline = increasing abundance)</t>
  </si>
  <si>
    <t>https://doi.org/10.1111/geb.12276</t>
  </si>
  <si>
    <t>Lloret, J. et al. (2015). How a multidisciplinary approach involving ethnoecology, biology and fisheries can help explain the spatio-temporal changes in marine fish abundance resulting from climate change. Global Ecology and Biogeography 24(4): 448-461</t>
  </si>
  <si>
    <t>Northwestern Mediterranean</t>
  </si>
  <si>
    <t>Continuous annual landings</t>
  </si>
  <si>
    <t>Interval annual landings</t>
  </si>
  <si>
    <t>Auxis rochei rochei</t>
  </si>
  <si>
    <t>Caranx rhonchus</t>
  </si>
  <si>
    <t>Pomatomus saltatrix</t>
  </si>
  <si>
    <t>Sardinella aurita</t>
  </si>
  <si>
    <t>Seriola dumerili</t>
  </si>
  <si>
    <t>Sphyraena viridensis</t>
  </si>
  <si>
    <t xml:space="preserve">Trachinotus ovatus </t>
  </si>
  <si>
    <t>Table 3. Comparison of larval abundance between ichthyoplankton surveys (1983 vs 2004)</t>
  </si>
  <si>
    <t>Warming and salinity</t>
  </si>
  <si>
    <t>Fig. 3 Looking at the overall trend in abundance</t>
  </si>
  <si>
    <t>Fig. 4 Looking at the trend line for May to September</t>
  </si>
  <si>
    <t>The overall consistency seems a bit sketch</t>
  </si>
  <si>
    <t>Atlantic Sector</t>
  </si>
  <si>
    <t xml:space="preserve">Fig. 13a and 13b. It shows general inverse pattern </t>
  </si>
  <si>
    <t>Du, P., Ye, W.-J., Deng, B.-P., Mao, M., Zhu, Y.-L., Cheng, F.-P., Jiang, Z.-B., Shou, L., &amp; Chen, Q.-Z. (2022). Long-term changes in zooplankton in the Changjiang estuary from the 1960s to 2020. Frontiers in Marine Science, 9. https://doi.org/10.3389/fmars.2022.961591</t>
  </si>
  <si>
    <t>https://doi.org/10.3389/fmars.2022.961591</t>
  </si>
  <si>
    <t>Changjiang estuary</t>
  </si>
  <si>
    <t>Abundance of dominant species in summer</t>
  </si>
  <si>
    <t>Acartia pacifica</t>
  </si>
  <si>
    <t>Centropages dorsipinatus</t>
  </si>
  <si>
    <t>Calanus sinicus</t>
  </si>
  <si>
    <t>Labidocera euchaeta</t>
  </si>
  <si>
    <t>Paracalanus aculeatus</t>
  </si>
  <si>
    <t>Euchaeta spp.</t>
  </si>
  <si>
    <t>Coldwater</t>
  </si>
  <si>
    <t>Fig. 4 Looking at the overall trend; thermal preference implied/discussed in the discussion</t>
  </si>
  <si>
    <t>https://www.sciencedirect.com/science/article/pii/S1470160X23006015</t>
  </si>
  <si>
    <t>https://www.sciencedirect.com/science/article/pii/S0967064523000681</t>
  </si>
  <si>
    <t>https://academic.oup.com/icesjms/article/79/5/1649/6605793?login=false</t>
  </si>
  <si>
    <t>https://www.researchgate.net/publication/258927511_Impacts_of_climate_change_on_plankton</t>
  </si>
  <si>
    <t>ratio</t>
  </si>
  <si>
    <t>https://oap.ospar.org/en/ospar-assessments/quality-status-reports/qsr-2023/indicator-assessments/changes-plankton-communities/</t>
  </si>
  <si>
    <t>abundance</t>
  </si>
  <si>
    <t>https://www.frontiersin.org/journals/marine-science/articles/10.3389/fmars.2022.945204/full?utm_source=chatgpt.com</t>
  </si>
  <si>
    <t>https://onlinelibrary.wiley.com/doi/10.1111/geb.13659?utm_source=chatgpt.com</t>
  </si>
  <si>
    <t>https://egusphere.copernicus.org/preprints/2025/egusphere-2025-470/egusphere-2025-470.pdf</t>
  </si>
  <si>
    <t>https://pmc.ncbi.nlm.nih.gov/articles/PMC4888292/</t>
  </si>
  <si>
    <t>https://www.researchgate.net/publication/270841387_Variability_in_northwards_extension_of_warm_water_copepods_in_the_NE_Pacific</t>
  </si>
  <si>
    <t>https://journals.plos.org/plosone/article?id=10.1371%2Fjournal.pone.0158230&amp;utm_source=chatgpt.com</t>
  </si>
  <si>
    <t>https://www.frontiersin.org/files/Articles/779335/fmars-09-779335-HTML/image_m/fmars-09-779335-g005.jpg</t>
  </si>
  <si>
    <t>https://archimer.ifremer.fr/doc/00587/69895/67801.pdf?utm_source=chatgpt.com</t>
  </si>
  <si>
    <t>Chevaldonne, P. and C. Lejeusne (2003). Regional warming-induced species shift in north-west Mediterranean marine caves. Ecology Letters 6:371-379</t>
  </si>
  <si>
    <t>https://doi.org/10.1046/j.1461-0248.2003.00439.x</t>
  </si>
  <si>
    <t>Jarre, Northwestern Mediterranean</t>
  </si>
  <si>
    <t>Plane, Northwest Mediterranean</t>
  </si>
  <si>
    <t>Riou, Northwest Mediterranean</t>
  </si>
  <si>
    <t>Figuier, Northwest Mediterranean</t>
  </si>
  <si>
    <t>Tiperie, Northwest Mediterranean</t>
  </si>
  <si>
    <t>Congre, Northwest Mediterranean</t>
  </si>
  <si>
    <t>Tremies, Northwest Mediterranean</t>
  </si>
  <si>
    <t>Port-Miou, Northwest Mediterranean</t>
  </si>
  <si>
    <t>Jarre II, Northwestern Mediterranean</t>
  </si>
  <si>
    <t>Mysids</t>
  </si>
  <si>
    <t xml:space="preserve">Presence/absence of species </t>
  </si>
  <si>
    <t>Table 2. Shift from H. speluncola to H. margalefi</t>
  </si>
  <si>
    <t>Table 2. Appearance from H. margalefi from not being observed</t>
  </si>
  <si>
    <t>Table 2. Disappearance of cold water species H. speluncola</t>
  </si>
  <si>
    <t>Warm-watter</t>
  </si>
  <si>
    <t>Hemimysis speluncola</t>
  </si>
  <si>
    <t>Hemimysis margalefi</t>
  </si>
  <si>
    <t>Chevaldonne, P. and C. Lejeusne (2003). Regional warming-induced species shift in north-west Mediterranean marine caves. Ecology Letters 6:371-380</t>
  </si>
  <si>
    <t>Kirby, R.R. et al. (2009). Synergistic effects of climate and fishing in a marine ecosystem. Ecosystems 12:548-561</t>
  </si>
  <si>
    <t> https://doi.org/10.1007/s10021-009-9241-9</t>
  </si>
  <si>
    <t xml:space="preserve">Phytoplankton </t>
  </si>
  <si>
    <t>Decapods</t>
  </si>
  <si>
    <t>Bivalves</t>
  </si>
  <si>
    <t>Cnidaria</t>
  </si>
  <si>
    <t>Holozooplankton</t>
  </si>
  <si>
    <t>Annual landings</t>
  </si>
  <si>
    <t>PCI</t>
  </si>
  <si>
    <t>Fig. 1 Looking at overall trend</t>
  </si>
  <si>
    <t>Fig. 1 Looking at overall trend; expectation is to increase with warming</t>
  </si>
  <si>
    <t>Fig. 1 Looking at overall trend; expected decline of cold-affinity taxa</t>
  </si>
  <si>
    <t>Fig. 1 Looking at overall trend; expected to increase with warmer waters</t>
  </si>
  <si>
    <t>https://doi.org/10.1073/pnas.1006141107</t>
  </si>
  <si>
    <t>Kamenos, N. A. (2010). North Atlantic summers have warmed more than winters since 1353, and the response of marine zooplankton. Proceedings of the National Academy of Sciences, 107(52), 22442–22447. https://doi.org/10.1073/pnas.1006141107</t>
  </si>
  <si>
    <t>Fig. 3</t>
  </si>
  <si>
    <t>https://agupubs.onlinelibrary.wiley.com/doi/full/10.1029/2022GL100230?utm_source=chatgpt.com</t>
  </si>
  <si>
    <t>global projection</t>
  </si>
  <si>
    <t>da, T., Carolina, Laura, de, C., Carolina, A., Bittar, V. T., Artioli, Y., Guillem Chust, Mariani, P., Oda, T. O., Rodrigues, A. R., Gasalla, M. A., Coutinho, R., &amp; Fernandes, L. (2024). Early warning indicators of decadal shifts in the planktonic assemblage of the Cabo Frio upwelling ecosystem. Ecological Indicators, 167, 112674–112674. https://doi.org/10.1016/j.ecolind.2024.112674</t>
  </si>
  <si>
    <t>https://doi.org/10.1016/j.ecolind.2024.112674</t>
  </si>
  <si>
    <t>Cabo Frio</t>
  </si>
  <si>
    <t>RDA</t>
  </si>
  <si>
    <t>Fig. 9 shift from cold-water diatoms to warm-water dinoflagellates</t>
  </si>
  <si>
    <t>Fig. 9 Shift from cold-water copepods to warm-water cladoceran</t>
  </si>
  <si>
    <t>Kirby, R. et al. (2008). Climate-induced effects on the meroplankton and the benthic-pelagic ecology of the North Sea. Limnology and Oceanography 53: 1805-1815.</t>
  </si>
  <si>
    <t>https://doi.org/10.4319/lo.2008.53.5.1805</t>
  </si>
  <si>
    <t>Arthropod</t>
  </si>
  <si>
    <t>In the intro, they state that meroplankton would generally increase with increase SST; Based on Fig. 1</t>
  </si>
  <si>
    <t>In the intro, they state that meroplankton would generally increase with increase SST; Based on Fig. 2</t>
  </si>
  <si>
    <t>In the intro, they state that meroplankton would generally increase with increase SST; based on fig. 3</t>
  </si>
  <si>
    <t>In the intro, they state that meroplankton would generally increase with increase SST; No clear change based on fig. 4</t>
  </si>
  <si>
    <t>In the intro, warming will inc phytoplankton</t>
  </si>
  <si>
    <t>No clear change based on fig. 6</t>
  </si>
  <si>
    <t>No clear change based on fig. 7</t>
  </si>
  <si>
    <t>https://doi.org/10.4319/lo.2008.53.5.1806</t>
  </si>
  <si>
    <t>Cyphonates</t>
  </si>
  <si>
    <t>In the intro, they state that meroplankton would generally increase with increase SST; No clear change based on fig. 5</t>
  </si>
  <si>
    <t>PC log abundance</t>
  </si>
  <si>
    <t>Cirripede</t>
  </si>
  <si>
    <t>Bryozoa</t>
  </si>
  <si>
    <t>Hsieh, C. et al. (2009). Climate-driven changes in abundance and distribution of larvae of oceanic fishes in the southern Californian region. Global Change Biology 15: 2137-2152</t>
  </si>
  <si>
    <t>https://doi.org/10.1111/j.1365-2486.2009.01875.x</t>
  </si>
  <si>
    <t>Chiasmodon niger</t>
  </si>
  <si>
    <t>Cyclothone spp. (signata)</t>
  </si>
  <si>
    <t>Diaphus theta</t>
  </si>
  <si>
    <t>Hygophum reinhardtii</t>
  </si>
  <si>
    <t>Melamphaes spp. (lugubris, parvus)</t>
  </si>
  <si>
    <t>Microstoma sp.</t>
  </si>
  <si>
    <t>Myctophidae</t>
  </si>
  <si>
    <t>Myctophum nitidulum</t>
  </si>
  <si>
    <t>Nannobrachium spp. (ritteri)</t>
  </si>
  <si>
    <t>Paralepididae (Lestidiops ringens)</t>
  </si>
  <si>
    <t>Poromitra spp. (crassiceps)</t>
  </si>
  <si>
    <t>Scopelarchidae</t>
  </si>
  <si>
    <t>Scopelogadus bispinosus</t>
  </si>
  <si>
    <t>Scopelosaurus spp.</t>
  </si>
  <si>
    <t>Sternoptychidae (Argyropelecus spp.)</t>
  </si>
  <si>
    <t>Tactostoma macropus</t>
  </si>
  <si>
    <t>Cold</t>
  </si>
  <si>
    <t>Broad</t>
  </si>
  <si>
    <t>Warm</t>
  </si>
  <si>
    <t>Number of larvae</t>
  </si>
  <si>
    <t>-</t>
  </si>
  <si>
    <t>Based on Table 2 and Table 3</t>
  </si>
  <si>
    <t>Gibbons M. and A.J. Richardson (2009). Patterns of jellyfish abundance in the North Atlantic. Hydrobiologia 616: 51-65.</t>
  </si>
  <si>
    <t> https://doi.org/10.1007/978-1-4020-9749-2_4</t>
  </si>
  <si>
    <t>Oceanic jellyfish</t>
  </si>
  <si>
    <t>Shelf jellyfish</t>
  </si>
  <si>
    <t>The expectation for oceanic jellyfish is it will increase with climate change</t>
  </si>
  <si>
    <t>Link with climate change is not straighforward</t>
  </si>
  <si>
    <t>PCA of abundance</t>
  </si>
  <si>
    <t>Kirby, R. R., &amp; Beaugrand, G. (2009). Trophic amplification of climate warming. Proceedings of the Royal Society B Biological Sciences, 276(1676), 4095–4103.</t>
  </si>
  <si>
    <t>https://doi.org/10.1098/rspb.2009.1320</t>
  </si>
  <si>
    <t>PC1 and abundance</t>
  </si>
  <si>
    <t>Zooplankton - holoplankton</t>
  </si>
  <si>
    <t>Total holozooplankton</t>
  </si>
  <si>
    <t>Jellyfish frequency</t>
  </si>
  <si>
    <t>Expected increase</t>
  </si>
  <si>
    <t>https://doi.org/10.1098/rspb.2009.1321</t>
  </si>
  <si>
    <t>Intro: expected increase; Fig. 3</t>
  </si>
  <si>
    <t>Intro: expected increase; Fig. 3 [the trend shows inc in abundance but then decreases?? Not consistently increasing</t>
  </si>
  <si>
    <t>Cold -&gt; Warm</t>
  </si>
  <si>
    <t xml:space="preserve">Based on fig.3 </t>
  </si>
  <si>
    <t>This is good but there is also human intervention</t>
  </si>
  <si>
    <t>Subarctic Zone</t>
  </si>
  <si>
    <t>Polar Frontal and Permanent Open Ocean Zone</t>
  </si>
  <si>
    <t>Sea Ice Zone</t>
  </si>
  <si>
    <t>All Zones</t>
  </si>
  <si>
    <t xml:space="preserve">South </t>
  </si>
  <si>
    <t>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</si>
  <si>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</si>
  <si>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https://doi.org/10.3389/fmars.2022.945205</t>
  </si>
  <si>
    <t>Fig. 2 Shift from cold-water dinoflagellates to warm water diatoms</t>
  </si>
  <si>
    <t>Cold -&gt;  Warm</t>
  </si>
  <si>
    <t>Fig. 2 decline in copepods</t>
  </si>
  <si>
    <t>https://www.frontiersin.org/journals/marine-science/articles/10.3389/fmars.2022.861297/full</t>
  </si>
  <si>
    <t>Jansson, A., Riina Klais‐Peets, Grinienė, E., Gunta Rubene, Semenova, A., Aleksandra Lewandowska, &amp; Engström‐Öst, J. (2020). Functional shifts in estuarine zooplankton in response to climate variability. Ecology and Evolution, 10(20), 11591–11606.</t>
  </si>
  <si>
    <t xml:space="preserve"> https://doi.org/10.1002/ece3.6793</t>
  </si>
  <si>
    <t xml:space="preserve">Gulf of Riga, Baltic Sea </t>
  </si>
  <si>
    <t>Proportional abundance</t>
  </si>
  <si>
    <t>In the discussion, there is an expectation that Copepods will decline while rotifers and cladocerans will increase with respect to T; Based on Fig. 5</t>
  </si>
  <si>
    <t>https://www.researchgate.net/publication/255607757_Exceptional_abundance_of_the_snake_pipefish_Entelurus_aequoreus_in_the_north-eastern_Atlantic_Ocean</t>
  </si>
  <si>
    <t>Lindley, J.A. et al. (2006). Exceptional abundance of the snake pipefish (Entelurus aequoreus) in the north-eastern Atlantic Ocean. ICES 2006 Annual Science Conference, International Council for the Exploration of the Sea ICES CM 2006/C:06</t>
  </si>
  <si>
    <t>Entelurus adquoreus</t>
  </si>
  <si>
    <t xml:space="preserve">Annual biomass </t>
  </si>
  <si>
    <t>Fig. 2</t>
  </si>
  <si>
    <t>Fig. 3 the trend is the same across all areas</t>
  </si>
  <si>
    <t>Hsieh, C. H., et al. (2005). A comparison of long-term trends and variability in populations of larvae of exploited and unexploited fishes in the southern California Current. Progress in Oceanography 67: 160-185</t>
  </si>
  <si>
    <t>https://doi.org/10.1016/j.pocean.2005.05.002</t>
  </si>
  <si>
    <t>Southern California region</t>
  </si>
  <si>
    <t>Bathylagus ochotensis</t>
  </si>
  <si>
    <t>Cyclothone spp.</t>
  </si>
  <si>
    <t>Melamphaes spp.</t>
  </si>
  <si>
    <t>Microstoma spp.</t>
  </si>
  <si>
    <t>Nannobrachium spp.</t>
  </si>
  <si>
    <t>Paralepididae</t>
  </si>
  <si>
    <t>Poromitra spp.</t>
  </si>
  <si>
    <t>Sternoptychidae</t>
  </si>
  <si>
    <t>Paralabrax spp.</t>
  </si>
  <si>
    <t>Sciaenidae</t>
  </si>
  <si>
    <t>Sebastes spp.</t>
  </si>
  <si>
    <t>Sebastolobus spp.</t>
  </si>
  <si>
    <t>Agonidae</t>
  </si>
  <si>
    <t>Zaniolepis spp.</t>
  </si>
  <si>
    <t>Hypsoblennius spp.</t>
  </si>
  <si>
    <t>Cold (Subarctic-transitional)</t>
  </si>
  <si>
    <t>Cold (Transitional)</t>
  </si>
  <si>
    <t>Warm (Temperate to tropical)</t>
  </si>
  <si>
    <t>Warm (Tropical–subtropical)</t>
  </si>
  <si>
    <t>Unspecified (Broad)</t>
  </si>
  <si>
    <t>Warm (Subtropical)</t>
  </si>
  <si>
    <t>Unspecified (Mixed lanternfishes)</t>
  </si>
  <si>
    <t>Unspecified (Mixed)</t>
  </si>
  <si>
    <t>Unspecified (Cosmopolitan)</t>
  </si>
  <si>
    <t>Unspecified (Deep-sea)</t>
  </si>
  <si>
    <t>Warm (Tropical)</t>
  </si>
  <si>
    <t>Unspecified (Mixed hatchetfishes)</t>
  </si>
  <si>
    <t>Temperate (Broad, all)</t>
  </si>
  <si>
    <t>Cold-temperate (Broad north)</t>
  </si>
  <si>
    <t>Warm (Broad, all)</t>
  </si>
  <si>
    <t>Warm (Broad south)</t>
  </si>
  <si>
    <t>Cold-temperate (Mixed rockfishes)</t>
  </si>
  <si>
    <t>Warm (Bight)</t>
  </si>
  <si>
    <t>Stable</t>
  </si>
  <si>
    <t>Decrrease</t>
  </si>
  <si>
    <t>Incresae</t>
  </si>
  <si>
    <t>Larval mean abundances</t>
  </si>
  <si>
    <t>Based on Table 5, by looking at the differences between the mean abundances for the cold and warm periods</t>
  </si>
  <si>
    <t>Should we include or not include?</t>
  </si>
  <si>
    <t>Dunn, R. P., Allen, D. M., Batchelder, L. J., Kimball, M. E., Mallick, N., Pfirrmann, B. W., Stone, J. P., &amp; Wachala, S. N. (2025). Penaeid shrimp postlarval abundance, phenology, and links to environmental conditions over four decades. Marine Ecology Progress Series. https://doi.org/10.3354/meps14903</t>
  </si>
  <si>
    <t>https://doi.org/10.3354/meps14903</t>
  </si>
  <si>
    <t xml:space="preserve">North Inlet Estuary, South Carolina, USA </t>
  </si>
  <si>
    <t>P. aztecus</t>
  </si>
  <si>
    <t>https://doi.org/10.3354/meps14904</t>
  </si>
  <si>
    <t>All spp.</t>
  </si>
  <si>
    <t>Mean day of abundance</t>
  </si>
  <si>
    <t>P. duorarum (pink shrimp)</t>
  </si>
  <si>
    <t>Penaeus setiferus (white shrimp)</t>
  </si>
  <si>
    <t>Coordinates from Google; digitised the slope of the linear regression given Fig. S5 and multipled it with the slope of the Year and mean annual T in Fig. S3 to get the phenology</t>
  </si>
  <si>
    <t>T, salinity</t>
  </si>
  <si>
    <t>Earlier phenology with warming</t>
  </si>
  <si>
    <t>phytoplankton</t>
  </si>
  <si>
    <t xml:space="preserve">https://academic.oup.com/icesjms/article/80/4/775/7028404 </t>
  </si>
  <si>
    <t xml:space="preserve">https://www.sciencedirect.com/science/article/pii/S0924796322001312 </t>
  </si>
  <si>
    <t>https://doi.org/10.1016/j.pocean.2015.04.023</t>
  </si>
  <si>
    <t>Atkinson, A., Harmer, R. A., Widdicombe, C. E., McEvoy, A. J., Smyth, T. J., Cummings, D. G., Somerfield, P. J., Maud, J. L., &amp; McConville, K. (2015). Questioning the role of phenology shifts and trophic mismatching in a planktonic food web. Progress in Oceanography, 137, 498–512. https://doi.org/10.1016/j.pocean.2015.04.023
‌</t>
  </si>
  <si>
    <t>Nanoflagellate biomass (FG)</t>
  </si>
  <si>
    <t>Colourless flagellates (N)</t>
  </si>
  <si>
    <t>Bodonids (N)</t>
  </si>
  <si>
    <t>Phaeocystis spp. biomass (FG)</t>
  </si>
  <si>
    <t>Diatom biomass (FG)</t>
  </si>
  <si>
    <t>Autotrophic dinoflagellate biomass (FG)</t>
  </si>
  <si>
    <t>Coccolithophore biomass (FG)</t>
  </si>
  <si>
    <t>Ciliate biomass (FG)</t>
  </si>
  <si>
    <t>Mesodinium rubrum (C)</t>
  </si>
  <si>
    <t>Strombidium spp. small (C)</t>
  </si>
  <si>
    <t>Strombidium spp. medium size (C)</t>
  </si>
  <si>
    <t>Strombidium spp. large (C)</t>
  </si>
  <si>
    <t>All other ciliates (C)</t>
  </si>
  <si>
    <t>Heterotrophic dinoflagellate biomass (FG)</t>
  </si>
  <si>
    <t>Gyrodinium spp. (HD)</t>
  </si>
  <si>
    <t>Katodinium spp. (HD)</t>
  </si>
  <si>
    <t>Noctiluca scintillans (HD)</t>
  </si>
  <si>
    <t>Protoperidinium spp. (HD)</t>
  </si>
  <si>
    <t>Small Peridinian species (HD)</t>
  </si>
  <si>
    <t>All other colourless dinoflagellates (HD)</t>
  </si>
  <si>
    <t>Meroplankton abundance (FG)</t>
  </si>
  <si>
    <t>Anemone larvae (M)</t>
  </si>
  <si>
    <t>Polychaete larvae (M)</t>
  </si>
  <si>
    <t>Gastropod larvae (M)</t>
  </si>
  <si>
    <t>Bivalve larvae (M)</t>
  </si>
  <si>
    <t>Echinoderm larvae (M)</t>
  </si>
  <si>
    <t>Cirripede nauplii (M)</t>
  </si>
  <si>
    <t>Cirripede cyprid (M)</t>
  </si>
  <si>
    <t>Decapod larvae (M)</t>
  </si>
  <si>
    <t>Holoplankton abundance (FG)</t>
  </si>
  <si>
    <t>Appendicularians (H)</t>
  </si>
  <si>
    <t>Evadne spp. (H)</t>
  </si>
  <si>
    <t>Podon spp. (H)</t>
  </si>
  <si>
    <t>Gammarid amphipods (H)</t>
  </si>
  <si>
    <t>Copepod nauplii (H)</t>
  </si>
  <si>
    <t>Acartia clausi (H)</t>
  </si>
  <si>
    <t>Calanus helgolandicus (H)</t>
  </si>
  <si>
    <t>Centropages typicus (H)</t>
  </si>
  <si>
    <t>Euterpina acutifrons (H)</t>
  </si>
  <si>
    <t>Metridia lucens (H)</t>
  </si>
  <si>
    <t>Microsetella spp. (H)</t>
  </si>
  <si>
    <t>Oithona spp. (H)</t>
  </si>
  <si>
    <t>Oncaea spp. (H)</t>
  </si>
  <si>
    <t>Paracalanus parvus (H)</t>
  </si>
  <si>
    <t>Pseudocalanus elongatus (H)</t>
  </si>
  <si>
    <t>Subeucalanus spp. (H)</t>
  </si>
  <si>
    <t>Temora longicornis (H)</t>
  </si>
  <si>
    <t>Carnivorous zooplankton abundance (FG)</t>
  </si>
  <si>
    <t>Medusae (P)</t>
  </si>
  <si>
    <t>Siphonophores (P)</t>
  </si>
  <si>
    <t>Ctenophores (P)</t>
  </si>
  <si>
    <t>Chaetognaths (P)</t>
  </si>
  <si>
    <t>Candacia armata (P)</t>
  </si>
  <si>
    <t>Ditrichocorycaeus anglicus (P)</t>
  </si>
  <si>
    <t>Fish eggs (P)</t>
  </si>
  <si>
    <t>Fish larvae (P)</t>
  </si>
  <si>
    <t>L4 station, Western Chanel</t>
  </si>
  <si>
    <t>Other zooplankton</t>
  </si>
  <si>
    <t>Chaetognaths</t>
  </si>
  <si>
    <t>Mean of four phenological indices (Threshold date, 25% cumulative date, median timing, COG)</t>
  </si>
  <si>
    <t>T</t>
  </si>
  <si>
    <t>Protozoan consumer; article gives no direction for this metric; overall signal weak at L4.</t>
  </si>
  <si>
    <t>Consumer; earlier fits broad “consumers respond to T” expectation; L4 overall weak but sign aligns.</t>
  </si>
  <si>
    <t>As above.</t>
  </si>
  <si>
    <t>Primary producer; article expects smaller change than consumers—this is large in magnitude.</t>
  </si>
  <si>
    <t>Producer with small/limited shifts expected; this is moderate—flag as borderline.</t>
  </si>
  <si>
    <t>Producer; small shift fits “producers change less.”</t>
  </si>
  <si>
    <t>Producer; large magnitude conflicts with “less change than consumers.”</t>
  </si>
  <si>
    <t>Consumer but article reports many exceptions; small/weak change.</t>
  </si>
  <si>
    <t>Mixotroph; article gives no specific direction.</t>
  </si>
  <si>
    <t>Consumer; small earlier shift aligns with broad expectation.</t>
  </si>
  <si>
    <t>Direction fits consumer expectation; note article warns many exceptions.</t>
  </si>
  <si>
    <t>Consumer; earlier fits broad pattern.</t>
  </si>
  <si>
    <t>Explicitly highlighted as temperature-sensitive and earlier when warmer.</t>
  </si>
  <si>
    <t>Consumer; earlier fits broad expectation.</t>
  </si>
  <si>
    <t>Consumer; strong later shift opposes the broad “earlier” expectation; article gives no exception here.</t>
  </si>
  <si>
    <t>Consumer but small later shift; article shows weak/variable signals.</t>
  </si>
  <si>
    <t>Consumer; earlier shift.</t>
  </si>
  <si>
    <t>Consumer; later shift opposite to broad expectation.</t>
  </si>
  <si>
    <t>Mixed group; article notes ID limits &amp; variability.</t>
  </si>
  <si>
    <t>Meroplankton larvae generally expected to advance with T.</t>
  </si>
  <si>
    <t>Meroplankton expected earlier; this is later.</t>
  </si>
  <si>
    <t>Small shift; article gives no firm direction for this group at L4.</t>
  </si>
  <si>
    <t>Meroplankton expected earlier; this is much later.</t>
  </si>
  <si>
    <t>Earlier fits meroplankton expectation.</t>
  </si>
  <si>
    <t>Expected earlier; small later shift → unclear.</t>
  </si>
  <si>
    <t>Expected earlier; observed later.</t>
  </si>
  <si>
    <t>Mixed decapod larvae; small later shift.</t>
  </si>
  <si>
    <t>Aggregate metric; article doesn’t state a direction.</t>
  </si>
  <si>
    <t>Consumer likely responsive, but article gives no taxon-specific direction at L4.</t>
  </si>
  <si>
    <t>Cladoceran consumer; later shift conflicts with broad earlier expectation.</t>
  </si>
  <si>
    <t>Earlier fits consumer expectation.</t>
  </si>
  <si>
    <t>Hyperbenthic; not central to article’s phenology assumptions.</t>
  </si>
  <si>
    <t>Development generally speeds with T (earlier expected); later observed.</t>
  </si>
  <si>
    <t>Explicitly highlighted as earlier when warmer.</t>
  </si>
  <si>
    <t>Consumer; earlier shift plausible; article doesn’t single it out.</t>
  </si>
  <si>
    <t>Consumer; later shift.</t>
  </si>
  <si>
    <t>Harpacticoid consumer; later shift.</t>
  </si>
  <si>
    <t>Near zero; article reports weak/variable signals.</t>
  </si>
  <si>
    <t>No trend; fits “weak shifts at L4.”</t>
  </si>
  <si>
    <t>Later shift; consumer expectation would be earlier.</t>
  </si>
  <si>
    <t>Near zero; article notes many exceptions/weak signals.</t>
  </si>
  <si>
    <t>Predator timing tracks prey; article found no coupling at L4.</t>
  </si>
  <si>
    <t>Gelatinous timing is system-specific; article gives no direction.</t>
  </si>
  <si>
    <t>Large earlier shift but gelatinous direction not assumed in article.</t>
  </si>
  <si>
    <t>Predator; article found no trophic timing relationships.</t>
  </si>
  <si>
    <t>Small change; article’s overall signal weak.</t>
  </si>
  <si>
    <t>Direction species-dependent; article doesn’t specify at L4.</t>
  </si>
  <si>
    <t>Earlier could fit spring-spawner expectation, but article treats fish responses as variable and evidence sparse.</t>
  </si>
  <si>
    <t>To calculate the rate, digitised fig 2b to get the slope (*C/year) and the multiplied it with the phenological change (days/*C). The general notion for consistency is earlier unless otherwise mentioned differently for particular taxa in the article</t>
  </si>
  <si>
    <t>Unspecified copepods</t>
  </si>
  <si>
    <t>Cnidarians</t>
  </si>
  <si>
    <t xml:space="preserve">https://doi.org/10.3354/meps09520 </t>
  </si>
  <si>
    <t>pdf cannot be retrieved = no validation; -19.26 in Pol, but -10.34 in Ant’s</t>
  </si>
  <si>
    <t xml:space="preserve">https://doi.org/10.1093/plankt/fby029 </t>
  </si>
  <si>
    <r>
      <t>Season: based on Figure 2. InitialDOY can't be obtained as Julian day are averaged out for the entire period, but the season can be estimated from the peaks; Shift: based on Figure 4 by multiplying the slope with the number of years (duration) divided by 10 (decade)</t>
    </r>
    <r>
      <rPr>
        <b/>
        <sz val="11"/>
        <color theme="1"/>
        <rFont val="Calibri"/>
        <family val="2"/>
      </rPr>
      <t>. As there is shift for the beginning and the end of the seasons, I get their average</t>
    </r>
  </si>
  <si>
    <t>Other copepods</t>
  </si>
  <si>
    <t>Based on Table 2. Updated the values to average the values between seasons for bimodal species</t>
  </si>
  <si>
    <t>HSIEH, C., KIM, H. J., WATSON, W., LORENZO, E. D., &amp; SUGIHARA, G. (2009). Climate‐driven changes in abundance and distribution of larvae of oceanic fishes in the southern California region. Global Change Biology, 15(9), 2137–2152. https://doi.org/10.1111/j.1365-2486.2009.01875.x</t>
  </si>
  <si>
    <t>CalCOFI, Southern California</t>
  </si>
  <si>
    <t>Equatorward</t>
  </si>
  <si>
    <t>Based on Fig. 6 but mostly supplemented by the paragraph before it (what was written); thermal preferences are provided in Table 2. General direction should be poleward unless warm-affinity species)</t>
  </si>
  <si>
    <t>Beaugrand, G., Reid, P.C., Ibañez, F., Lindley, J.A. &amp; Edwards, M. (2002) Reorganization of North Atlantic marine copepod biodiversity and climate. Science, 296, 1692-1694.</t>
  </si>
  <si>
    <t>Calanoid assemblages</t>
  </si>
  <si>
    <t>Lindley, J.A., Batten, S.D., Coyle, K.O. &amp; Pinched, A.I. (2004) Regular occurrence of Thysanoessa inspinata (Crustacea: Euphausiacea) in the Gulf of Alaska. Journal of the Marine Biological Association of the U.K., 84, 1033-1037.</t>
  </si>
  <si>
    <t>Based on Sorte et al. 2010 Meta-analysis (Table 1), since the units is km year-1, we just multiply by 10 to make it km/decade</t>
  </si>
  <si>
    <t>https://www.science.org/doi/10.1126/science.1071329</t>
  </si>
  <si>
    <t>https://www.cambridge.org/core/journals/journal-of-the-marine-biological-association-of-the-united-kingdom/article/abs/regular-occurrence-of-thysanoessa-inspinata-crustacea-euphausiacea-in-the-gulf-of-alaska/9D6F3F3C1AA8B59A8814F3C2EA50BCF7</t>
  </si>
  <si>
    <t>‌</t>
  </si>
  <si>
    <t>Edwards, M., Hélaouët, P., Goberville, E., Lindley, A., Tarling, G. A., Burrows, M. T., &amp; Atkinson, A. (2021). North Atlantic warming over six decades drives decreases in krill abundance with no associated range shift. Communications Biology, 4(1). https://doi.org/10.1038/s42003-021-02159-1</t>
  </si>
  <si>
    <t> https://doi.org/10.1038/s42003-021-02159-1</t>
  </si>
  <si>
    <t>Habitat Squeeze</t>
  </si>
  <si>
    <t>Based on overall results, they suggests that there is no associated range shifts</t>
  </si>
  <si>
    <t xml:space="preserve">https://doi.org/10.1111/j.1365-2486.2010.02246.x </t>
  </si>
  <si>
    <t xml:space="preserve">https://doi.org/10.1016/j.pocean.2015.04.025 </t>
  </si>
  <si>
    <t xml:space="preserve">https://doi.org/10.1006/jmsc.1996.0117 </t>
  </si>
  <si>
    <t>Platyhelminthes</t>
  </si>
  <si>
    <t>Phoronids</t>
  </si>
  <si>
    <t>Assigned to decapods since decapods are most abundant meroplankton in our database</t>
  </si>
  <si>
    <t>In the article, it was stated that the biomass was composed of two major copepod groups</t>
  </si>
  <si>
    <t>Other protists</t>
  </si>
  <si>
    <t xml:space="preserve">https://doi.org/10.1111/gcb.70141 </t>
  </si>
  <si>
    <t>https://www.pnas.org/doi/10.1073/pnas.2311086121?utm_source=chatgpt.com#sec-1</t>
  </si>
  <si>
    <t>Thibodeau, P. S., Puggioni, G., Strock, J., Borkman, D. G., &amp; Rynearson, T. A. (2024). Long-term declines in chlorophyll a and variable phenology revealed by a 60-year estuarine plankton time series. Proceedings of the National Academy of Sciences, 121(21). https://doi.org/10.1073/pnas.2311086121</t>
  </si>
  <si>
    <t>https://www.sciencedirect.com/science/article/pii/S156898832400132X?utm_source=chatgpt.com#sec0012</t>
  </si>
  <si>
    <t>Kordubel, K., Martínez-Rincón, R. O., Burkard Baschek, Boersma, M., Hieronymi, M., Johns, D. G., Kirstein, I. V., Voynova, Y. G., &amp; Möller, K. O. (2024). Long-term changes in spatiotemporal distribution of Noctiluca scintillans in the southern North Sea. Harmful Algae, 138, 102699–102699. https://doi.org/10.1016/j.hal.2024.102699</t>
  </si>
  <si>
    <t>https://www.sciencedirect.com/science/article/pii/S0079661125001715?utm_source=chatgpt.com#s0045</t>
  </si>
  <si>
    <t>https://www.sciencedirect.com/science/article/pii/S0079661123002197?dgcid=author&amp;utm_source=chatgpt.com#s0040</t>
  </si>
  <si>
    <t>Nielsen, J. M., Sigler, M. F., Eisner, L. B., Watson, J. T., Rogers, L. A., Bell, S. W., Pelland, N., Mordy, C. W., Cheng, W., Kivva, K., Osborne, S., &amp; Stabeno, P. (2024). Spring phytoplankton bloom phenology during recent climate warming on the Bering Sea shelf. Progress in Oceanography, 220, 103176. https://doi.org/10.1016/j.pocean.2023.103176</t>
  </si>
  <si>
    <t>https://www.mdpi.com/2072-4292/13/4/675</t>
  </si>
  <si>
    <t>Ferreira, A., Brotas, V., Palma, C., Borges, C., &amp; Brito, A. C. (2021). Assessing Phytoplankton Bloom Phenology in Upwelling-Influenced Regions Using Ocean Color Remote Sensing. Remote Sensing, 13(4), 675–675. https://doi.org/10.3390/rs13040675</t>
  </si>
  <si>
    <t>https://www.nature.com/articles/s41467-024-50381-2?utm_source=chatgpt.com#Sec2</t>
  </si>
  <si>
    <t>Ferreira, A., Mendes, C. R. B., Costa, R. R., Brotas, V., Tavano, V. M., Guerreiro, C. V., Secchi, E. R., &amp; Brito, A. C. (2024). Climate change is associated with higher phytoplankton biomass and longer blooms in the West Antarctic Peninsula. Nature Communications, 15(1). https://doi.org/10.1038/s41467-024-50381-2</t>
  </si>
  <si>
    <t>https://www.frontiersin.org/journals/marine-science/articles/10.3389/fmars.2021.707632/full?utm_source=chatgpt.com#h5</t>
  </si>
  <si>
    <t>Alvera-Azcárate, A., Van, Barth, A., Troupin, C., Martin, S., &amp; Beckers, J.-M. (2021). Analysis of 23 Years of Daily Cloud-Free Chlorophyll and Suspended Particulate Matter in the Greater North Sea. Frontiers in Marine Science, 8. https://doi.org/10.3389/fmars.2021.707632</t>
  </si>
  <si>
    <t>https://www.sciencedirect.com/science/article/pii/S0079661120300598#s0070</t>
  </si>
  <si>
    <t>https://www.tandfonline.com/doi/full/10.1080/17451000.2020.1846201#d1e908</t>
  </si>
  <si>
    <t>https://www.frontiersin.org/journals/marine-science/articles/10.3389/fmars.2025.1609094/full#h4</t>
  </si>
  <si>
    <t>https://archimer.ifremer.fr/doc/00766/87831/98585.pdf</t>
  </si>
  <si>
    <t>K. M. Ottosen, P. Steingrund, E. Magnussen, M. R. Payne, Distribution and timing of spawning Faroe Plateau cod in relation to warming spring temperatures. Fish. Res. 198, 14–23 (2018).</t>
  </si>
  <si>
    <t>https://onlinelibrary.wiley.com/doi/full/10.1111/gcb.14075?saml_referrer</t>
  </si>
  <si>
    <t>Oziel, L., Baudena, A., Ardyna, M., Massicotte, P., Randelhoff, A., Sallée, J.-B. ., Ingvaldsen, R. B., Devred, E., &amp; Babin, M. (2020). Faster Atlantic currents drive poleward expansion of temperate phytoplankton in the Arctic Ocean. Nature Communications, 11(1). https://doi.org/10.1038/s41467-020-15485-5</t>
  </si>
  <si>
    <t>https://www.nature.com/articles/s41467-020-15485-5#Sec2</t>
  </si>
  <si>
    <t>Emiliania huxleyi </t>
  </si>
  <si>
    <t>European Arctic Corridor</t>
  </si>
  <si>
    <t>Fig. 5a (but values are mentioned in the text)</t>
  </si>
  <si>
    <t>Griet Neukermans, Laurent Oziel, &amp; Babin, M. (2018). Increased intrusion of warming Atlantic water leads to rapid expansion of temperate phytoplankton in the Arctic. Global Change Biology, 24(6), 2545–2553. https://doi.org/10.1111/gcb.14075</t>
  </si>
  <si>
    <t>Barents Sea, 20*E-30*E</t>
  </si>
  <si>
    <t>Barents Sea, 30*E-40*E</t>
  </si>
  <si>
    <t>Barents Sea, 40*E-50*E</t>
  </si>
  <si>
    <t>Fig. 3a (values provided in Table S3)</t>
  </si>
  <si>
    <t>Fig. 3b  (values provided in Table S3)</t>
  </si>
  <si>
    <t>Fig. 3c  (values provided in Table S3)</t>
  </si>
  <si>
    <t>Guinaldo, T., &amp; Neukermans, G. (2025). Exceptional 2023 marine heat wave reshapes North Atlantic coccolithophore blooms. https://doi.org/10.5194/egusphere-2025-1862</t>
  </si>
  <si>
    <t>Celtic Sea</t>
  </si>
  <si>
    <t>Fig. A3 (look at the change in range for PIC)</t>
  </si>
  <si>
    <t>Fig. A4 (look at the change in range for PIC; also in-text, northeastward expansion was disucssed)</t>
  </si>
  <si>
    <t>McLeod, D. J., Hallegraeff, G. M., Hosie, G. W., &amp; Richardson, A. J. (2012). Climate-driven range expansion of the red-tide dinoflagellate Noctiluca scintillans into the Southern Ocean. Journal of Plankton Research, 34(4), 332–337. https://doi.org/10.1093/plankt/fbr112</t>
  </si>
  <si>
    <t>https://academic.oup.com/plankt/article-abstract/34/4/332/1547632</t>
  </si>
  <si>
    <t>Fig. 1 (in-text it is dicussed that the the plankton had reached south of Tasmania for the very first time)</t>
  </si>
  <si>
    <t>Loïck Kléparski, Beaugrand, G., Ostle, C., Edwards, M., Skogen, M. D., Djeghri, N., &amp; Hjálmar Hátún. (2024). Ocean climate and hydrodynamics drive decadal shifts in Northeast Atlantic dinoflagellates. Global Change Biology, 30(2), e17163–e17163. https://doi.org/10.1111/gcb.17163</t>
  </si>
  <si>
    <t>Warm-haline</t>
  </si>
  <si>
    <t>Temperate-haline</t>
  </si>
  <si>
    <t>Temperate</t>
  </si>
  <si>
    <t>Temperate hypohaline</t>
  </si>
  <si>
    <t>Psychrophilous</t>
  </si>
  <si>
    <t>Hinder, S. L., Hays, G. C., Edwards, M., Roberts, E. C., Walne, A. W., &amp; Gravenor, M. B. (2012). Changes in marine dinoflagellate and diatom abundance under climate change. Nature Climate Change, 2(4), 271–275. https://doi.org/10.1038/nclimate1388</t>
  </si>
  <si>
    <t>R. imbricata shrubsolei</t>
  </si>
  <si>
    <t>P. seriata</t>
  </si>
  <si>
    <t>C. furca</t>
  </si>
  <si>
    <t>https://www.nature.com/articles/nclimate1388</t>
  </si>
  <si>
    <t>Fig. 5 (northward expansion)</t>
  </si>
  <si>
    <t>Fig. 5 (not clearly directional; more of a contraction)</t>
  </si>
  <si>
    <t>Can be estimated digitally</t>
  </si>
  <si>
    <t>Fig. 5 (loss og biomass rather than shifting)</t>
  </si>
  <si>
    <t xml:space="preserve">https://doi.org/10.1038/nclimate1753 </t>
  </si>
  <si>
    <t>Fig. 2. Sudden appearance</t>
  </si>
  <si>
    <t>Fig. 3 (range expansion but everywhere; no clear direction)</t>
  </si>
  <si>
    <t>Fig. 3 (sudden appearance, but northward)</t>
  </si>
  <si>
    <t>Fig. 3 (sudden disappearance; warm-water)</t>
  </si>
  <si>
    <t>Fig. 3 (disappearance; cold water)</t>
  </si>
  <si>
    <t>Fig. 3 (contraction; warm-water)</t>
  </si>
  <si>
    <t xml:space="preserve">https://www.sciencedirect.com/science/article/pii/S156898832400132X?utm_source=chatgpt.com#sec0012 </t>
  </si>
  <si>
    <t>Fig. 9 (northward range expansion in the North Sea coming from Danish coast; choose Summer panel, and look at how the core upper limit at 54* became 56* in the most latest time period)</t>
  </si>
  <si>
    <t>Kordubel, K., Martínez-Rincón, R. O., Baschek, B., Boersma, M., Hieronymi, M., Johns, D. G., Kirstein, I. V., Voynova, Y. G., &amp; Möller, K. O. (2024). Long-term changes in spatiotemporal distribution of Noctiluca scintillans in the southern North Sea. Harmful Algae, 138, 102699. https://doi.org/10.1016/j.hal.2024.102699</t>
  </si>
  <si>
    <t>Southern North Sea</t>
  </si>
  <si>
    <t>N. scintillans</t>
  </si>
  <si>
    <t>Bloom window</t>
  </si>
  <si>
    <t>Dinflagellate</t>
  </si>
  <si>
    <t>Fig. 7 (They expect longer duration blooms)</t>
  </si>
  <si>
    <t xml:space="preserve">Emiliania huxleyi </t>
  </si>
  <si>
    <t>Median bloom date</t>
  </si>
  <si>
    <t xml:space="preserve">https://onlinelibrary.wiley.com/doi/10.1111/ele.14441 </t>
  </si>
  <si>
    <t>Fig. 4 (they expect later bloom date)</t>
  </si>
  <si>
    <t>Cryptophyceae</t>
  </si>
  <si>
    <t>Fragiliarophyceae</t>
  </si>
  <si>
    <t>Chlorophyceae</t>
  </si>
  <si>
    <t>Coscinodiscophyceae</t>
  </si>
  <si>
    <t>Bacillariophyceae</t>
  </si>
  <si>
    <t>Cyanophyceae</t>
  </si>
  <si>
    <t>Fig. 6 (later peak abundance with climate change)</t>
  </si>
  <si>
    <t>Cryptophytes</t>
  </si>
  <si>
    <t>Green algae</t>
  </si>
  <si>
    <t>Cyanobacteria</t>
  </si>
  <si>
    <t>Coline Poppeschi, Guillaume Charria, Daniel, A., Verney, R., Rimmelin-Maury, P., Michaël Retho, Goberville, E., Grossteffan, E., &amp; Plus, M. (2022). Interannual variability of the initiation of the phytoplankton growing period in two French coastal ecosystems. Biogeosciences, 19(24), 5667–5687. https://doi.org/10.5194/bg-19-5667-2022</t>
  </si>
  <si>
    <t>Bay of Brest</t>
  </si>
  <si>
    <t>Growing period initiation</t>
  </si>
  <si>
    <t>M2, Bering Sea</t>
  </si>
  <si>
    <t>M4, Bering Sea</t>
  </si>
  <si>
    <t>M5, Bering Sea</t>
  </si>
  <si>
    <t>M8, Bering Sea</t>
  </si>
  <si>
    <t>Peak timing</t>
  </si>
  <si>
    <t>Week of maximum abundance</t>
  </si>
  <si>
    <t>Fig. 4 (Choose one metric: Week of bloom maximum in winter-spring). They expect earlier bloom</t>
  </si>
  <si>
    <t>Fig. 6a (calculated using high-frequency time series (black circles))</t>
  </si>
  <si>
    <t>Fig. 2 (expected a change in timing; but no specific direction (assumed to be earlier))</t>
  </si>
  <si>
    <t>Fernández-Barba, M., Almaraz, P., Huertas, I. E., &amp; Navarro, G. (2025). Climate variability induces changes in phytoplankton phenology across Spanish marine ecoregions. Progress in Oceanography, 239, 103583–103583. https://doi.org/10.1016/j.pocean.2025.103583</t>
  </si>
  <si>
    <t>SoG and Alboran Sea</t>
  </si>
  <si>
    <t xml:space="preserve">Canary </t>
  </si>
  <si>
    <t>South Atlantic</t>
  </si>
  <si>
    <t>Levantine-Balearic</t>
  </si>
  <si>
    <t>Bloom initiation day</t>
  </si>
  <si>
    <t>Fig. 3 (just by visual inspection, it is hard to digitise given how small the plots are; no explicit expectation on the direction of shift; assumed only that earlier will happen)</t>
  </si>
  <si>
    <t>Oceanic North</t>
  </si>
  <si>
    <t>Oceanic Southwest</t>
  </si>
  <si>
    <t>Coastal Continental Marigin</t>
  </si>
  <si>
    <t xml:space="preserve">Coastal Upwelling </t>
  </si>
  <si>
    <t>Coastal river Basins</t>
  </si>
  <si>
    <t>Bloom peak</t>
  </si>
  <si>
    <t>Fig. 7 (only take bloom peak from the metrics1</t>
  </si>
  <si>
    <t>Fig. 7 (only take bloom peak from the metrics2</t>
  </si>
  <si>
    <t>Drake Passage</t>
  </si>
  <si>
    <t>Bransfield Strait</t>
  </si>
  <si>
    <t>Gerlache Strait</t>
  </si>
  <si>
    <t>Weddell Sea North</t>
  </si>
  <si>
    <t>Weddell Sea South</t>
  </si>
  <si>
    <t>Greater North Sea</t>
  </si>
  <si>
    <t>Bloom duration</t>
  </si>
  <si>
    <t>Fig. 10</t>
  </si>
  <si>
    <t>Fig. 11</t>
  </si>
  <si>
    <t>Padmini Dalpadado, Arrigo, K. R., Dijken, van, Hein Rune Skjoldal, Espen Bagøien, Dolgov, A. V., Prokopchuk, I. P., &amp; Sperfeld, E. (2020). Climate effects on temporal and spatial dynamics of phytoplankton and zooplankton in the Barents Sea. Progress in Oceanography, 185, 102320–102320. https://doi.org/10.1016/j.pocean.2020.102320</t>
  </si>
  <si>
    <t>Open Water, Barents Sea</t>
  </si>
  <si>
    <t>Seasonal Ice, Barents Sea</t>
  </si>
  <si>
    <t>Mostly Ice, Barents Sea</t>
  </si>
  <si>
    <t>Fig. 7</t>
  </si>
  <si>
    <t>Almen, A-K &amp; Tamelander, T 2020, 'Temperature-related timing of the spring bloom and match between phytoplankton and zooplankton', Marine Biology Research, vol. 16, no. 8-9, pp. 674-682. https://doi.org/10.1080/17451000.2020.1846201</t>
  </si>
  <si>
    <t>Gulf of Finland</t>
  </si>
  <si>
    <t>Fig. 1</t>
  </si>
  <si>
    <t>Konik, M., Hunt, B. P. V., Peña, M. A., Hirawake, T., Marchese, C., Vishnu, P. S., Bracher, A., Xi, H., &amp; Costa, M. (2025). Changes in subarctic Pacific phytoplankton communities over the last two decades. Frontiers in Marine Science, 12. https://doi.org/10.3389/fmars.2025.1609094</t>
  </si>
  <si>
    <t>Central South, Kamchatka Peninsula</t>
  </si>
  <si>
    <t>Central Oregon, Kamchatka Peninsula</t>
  </si>
  <si>
    <t>Central North, Kamchatka Peninsula</t>
  </si>
  <si>
    <t>Connecting East, Kamchatka Peninsula</t>
  </si>
  <si>
    <t>Connecting West, Kamchatka Peninsula</t>
  </si>
  <si>
    <t>Archipelago, Kamchatka Peninsula</t>
  </si>
  <si>
    <t>Marginal West, Kamchatka Peninsula</t>
  </si>
  <si>
    <t>Marginal East, Kamchatka Peninsula</t>
  </si>
  <si>
    <t>Bloom length</t>
  </si>
  <si>
    <t>Record, N. R., Balch, W. M., &amp; Stamieszkin, K. (2019). Century-scale changes in phytoplankton phenology in the Gulf of Maine. PeerJ, 7, e6735. https://doi.org/10.7717/peerj.6735</t>
  </si>
  <si>
    <t>https://pmc.ncbi.nlm.nih.gov/articles/PMC6500720/</t>
  </si>
  <si>
    <t>Bloom midpoint</t>
  </si>
  <si>
    <t>Fig. 3 (get the mean of the two seasonal phenological shifts; they expected earlier phenology)</t>
  </si>
  <si>
    <t>Turner, J., H Dierssen, Schofield, O., Kim, H., S Stammerjohn, Munro, D., &amp; Kavanaugh, M. (2024). Changing phytoplankton phenology in the marginal ice zone west of the Antarctic Peninsula. Marine Ecology Progress Series, 734, 1–21. https://doi.org/10.3354/meps14567</t>
  </si>
  <si>
    <t>Southern Polar Front</t>
  </si>
  <si>
    <t>Marginal Ice Zone</t>
  </si>
  <si>
    <t>Northern Shelf</t>
  </si>
  <si>
    <t>Mid Shelf</t>
  </si>
  <si>
    <t>Southern Shelf</t>
  </si>
  <si>
    <t>MODI, A., Koll, R. M., G, P. A., Ghosh, S., &amp; Lévy, M. (2025). Contrasting phenology shifts in the tropical Indian Ocean: Delays in the north and advancements in the south. https://doi.org/10.22541/essoar.173834706.65577256/v1</t>
  </si>
  <si>
    <t>Western Arabian Sea</t>
  </si>
  <si>
    <t>Somalia</t>
  </si>
  <si>
    <t>Central Arabian Sea</t>
  </si>
  <si>
    <t>South Tropical Indian Ocean</t>
  </si>
  <si>
    <t>Sri Lankan Dome</t>
  </si>
  <si>
    <t>Central Bay of Bengal</t>
  </si>
  <si>
    <t>South Bay of Bengal</t>
  </si>
  <si>
    <t>North Equatorial Indian Ocean</t>
  </si>
  <si>
    <t>North Arabian Sea</t>
  </si>
  <si>
    <t>Equatorial Indian Ocean</t>
  </si>
  <si>
    <t>Western Bay of Bengal</t>
  </si>
  <si>
    <t>Eastern Equatorial Indian Ocean</t>
  </si>
  <si>
    <t>Table 2 (calculated using the extreme dates, i.e. 21 year gap instead of the median of the two time periods) They expected earlier shift</t>
  </si>
  <si>
    <t>Both</t>
  </si>
  <si>
    <t>Friedland, K. D., Record, N. R., Pendleton, D. E., Balch, W. M., Stamieszkin, K., Moisan, J. R., &amp; Brady, D. C. (2023). Asymmetry in the rate of warming and the phenology of seasonal blooms in the Northeast US Shelf Ecosystem. ICES Journal of Marine Science, 80(4), 775–786. https://doi.org/10.1093/icesjms/fsad007</t>
  </si>
  <si>
    <t>Georges Bank</t>
  </si>
  <si>
    <t>Middle Atlantic Bight</t>
  </si>
  <si>
    <t>Autumn transition</t>
  </si>
  <si>
    <t>Desmit, X., Nohe, A., Borges, A. V., Prins, T., De Cauwer, K., Lagring, R., Van der Zande, D., &amp; Sabbe, K. (2019). Changes in chlorophyll concentration and phenology in the North Sea in relation to de‐eutrophication and sea surface warming. Limnology and Oceanography, 65(4), 828–847. https://doi.org/10.1002/lno.11351</t>
  </si>
  <si>
    <t>https://aslopubs.onlinelibrary.wiley.com/doi/10.1002/lno.11351</t>
  </si>
  <si>
    <t>Change of bloom timing</t>
  </si>
  <si>
    <t>Laliberté, J., &amp; Larouche, P. (2023). Chlorophyll-a concentration climatology, phenology, and trends in the optically complex waters of the St. Lawrence Estuary and Gulf. Journal of Marine Systems, 238, 103830. https://doi.org/10.1016/j.jmarsys.2022.103830</t>
  </si>
  <si>
    <t>Bloom initiation date</t>
  </si>
  <si>
    <t>Lawrence Estuary</t>
  </si>
  <si>
    <t>Northern Gulf</t>
  </si>
  <si>
    <t>Southern Gulf</t>
  </si>
  <si>
    <t>Central Gulf</t>
  </si>
  <si>
    <t>Thackeray, S. J., Jones, I. D., &amp; Maberly, S. C. (2008). Long‐term change in the phenology of spring phytoplankton: species‐specific responses to nutrient enrichment and climatic change. Journal of Ecology, 96(3), 523–535. https://doi.org/10.1111/j.1365-2745.2008.01355.x</t>
  </si>
  <si>
    <t>North Basin of Windermere</t>
  </si>
  <si>
    <t>A. formosa</t>
  </si>
  <si>
    <t>Cyclotella spp.</t>
  </si>
  <si>
    <t>Spring peak</t>
  </si>
  <si>
    <t>Table 1 (they expected a shift but not which direction; assumed to be earlier)</t>
  </si>
  <si>
    <t>Table 1 (in their, intro they cited more delays in phenology with CC)</t>
  </si>
  <si>
    <t xml:space="preserve">https://www.mdpi.com/2072-4292/13/4/675 </t>
  </si>
  <si>
    <t xml:space="preserve">Fig. 7 (only take bloom peak from the metrics); no hypothesis on the direction of change (just assume earlier with CC) </t>
  </si>
  <si>
    <t xml:space="preserve">https://www.nature.com/articles/s41467-024-50381-2?utm_source=chatgpt.com#Sec2 </t>
  </si>
  <si>
    <t>Fig. 2 (checked by visual inspection; look at the peak points per time period</t>
  </si>
  <si>
    <t>(Choose peak bloom instead of duration)</t>
  </si>
  <si>
    <t xml:space="preserve">https://aslopubs.onlinelibrary.wiley.com/doi/10.1002/lno.11351 </t>
  </si>
  <si>
    <t>Fig. 3 (expected later transition)</t>
  </si>
  <si>
    <t>NW20</t>
  </si>
  <si>
    <t>NW02</t>
  </si>
  <si>
    <t>GR06</t>
  </si>
  <si>
    <t>TS010</t>
  </si>
  <si>
    <t>WC70</t>
  </si>
  <si>
    <t>Fig. 7c (could have used Fig. 7a but is too crowded given the number of sampling areas): expect earlier shifts in spring bloom timing</t>
  </si>
  <si>
    <t>Fig. 7c (could have used Fig. 7a but is too crowded given the number of sampling areas); : expect earlier shifts in spring bloom timing</t>
  </si>
  <si>
    <t>https://onlinelibrary.wiley.com/doi/10.1111/gcb.70708</t>
  </si>
  <si>
    <t>https://hal.science/hal-05397833v1/file/HAL_Castant_et_al_Shifts_plankton_depth_phenology.pdf</t>
  </si>
  <si>
    <t>https://www.frontiersin.org/journals/marine-science/articles/10.3389/fmars.2026.1765862/full</t>
  </si>
  <si>
    <t>https://academic.oup.com/plankt/article-abstract/48/2/fbag012/8512792</t>
  </si>
  <si>
    <t>Need to cross check; It is a duplicat of Cooley's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</si>
</sst>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i/>
      <sz val="11"/>
      <color theme="1"/>
      <name val="Calibri"/>
      <family val="2"/>
    </font>
    <font>
      <sz val="8"/>
      <name val="Aptos Narrow"/>
      <family val="2"/>
      <scheme val="minor"/>
    </font>
    <font>
      <u/>
      <sz val="11"/>
      <color theme="10"/>
      <name val="Aptos Narrow"/>
      <family val="2"/>
      <scheme val="minor"/>
    </font>
    <font>
      <b/>
      <sz val="11"/>
      <name val="Aptos Narrow"/>
      <family val="2"/>
      <scheme val="minor"/>
    </font>
    <font>
      <b/>
      <sz val="9"/>
      <color indexed="81"/>
      <name val="Tahoma"/>
      <family val="2"/>
    </font>
    <font>
      <sz val="9"/>
      <color indexed="81"/>
      <name val="Tahoma"/>
      <family val="2"/>
    </font>
    <font>
      <sz val="11"/>
      <name val="Aptos Narrow"/>
      <family val="2"/>
      <scheme val="minor"/>
    </font>
    <font>
      <i/>
      <sz val="11"/>
      <name val="Aptos Narrow"/>
      <family val="2"/>
      <scheme val="minor"/>
    </font>
    <font>
      <i/>
      <u/>
      <sz val="11"/>
      <name val="Aptos Narrow"/>
      <family val="2"/>
      <scheme val="minor"/>
    </font>
    <font>
      <i/>
      <sz val="11"/>
      <color theme="1"/>
      <name val="Aptos Narrow"/>
      <family val="2"/>
      <scheme val="minor"/>
    </font>
    <font>
      <sz val="11"/>
      <color theme="1"/>
      <name val="Aptos Narrow"/>
      <family val="2"/>
      <scheme val="minor"/>
    </font>
    <font>
      <sz val="12"/>
      <color rgb="FF000000"/>
      <name val="Aptos Narrow"/>
      <family val="2"/>
      <scheme val="minor"/>
    </font>
    <font>
      <sz val="12"/>
      <color rgb="FF222222"/>
      <name val="Aptos Narrow"/>
      <family val="2"/>
      <scheme val="minor"/>
    </font>
    <font>
      <sz val="11"/>
      <color rgb="FF000000"/>
      <name val="Lucida Grande"/>
      <family val="2"/>
    </font>
    <font>
      <sz val="12"/>
      <color rgb="FF1B1C20"/>
      <name val="Aptos Narrow"/>
      <family val="2"/>
      <scheme val="minor"/>
    </font>
    <font>
      <sz val="8"/>
      <color theme="1"/>
      <name val="Helvetica"/>
      <family val="2"/>
    </font>
    <font>
      <u/>
      <sz val="11"/>
      <color theme="10"/>
      <name val="Calibri"/>
      <family val="2"/>
    </font>
    <font>
      <sz val="12"/>
      <color rgb="FF2E2E2E"/>
      <name val="Aptos Narrow"/>
      <family val="2"/>
      <scheme val="minor"/>
    </font>
    <font>
      <sz val="10"/>
      <color rgb="FF1B1C20"/>
      <name val="Helvetica"/>
      <family val="2"/>
    </font>
    <font>
      <sz val="12"/>
      <color rgb="FF202124"/>
      <name val="Aptos Narrow"/>
      <family val="2"/>
      <scheme val="minor"/>
    </font>
    <font>
      <b/>
      <sz val="12"/>
      <color theme="1"/>
      <name val="Aptos Narrow"/>
      <family val="2"/>
      <scheme val="minor"/>
    </font>
    <font>
      <b/>
      <sz val="12"/>
      <color rgb="FF2A2A2A"/>
      <name val="Times New Roman"/>
      <family val="1"/>
    </font>
    <font>
      <sz val="7"/>
      <color theme="1"/>
      <name val="Times New Roman"/>
      <family val="1"/>
    </font>
    <font>
      <sz val="16"/>
      <color theme="1"/>
      <name val="Arial"/>
      <family val="2"/>
    </font>
    <font>
      <sz val="11"/>
      <color theme="1"/>
      <name val="Aptos Display"/>
      <family val="2"/>
      <scheme val="major"/>
    </font>
    <font>
      <sz val="11"/>
      <color rgb="FF1B1C20"/>
      <name val="Calibri"/>
      <family val="2"/>
    </font>
    <font>
      <b/>
      <sz val="13.5"/>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0">
    <xf numFmtId="0" fontId="0" fillId="0" borderId="0" xfId="0"/>
    <xf numFmtId="0" fontId="2" fillId="0" borderId="0" xfId="0" applyFont="1"/>
    <xf numFmtId="0" fontId="2" fillId="2" borderId="0" xfId="0" applyFont="1" applyFill="1"/>
    <xf numFmtId="0" fontId="1" fillId="0" borderId="0" xfId="0" applyFont="1"/>
    <xf numFmtId="0" fontId="0" fillId="2" borderId="0" xfId="0" applyFill="1"/>
    <xf numFmtId="0" fontId="0" fillId="3" borderId="0" xfId="0" applyFill="1"/>
    <xf numFmtId="0" fontId="0" fillId="4" borderId="0" xfId="0" applyFill="1"/>
    <xf numFmtId="0" fontId="7" fillId="6" borderId="0" xfId="0" applyFont="1" applyFill="1"/>
    <xf numFmtId="2" fontId="7" fillId="6" borderId="0" xfId="0" applyNumberFormat="1" applyFont="1" applyFill="1"/>
    <xf numFmtId="0" fontId="10" fillId="5" borderId="0" xfId="0" applyFont="1" applyFill="1"/>
    <xf numFmtId="0" fontId="0" fillId="5" borderId="0" xfId="0" applyFill="1"/>
    <xf numFmtId="2" fontId="10" fillId="5" borderId="0" xfId="0" applyNumberFormat="1" applyFont="1" applyFill="1"/>
    <xf numFmtId="0" fontId="10" fillId="7" borderId="0" xfId="0" applyFont="1" applyFill="1"/>
    <xf numFmtId="0" fontId="10" fillId="0" borderId="0" xfId="0" applyFont="1"/>
    <xf numFmtId="0" fontId="10" fillId="0" borderId="0" xfId="0" applyFont="1" applyAlignment="1">
      <alignment vertical="center"/>
    </xf>
    <xf numFmtId="0" fontId="1" fillId="6" borderId="0" xfId="0" applyFont="1" applyFill="1"/>
    <xf numFmtId="2" fontId="0" fillId="4" borderId="0" xfId="0" applyNumberFormat="1" applyFill="1"/>
    <xf numFmtId="0" fontId="15" fillId="4" borderId="0" xfId="0" applyFont="1" applyFill="1"/>
    <xf numFmtId="2" fontId="16" fillId="4" borderId="0" xfId="0" applyNumberFormat="1" applyFont="1" applyFill="1"/>
    <xf numFmtId="16" fontId="0" fillId="4" borderId="0" xfId="0" applyNumberFormat="1" applyFill="1"/>
    <xf numFmtId="0" fontId="17" fillId="4" borderId="0" xfId="0" applyFont="1" applyFill="1"/>
    <xf numFmtId="2" fontId="0" fillId="0" borderId="0" xfId="0" applyNumberFormat="1"/>
    <xf numFmtId="0" fontId="18" fillId="0" borderId="0" xfId="0" applyFont="1"/>
    <xf numFmtId="0" fontId="14" fillId="4" borderId="0" xfId="0" applyFont="1" applyFill="1"/>
    <xf numFmtId="0" fontId="15" fillId="0" borderId="0" xfId="0" applyFont="1"/>
    <xf numFmtId="0" fontId="19" fillId="0" borderId="0" xfId="0" applyFont="1"/>
    <xf numFmtId="0" fontId="20" fillId="0" borderId="0" xfId="1" applyFont="1" applyFill="1"/>
    <xf numFmtId="0" fontId="7" fillId="2" borderId="0" xfId="0" applyFont="1" applyFill="1"/>
    <xf numFmtId="2" fontId="16" fillId="0" borderId="0" xfId="0" applyNumberFormat="1" applyFont="1"/>
    <xf numFmtId="16" fontId="0" fillId="0" borderId="0" xfId="0" applyNumberFormat="1"/>
    <xf numFmtId="0" fontId="17" fillId="0" borderId="0" xfId="0" applyFont="1"/>
    <xf numFmtId="0" fontId="21" fillId="0" borderId="0" xfId="0" applyFont="1"/>
    <xf numFmtId="0" fontId="22" fillId="0" borderId="0" xfId="0" applyFont="1"/>
    <xf numFmtId="0" fontId="23" fillId="0" borderId="0" xfId="0" applyFont="1"/>
    <xf numFmtId="0" fontId="18" fillId="4" borderId="0" xfId="0" applyFont="1" applyFill="1"/>
    <xf numFmtId="0" fontId="19" fillId="4" borderId="0" xfId="0" applyFont="1" applyFill="1"/>
    <xf numFmtId="0" fontId="24" fillId="0" borderId="0" xfId="0" applyFont="1"/>
    <xf numFmtId="2" fontId="24" fillId="0" borderId="0" xfId="0" applyNumberFormat="1" applyFont="1"/>
    <xf numFmtId="0" fontId="6" fillId="0" borderId="0" xfId="1"/>
    <xf numFmtId="0" fontId="10" fillId="2" borderId="0" xfId="0" applyFont="1" applyFill="1"/>
    <xf numFmtId="14" fontId="0" fillId="0" borderId="0" xfId="0" applyNumberFormat="1"/>
    <xf numFmtId="0" fontId="1" fillId="2" borderId="0" xfId="0" applyFont="1" applyFill="1"/>
    <xf numFmtId="0" fontId="0" fillId="8" borderId="0" xfId="0" applyFill="1"/>
    <xf numFmtId="0" fontId="26" fillId="0" borderId="0" xfId="0" applyFont="1"/>
    <xf numFmtId="0" fontId="27" fillId="0" borderId="0" xfId="0" applyFont="1"/>
    <xf numFmtId="14" fontId="0" fillId="2" borderId="0" xfId="0" applyNumberFormat="1" applyFill="1"/>
    <xf numFmtId="0" fontId="14" fillId="0" borderId="0" xfId="1" applyFont="1"/>
    <xf numFmtId="0" fontId="6" fillId="0" borderId="0" xfId="1" applyFill="1"/>
    <xf numFmtId="0" fontId="0" fillId="9" borderId="0" xfId="0" applyFill="1"/>
    <xf numFmtId="0" fontId="14" fillId="9" borderId="0" xfId="1" applyFont="1" applyFill="1"/>
    <xf numFmtId="14" fontId="0" fillId="9" borderId="0" xfId="0" applyNumberFormat="1" applyFill="1"/>
    <xf numFmtId="0" fontId="0" fillId="0" borderId="0" xfId="1" applyFont="1"/>
    <xf numFmtId="0" fontId="6" fillId="9" borderId="0" xfId="1" applyFill="1"/>
    <xf numFmtId="0" fontId="0" fillId="9" borderId="0" xfId="1" applyFont="1" applyFill="1"/>
    <xf numFmtId="14" fontId="2" fillId="0" borderId="0" xfId="1" applyNumberFormat="1" applyFont="1" applyFill="1"/>
    <xf numFmtId="0" fontId="6" fillId="0" borderId="0" xfId="1" applyFill="1" applyAlignment="1">
      <alignment horizontal="left" vertical="center" indent="1"/>
    </xf>
    <xf numFmtId="0" fontId="3" fillId="0" borderId="0" xfId="0" applyFont="1"/>
    <xf numFmtId="14" fontId="3" fillId="0" borderId="0" xfId="0" applyNumberFormat="1" applyFont="1"/>
    <xf numFmtId="0" fontId="4" fillId="0" borderId="0" xfId="0" applyFont="1"/>
    <xf numFmtId="0" fontId="2" fillId="0" borderId="0" xfId="0" applyFont="1" applyAlignment="1">
      <alignment vertical="center" wrapText="1"/>
    </xf>
    <xf numFmtId="14" fontId="2" fillId="0" borderId="0" xfId="0" applyNumberFormat="1" applyFont="1"/>
    <xf numFmtId="2" fontId="2" fillId="0" borderId="0" xfId="0" applyNumberFormat="1" applyFont="1"/>
    <xf numFmtId="0" fontId="28" fillId="0" borderId="0" xfId="0" applyFont="1"/>
    <xf numFmtId="14" fontId="28" fillId="0" borderId="0" xfId="0" applyNumberFormat="1" applyFont="1"/>
    <xf numFmtId="0" fontId="29" fillId="0" borderId="0" xfId="0" applyFont="1"/>
    <xf numFmtId="0" fontId="13"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30" fillId="0" borderId="0" xfId="0" applyFont="1" applyAlignment="1">
      <alignment vertical="center"/>
    </xf>
    <xf numFmtId="0" fontId="2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s Esturas" id="{13AB1FFF-B6FD-4FDF-8109-09121BBFE2AE}"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44" dT="2025-08-08T03:54:00.55" personId="{13AB1FFF-B6FD-4FDF-8109-09121BBFE2AE}" id="{C58A0F1B-AD2B-4F93-AF39-54847A2BA808}">
    <text>Lat/long must be different for Southern and Northern</text>
  </threadedComment>
  <threadedComment ref="X253" dT="2025-08-04T04:49:30.45" personId="{13AB1FFF-B6FD-4FDF-8109-09121BBFE2AE}" id="{476F851B-E27E-4FC0-A111-A32743385086}">
    <text>Ask Ant whether we based abundance base on this figure??? Why is that abundance inc but phenology is earlier</text>
  </threadedComment>
  <threadedComment ref="V298" dT="2025-08-02T02:41:04.51" personId="{13AB1FFF-B6FD-4FDF-8109-09121BBFE2AE}" id="{E589216F-76E8-40D3-9574-4CD5B94F79FF}">
    <text>Review the formula here</text>
  </threadedComment>
  <threadedComment ref="V298" dT="2025-08-04T06:10:31.02" personId="{13AB1FFF-B6FD-4FDF-8109-09121BBFE2AE}" id="{B7D2DE82-0D32-4972-ADD5-C9900847ED8D}" parentId="{E589216F-76E8-40D3-9574-4CD5B94F79FF}">
    <text>Just multiply by 10</text>
  </threadedComment>
  <threadedComment ref="X298" dT="2025-08-02T02:43:11.68" personId="{13AB1FFF-B6FD-4FDF-8109-09121BBFE2AE}" id="{6E0D0DE3-0359-486E-8AB6-CA98F2BBCA52}">
    <text>They have a change in abundance with time regression line</text>
  </threadedComment>
  <threadedComment ref="X298" dT="2025-08-04T06:16:46.45" personId="{13AB1FFF-B6FD-4FDF-8109-09121BBFE2AE}" id="{356E6A77-8ADA-447F-BE9B-0C5F36402E1A}" parentId="{6E0D0DE3-0359-486E-8AB6-CA98F2BBCA52}">
    <text xml:space="preserve">Abundance over time is not good estimate for climate change </text>
  </threadedComment>
</ThreadedComments>
</file>

<file path=xl/threadedComments/threadedComment2.xml><?xml version="1.0" encoding="utf-8"?>
<ThreadedComments xmlns="http://schemas.microsoft.com/office/spreadsheetml/2018/threadedcomments" xmlns:x="http://schemas.openxmlformats.org/spreadsheetml/2006/main">
  <threadedComment ref="K15" dT="2025-08-27T01:20:24.73" personId="{13AB1FFF-B6FD-4FDF-8109-09121BBFE2AE}" id="{70078735-ED57-4DC4-9679-9F2936FE9BAC}">
    <text>Can be community composition?</text>
  </threadedComment>
  <threadedComment ref="O15" dT="2025-08-27T01:20:52.10" personId="{13AB1FFF-B6FD-4FDF-8109-09121BBFE2AE}" id="{62CB1354-8877-444F-B364-51B89C6F907C}">
    <text>Not clear what is the overall thermal preference</text>
  </threadedComment>
  <threadedComment ref="O16" dT="2025-08-27T01:47:31.54" personId="{13AB1FFF-B6FD-4FDF-8109-09121BBFE2AE}" id="{C52E734C-F115-43F5-B370-DFF1DF3DA567}">
    <text xml:space="preserve">Analysis used biomass, but disc inferred mostly to copepod </text>
  </threadedComment>
  <threadedComment ref="Q44" dT="2025-08-27T06:06:33.99" personId="{13AB1FFF-B6FD-4FDF-8109-09121BBFE2AE}" id="{D0BB13E4-3C83-4DD2-B0C4-1385AD58E332}">
    <text>Very slight increase</text>
  </threadedComment>
  <threadedComment ref="Q48" dT="2025-08-27T06:06:50.80" personId="{13AB1FFF-B6FD-4FDF-8109-09121BBFE2AE}" id="{18F0F8FD-8D57-42C3-A93E-318860BF9AFF}">
    <text>Very slight decrease</text>
  </threadedComment>
  <threadedComment ref="N61" dT="2025-08-27T06:41:59.86" personId="{13AB1FFF-B6FD-4FDF-8109-09121BBFE2AE}" id="{B5E86053-1D64-4022-B991-EB1366466202}">
    <text>Highlighted bc not specific species, assumed to be oithona similis which is cold-water</text>
  </threadedComment>
  <threadedComment ref="Q112" dT="2025-08-28T01:18:36.00" personId="{13AB1FFF-B6FD-4FDF-8109-09121BBFE2AE}" id="{07A81D36-4C4F-400C-A962-9ADA08DE18CD}">
    <text>Trend is different in respect to PC1 and PC2</text>
  </threadedComment>
  <threadedComment ref="A177" dT="2025-08-29T04:20:55.80" personId="{13AB1FFF-B6FD-4FDF-8109-09121BBFE2AE}" id="{E71F3989-6513-46E7-A5E3-7263ADFF39E3}">
    <text>Recheck the article</text>
  </threadedComment>
  <threadedComment ref="T181" dT="2025-08-29T01:35:12.71" personId="{13AB1FFF-B6FD-4FDF-8109-09121BBFE2AE}" id="{B8F35FC1-388E-4448-AAB8-31FC6FE54916}">
    <text>Unsure about this</text>
  </threadedComment>
  <threadedComment ref="T182" dT="2025-08-29T01:34:11.71" personId="{13AB1FFF-B6FD-4FDF-8109-09121BBFE2AE}" id="{5F596EB7-F08F-4F43-8330-6591CB33EEEA}">
    <text>Not sure about this</text>
  </threadedComment>
  <threadedComment ref="A183" dT="2025-08-29T01:46:55.41" personId="{13AB1FFF-B6FD-4FDF-8109-09121BBFE2AE}" id="{494794C6-703D-4919-87AA-811C2AB05BC0}">
    <text>Do we need to break this down?</text>
  </threadedComment>
</ThreadedComments>
</file>

<file path=xl/threadedComments/threadedComment3.xml><?xml version="1.0" encoding="utf-8"?>
<ThreadedComments xmlns="http://schemas.microsoft.com/office/spreadsheetml/2018/threadedcomments" xmlns:x="http://schemas.openxmlformats.org/spreadsheetml/2006/main">
  <threadedComment ref="L1" dT="2025-08-13T15:31:00.10" personId="{13AB1FFF-B6FD-4FDF-8109-09121BBFE2AE}" id="{B9FA9C5E-0E7A-4B22-A81E-0FE98629E483}" done="1">
    <text>Do we even include latitude?</text>
  </threadedComment>
  <threadedComment ref="M240" dT="2025-08-19T06:21:58.90" personId="{13AB1FFF-B6FD-4FDF-8109-09121BBFE2AE}" id="{F39E98C4-D9D3-43B8-BFFE-4C57FDA27D86}">
    <text>Take note of this for the graph</text>
  </threadedComment>
</ThreadedComments>
</file>

<file path=xl/threadedComments/threadedComment4.xml><?xml version="1.0" encoding="utf-8"?>
<ThreadedComments xmlns="http://schemas.microsoft.com/office/spreadsheetml/2018/threadedcomments" xmlns:x="http://schemas.openxmlformats.org/spreadsheetml/2006/main">
  <threadedComment ref="W150" dT="2025-08-07T06:22:16.52" personId="{13AB1FFF-B6FD-4FDF-8109-09121BBFE2AE}" id="{4913466D-C25A-4411-883D-F92F7DBC34A3}">
    <text>More recent values for the other paper</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doi.org/10.1016/j.pocean.2015.04.023" TargetMode="External"/><Relationship Id="rId21" Type="http://schemas.openxmlformats.org/officeDocument/2006/relationships/hyperlink" Target="https://doi.org/10.3354/meps14903" TargetMode="External"/><Relationship Id="rId42" Type="http://schemas.openxmlformats.org/officeDocument/2006/relationships/hyperlink" Target="https://doi.org/10.1016/j.pocean.2015.04.023" TargetMode="External"/><Relationship Id="rId47" Type="http://schemas.openxmlformats.org/officeDocument/2006/relationships/hyperlink" Target="https://doi.org/10.1016/j.pocean.2015.04.023" TargetMode="External"/><Relationship Id="rId63" Type="http://schemas.openxmlformats.org/officeDocument/2006/relationships/hyperlink" Target="https://doi.org/10.1016/j.pocean.2015.04.023" TargetMode="External"/><Relationship Id="rId68" Type="http://schemas.openxmlformats.org/officeDocument/2006/relationships/hyperlink" Target="https://doi.org/10.1016/j.pocean.2015.04.023" TargetMode="External"/><Relationship Id="rId84" Type="http://schemas.openxmlformats.org/officeDocument/2006/relationships/hyperlink" Target="https://doi.org/10.1006/jmsc.1996.0117" TargetMode="External"/><Relationship Id="rId89" Type="http://schemas.openxmlformats.org/officeDocument/2006/relationships/hyperlink" Target="https://onlinelibrary.wiley.com/doi/10.1111/ele.14441" TargetMode="External"/><Relationship Id="rId112" Type="http://schemas.openxmlformats.org/officeDocument/2006/relationships/vmlDrawing" Target="../drawings/vmlDrawing1.vml"/><Relationship Id="rId16" Type="http://schemas.openxmlformats.org/officeDocument/2006/relationships/hyperlink" Target="https://doi.org/10.1002/lno.12499" TargetMode="External"/><Relationship Id="rId107" Type="http://schemas.openxmlformats.org/officeDocument/2006/relationships/hyperlink" Target="https://www.tandfonline.com/doi/full/10.1080/17451000.2020.1846201" TargetMode="External"/><Relationship Id="rId11" Type="http://schemas.openxmlformats.org/officeDocument/2006/relationships/hyperlink" Target="https://doi.org/10.1016/j.jembe.2011.02.013" TargetMode="External"/><Relationship Id="rId32" Type="http://schemas.openxmlformats.org/officeDocument/2006/relationships/hyperlink" Target="https://doi.org/10.1016/j.pocean.2015.04.023" TargetMode="External"/><Relationship Id="rId37" Type="http://schemas.openxmlformats.org/officeDocument/2006/relationships/hyperlink" Target="https://doi.org/10.1016/j.pocean.2015.04.023" TargetMode="External"/><Relationship Id="rId53" Type="http://schemas.openxmlformats.org/officeDocument/2006/relationships/hyperlink" Target="https://doi.org/10.1016/j.pocean.2015.04.023" TargetMode="External"/><Relationship Id="rId58" Type="http://schemas.openxmlformats.org/officeDocument/2006/relationships/hyperlink" Target="https://doi.org/10.1016/j.pocean.2015.04.023" TargetMode="External"/><Relationship Id="rId74" Type="http://schemas.openxmlformats.org/officeDocument/2006/relationships/hyperlink" Target="https://doi.org/10.1016/j.pocean.2015.04.023" TargetMode="External"/><Relationship Id="rId79" Type="http://schemas.openxmlformats.org/officeDocument/2006/relationships/hyperlink" Target="https://doi.org/10.1111/gcb.70141" TargetMode="External"/><Relationship Id="rId102" Type="http://schemas.openxmlformats.org/officeDocument/2006/relationships/hyperlink" Target="https://essopenarchive.org/users/880404/articles/1259450-contrasting-phenology-shifts-in-the-tropical-indian-ocean-delays-in-the-north-and-advancements-in-the-south" TargetMode="External"/><Relationship Id="rId5" Type="http://schemas.openxmlformats.org/officeDocument/2006/relationships/hyperlink" Target="https://doi.org/10.1016/j.ecolind.2022.109752" TargetMode="External"/><Relationship Id="rId90" Type="http://schemas.openxmlformats.org/officeDocument/2006/relationships/hyperlink" Target="https://onlinelibrary.wiley.com/doi/10.1111/ele.14441" TargetMode="External"/><Relationship Id="rId95" Type="http://schemas.openxmlformats.org/officeDocument/2006/relationships/hyperlink" Target="https://www.sciencedirect.com/science/article/pii/S0079661123002197?dgcid=author&amp;utm_source=chatgpt.com" TargetMode="External"/><Relationship Id="rId22" Type="http://schemas.openxmlformats.org/officeDocument/2006/relationships/hyperlink" Target="https://doi.org/10.1016/j.pocean.2015.04.023" TargetMode="External"/><Relationship Id="rId27" Type="http://schemas.openxmlformats.org/officeDocument/2006/relationships/hyperlink" Target="https://doi.org/10.1016/j.pocean.2015.04.023" TargetMode="External"/><Relationship Id="rId43" Type="http://schemas.openxmlformats.org/officeDocument/2006/relationships/hyperlink" Target="https://doi.org/10.1016/j.pocean.2015.04.023" TargetMode="External"/><Relationship Id="rId48" Type="http://schemas.openxmlformats.org/officeDocument/2006/relationships/hyperlink" Target="https://doi.org/10.1016/j.pocean.2015.04.023" TargetMode="External"/><Relationship Id="rId64" Type="http://schemas.openxmlformats.org/officeDocument/2006/relationships/hyperlink" Target="https://doi.org/10.1016/j.pocean.2015.04.023" TargetMode="External"/><Relationship Id="rId69" Type="http://schemas.openxmlformats.org/officeDocument/2006/relationships/hyperlink" Target="https://doi.org/10.1016/j.pocean.2015.04.023" TargetMode="External"/><Relationship Id="rId113" Type="http://schemas.openxmlformats.org/officeDocument/2006/relationships/comments" Target="../comments1.xml"/><Relationship Id="rId80" Type="http://schemas.openxmlformats.org/officeDocument/2006/relationships/hyperlink" Target="https://doi.org/10.1093/plankt/fby029" TargetMode="External"/><Relationship Id="rId85" Type="http://schemas.openxmlformats.org/officeDocument/2006/relationships/hyperlink" Target="https://doi.org/10.1016/j.pocean.2015.04.025" TargetMode="External"/><Relationship Id="rId12" Type="http://schemas.openxmlformats.org/officeDocument/2006/relationships/hyperlink" Target="https://doi.org/10.1111/fog.12429" TargetMode="External"/><Relationship Id="rId17" Type="http://schemas.openxmlformats.org/officeDocument/2006/relationships/hyperlink" Target="https://doi.org/10.1006/jmsc.1996.0117" TargetMode="External"/><Relationship Id="rId33" Type="http://schemas.openxmlformats.org/officeDocument/2006/relationships/hyperlink" Target="https://doi.org/10.1016/j.pocean.2015.04.023" TargetMode="External"/><Relationship Id="rId38" Type="http://schemas.openxmlformats.org/officeDocument/2006/relationships/hyperlink" Target="https://doi.org/10.1016/j.pocean.2015.04.023" TargetMode="External"/><Relationship Id="rId59" Type="http://schemas.openxmlformats.org/officeDocument/2006/relationships/hyperlink" Target="https://doi.org/10.1016/j.pocean.2015.04.023" TargetMode="External"/><Relationship Id="rId103" Type="http://schemas.openxmlformats.org/officeDocument/2006/relationships/hyperlink" Target="https://www.mdpi.com/2072-4292/13/4/675" TargetMode="External"/><Relationship Id="rId108" Type="http://schemas.openxmlformats.org/officeDocument/2006/relationships/hyperlink" Target="https://www.frontiersin.org/journals/marine-science/articles/10.3389/fmars.2025.1609094/full" TargetMode="External"/><Relationship Id="rId54" Type="http://schemas.openxmlformats.org/officeDocument/2006/relationships/hyperlink" Target="https://doi.org/10.1016/j.pocean.2015.04.023" TargetMode="External"/><Relationship Id="rId70" Type="http://schemas.openxmlformats.org/officeDocument/2006/relationships/hyperlink" Target="https://doi.org/10.1016/j.pocean.2015.04.023" TargetMode="External"/><Relationship Id="rId75" Type="http://schemas.openxmlformats.org/officeDocument/2006/relationships/hyperlink" Target="https://doi.org/10.1016/j.pocean.2015.04.023" TargetMode="External"/><Relationship Id="rId91" Type="http://schemas.openxmlformats.org/officeDocument/2006/relationships/hyperlink" Target="https://onlinelibrary.wiley.com/doi/10.1111/ele.14441" TargetMode="External"/><Relationship Id="rId96" Type="http://schemas.openxmlformats.org/officeDocument/2006/relationships/hyperlink" Target="https://archimer.ifremer.fr/doc/00766/87831/98585.pdf" TargetMode="External"/><Relationship Id="rId1" Type="http://schemas.openxmlformats.org/officeDocument/2006/relationships/hyperlink" Target="https://doi.org/10.1111/ele.14441" TargetMode="External"/><Relationship Id="rId6" Type="http://schemas.openxmlformats.org/officeDocument/2006/relationships/hyperlink" Target="https://doi.org/10.1016/j.ecolind.2022.109752" TargetMode="External"/><Relationship Id="rId15" Type="http://schemas.openxmlformats.org/officeDocument/2006/relationships/hyperlink" Target="https://doi.org/10.1093/plankt/fby029" TargetMode="External"/><Relationship Id="rId23" Type="http://schemas.openxmlformats.org/officeDocument/2006/relationships/hyperlink" Target="https://doi.org/10.1016/j.pocean.2015.04.023" TargetMode="External"/><Relationship Id="rId28" Type="http://schemas.openxmlformats.org/officeDocument/2006/relationships/hyperlink" Target="https://doi.org/10.1016/j.pocean.2015.04.023" TargetMode="External"/><Relationship Id="rId36" Type="http://schemas.openxmlformats.org/officeDocument/2006/relationships/hyperlink" Target="https://doi.org/10.1016/j.pocean.2015.04.023" TargetMode="External"/><Relationship Id="rId49" Type="http://schemas.openxmlformats.org/officeDocument/2006/relationships/hyperlink" Target="https://doi.org/10.1016/j.pocean.2015.04.023" TargetMode="External"/><Relationship Id="rId57" Type="http://schemas.openxmlformats.org/officeDocument/2006/relationships/hyperlink" Target="https://doi.org/10.1016/j.pocean.2015.04.023" TargetMode="External"/><Relationship Id="rId106" Type="http://schemas.openxmlformats.org/officeDocument/2006/relationships/hyperlink" Target="https://www.sciencedirect.com/science/article/pii/S0079661120300598" TargetMode="External"/><Relationship Id="rId114" Type="http://schemas.microsoft.com/office/2017/10/relationships/threadedComment" Target="../threadedComments/threadedComment1.xml"/><Relationship Id="rId10" Type="http://schemas.openxmlformats.org/officeDocument/2006/relationships/hyperlink" Target="https://doi.org/10.1111/ele.14441" TargetMode="External"/><Relationship Id="rId31" Type="http://schemas.openxmlformats.org/officeDocument/2006/relationships/hyperlink" Target="https://doi.org/10.1016/j.pocean.2015.04.023" TargetMode="External"/><Relationship Id="rId44" Type="http://schemas.openxmlformats.org/officeDocument/2006/relationships/hyperlink" Target="https://doi.org/10.1016/j.pocean.2015.04.023" TargetMode="External"/><Relationship Id="rId52" Type="http://schemas.openxmlformats.org/officeDocument/2006/relationships/hyperlink" Target="https://doi.org/10.1016/j.pocean.2015.04.023" TargetMode="External"/><Relationship Id="rId60" Type="http://schemas.openxmlformats.org/officeDocument/2006/relationships/hyperlink" Target="https://doi.org/10.1016/j.pocean.2015.04.023" TargetMode="External"/><Relationship Id="rId65" Type="http://schemas.openxmlformats.org/officeDocument/2006/relationships/hyperlink" Target="https://doi.org/10.1016/j.pocean.2015.04.023" TargetMode="External"/><Relationship Id="rId73" Type="http://schemas.openxmlformats.org/officeDocument/2006/relationships/hyperlink" Target="https://doi.org/10.1016/j.pocean.2015.04.023" TargetMode="External"/><Relationship Id="rId78" Type="http://schemas.openxmlformats.org/officeDocument/2006/relationships/hyperlink" Target="https://doi.org/10.3354/meps09520" TargetMode="External"/><Relationship Id="rId81" Type="http://schemas.openxmlformats.org/officeDocument/2006/relationships/hyperlink" Target="https://doi.org/10.1007/s00300-021-02851-2" TargetMode="External"/><Relationship Id="rId86" Type="http://schemas.openxmlformats.org/officeDocument/2006/relationships/hyperlink" Target="https://doi.org/10.1111/gcb.70141" TargetMode="External"/><Relationship Id="rId94" Type="http://schemas.openxmlformats.org/officeDocument/2006/relationships/hyperlink" Target="https://www.pnas.org/doi/10.1073/pnas.2311086121?utm_source=chatgpt.com" TargetMode="External"/><Relationship Id="rId99" Type="http://schemas.openxmlformats.org/officeDocument/2006/relationships/hyperlink" Target="https://academic.oup.com/icesjms/article/80/4/775/7028404" TargetMode="External"/><Relationship Id="rId101" Type="http://schemas.openxmlformats.org/officeDocument/2006/relationships/hyperlink" Target="https://www.sciencedirect.com/science/article/pii/S0924796322001312" TargetMode="External"/><Relationship Id="rId4" Type="http://schemas.openxmlformats.org/officeDocument/2006/relationships/hyperlink" Target="https://doi.org/10.1111/fog.12429" TargetMode="External"/><Relationship Id="rId9" Type="http://schemas.openxmlformats.org/officeDocument/2006/relationships/hyperlink" Target="https://doi.org/10.1371/journal.pone.0173752" TargetMode="External"/><Relationship Id="rId13" Type="http://schemas.openxmlformats.org/officeDocument/2006/relationships/hyperlink" Target="https://doi.org/10.1007/s00227-024-04435-0" TargetMode="External"/><Relationship Id="rId18" Type="http://schemas.openxmlformats.org/officeDocument/2006/relationships/hyperlink" Target="https://www.cprsurvey.org/media/1060/ecostat2006.pdf" TargetMode="External"/><Relationship Id="rId39" Type="http://schemas.openxmlformats.org/officeDocument/2006/relationships/hyperlink" Target="https://doi.org/10.1016/j.pocean.2015.04.023" TargetMode="External"/><Relationship Id="rId109" Type="http://schemas.openxmlformats.org/officeDocument/2006/relationships/hyperlink" Target="https://aslopubs.onlinelibrary.wiley.com/doi/10.1002/lno.11351" TargetMode="External"/><Relationship Id="rId34" Type="http://schemas.openxmlformats.org/officeDocument/2006/relationships/hyperlink" Target="https://doi.org/10.1016/j.pocean.2015.04.023" TargetMode="External"/><Relationship Id="rId50" Type="http://schemas.openxmlformats.org/officeDocument/2006/relationships/hyperlink" Target="https://doi.org/10.1016/j.pocean.2015.04.023" TargetMode="External"/><Relationship Id="rId55" Type="http://schemas.openxmlformats.org/officeDocument/2006/relationships/hyperlink" Target="https://doi.org/10.1016/j.pocean.2015.04.023" TargetMode="External"/><Relationship Id="rId76" Type="http://schemas.openxmlformats.org/officeDocument/2006/relationships/hyperlink" Target="https://doi.org/10.1016/j.pocean.2015.04.023" TargetMode="External"/><Relationship Id="rId97" Type="http://schemas.openxmlformats.org/officeDocument/2006/relationships/hyperlink" Target="https://academic.oup.com/icesjms/article/80/4/775/7028404" TargetMode="External"/><Relationship Id="rId104" Type="http://schemas.openxmlformats.org/officeDocument/2006/relationships/hyperlink" Target="https://www.nature.com/articles/s41467-024-50381-2?utm_source=chatgpt.com" TargetMode="External"/><Relationship Id="rId7" Type="http://schemas.openxmlformats.org/officeDocument/2006/relationships/hyperlink" Target="https://doi.org/10.1111/gcb.70141" TargetMode="External"/><Relationship Id="rId71" Type="http://schemas.openxmlformats.org/officeDocument/2006/relationships/hyperlink" Target="https://doi.org/10.1016/j.pocean.2015.04.023" TargetMode="External"/><Relationship Id="rId92" Type="http://schemas.openxmlformats.org/officeDocument/2006/relationships/hyperlink" Target="https://onlinelibrary.wiley.com/doi/10.1111/ele.14441" TargetMode="External"/><Relationship Id="rId2" Type="http://schemas.openxmlformats.org/officeDocument/2006/relationships/hyperlink" Target="https://doi.org/10.1371/journal.pone.0173752" TargetMode="External"/><Relationship Id="rId29" Type="http://schemas.openxmlformats.org/officeDocument/2006/relationships/hyperlink" Target="https://doi.org/10.1016/j.pocean.2015.04.023" TargetMode="External"/><Relationship Id="rId24" Type="http://schemas.openxmlformats.org/officeDocument/2006/relationships/hyperlink" Target="https://doi.org/10.1016/j.pocean.2015.04.023" TargetMode="External"/><Relationship Id="rId40" Type="http://schemas.openxmlformats.org/officeDocument/2006/relationships/hyperlink" Target="https://doi.org/10.1016/j.pocean.2015.04.023" TargetMode="External"/><Relationship Id="rId45" Type="http://schemas.openxmlformats.org/officeDocument/2006/relationships/hyperlink" Target="https://doi.org/10.1016/j.pocean.2015.04.023" TargetMode="External"/><Relationship Id="rId66" Type="http://schemas.openxmlformats.org/officeDocument/2006/relationships/hyperlink" Target="https://doi.org/10.1016/j.pocean.2015.04.023" TargetMode="External"/><Relationship Id="rId87" Type="http://schemas.openxmlformats.org/officeDocument/2006/relationships/hyperlink" Target="https://onlinelibrary.wiley.com/doi/10.1111/ele.14441" TargetMode="External"/><Relationship Id="rId110" Type="http://schemas.openxmlformats.org/officeDocument/2006/relationships/hyperlink" Target="https://besjournals.onlinelibrary.wiley.com/doi/full/10.1111/j.1365-2745.2008.01355.x" TargetMode="External"/><Relationship Id="rId61" Type="http://schemas.openxmlformats.org/officeDocument/2006/relationships/hyperlink" Target="https://doi.org/10.1016/j.pocean.2015.04.023" TargetMode="External"/><Relationship Id="rId82" Type="http://schemas.openxmlformats.org/officeDocument/2006/relationships/hyperlink" Target="https://doi.org/10.1111/j.1365-2486.2010.02246.x" TargetMode="External"/><Relationship Id="rId19" Type="http://schemas.openxmlformats.org/officeDocument/2006/relationships/hyperlink" Target="https://doi.org/10.1111/gcb.70141" TargetMode="External"/><Relationship Id="rId14" Type="http://schemas.openxmlformats.org/officeDocument/2006/relationships/hyperlink" Target="https://doi.org/10.1111/gcb.70141" TargetMode="External"/><Relationship Id="rId30" Type="http://schemas.openxmlformats.org/officeDocument/2006/relationships/hyperlink" Target="https://doi.org/10.1016/j.pocean.2015.04.023" TargetMode="External"/><Relationship Id="rId35" Type="http://schemas.openxmlformats.org/officeDocument/2006/relationships/hyperlink" Target="https://doi.org/10.1016/j.pocean.2015.04.023" TargetMode="External"/><Relationship Id="rId56" Type="http://schemas.openxmlformats.org/officeDocument/2006/relationships/hyperlink" Target="https://doi.org/10.1016/j.pocean.2015.04.023" TargetMode="External"/><Relationship Id="rId77" Type="http://schemas.openxmlformats.org/officeDocument/2006/relationships/hyperlink" Target="https://doi.org/10.1016/j.pocean.2015.04.023" TargetMode="External"/><Relationship Id="rId100" Type="http://schemas.openxmlformats.org/officeDocument/2006/relationships/hyperlink" Target="https://www.sciencedirect.com/science/article/pii/S0924796322001312" TargetMode="External"/><Relationship Id="rId105" Type="http://schemas.openxmlformats.org/officeDocument/2006/relationships/hyperlink" Target="https://www.frontiersin.org/journals/marine-science/articles/10.3389/fmars.2021.707632/full?utm_source=chatgpt.com" TargetMode="External"/><Relationship Id="rId8" Type="http://schemas.openxmlformats.org/officeDocument/2006/relationships/hyperlink" Target="https://doi.org/10.1371/journal.pone.0173752" TargetMode="External"/><Relationship Id="rId51" Type="http://schemas.openxmlformats.org/officeDocument/2006/relationships/hyperlink" Target="https://doi.org/10.1016/j.pocean.2015.04.023" TargetMode="External"/><Relationship Id="rId72" Type="http://schemas.openxmlformats.org/officeDocument/2006/relationships/hyperlink" Target="https://doi.org/10.1016/j.pocean.2015.04.023" TargetMode="External"/><Relationship Id="rId93" Type="http://schemas.openxmlformats.org/officeDocument/2006/relationships/hyperlink" Target="https://onlinelibrary.wiley.com/doi/10.1111/ele.14441" TargetMode="External"/><Relationship Id="rId98" Type="http://schemas.openxmlformats.org/officeDocument/2006/relationships/hyperlink" Target="https://www.sciencedirect.com/science/article/pii/S0924796322001312" TargetMode="External"/><Relationship Id="rId3" Type="http://schemas.openxmlformats.org/officeDocument/2006/relationships/hyperlink" Target="https://doi.org/10.1038/s41598-019-51607-w" TargetMode="External"/><Relationship Id="rId25" Type="http://schemas.openxmlformats.org/officeDocument/2006/relationships/hyperlink" Target="https://doi.org/10.1016/j.pocean.2015.04.023" TargetMode="External"/><Relationship Id="rId46" Type="http://schemas.openxmlformats.org/officeDocument/2006/relationships/hyperlink" Target="https://doi.org/10.1016/j.pocean.2015.04.023" TargetMode="External"/><Relationship Id="rId67" Type="http://schemas.openxmlformats.org/officeDocument/2006/relationships/hyperlink" Target="https://doi.org/10.1016/j.pocean.2015.04.023" TargetMode="External"/><Relationship Id="rId20" Type="http://schemas.openxmlformats.org/officeDocument/2006/relationships/hyperlink" Target="https://doi.org/10.3354/meps14903" TargetMode="External"/><Relationship Id="rId41" Type="http://schemas.openxmlformats.org/officeDocument/2006/relationships/hyperlink" Target="https://doi.org/10.1016/j.pocean.2015.04.023" TargetMode="External"/><Relationship Id="rId62" Type="http://schemas.openxmlformats.org/officeDocument/2006/relationships/hyperlink" Target="https://doi.org/10.1016/j.pocean.2015.04.023" TargetMode="External"/><Relationship Id="rId83" Type="http://schemas.openxmlformats.org/officeDocument/2006/relationships/hyperlink" Target="https://doi.org/10.1016/j.pocean.2015.04.025" TargetMode="External"/><Relationship Id="rId88" Type="http://schemas.openxmlformats.org/officeDocument/2006/relationships/hyperlink" Target="https://onlinelibrary.wiley.com/doi/10.1111/ele.14441" TargetMode="External"/><Relationship Id="rId11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126/science.267.5202.1324" TargetMode="External"/><Relationship Id="rId13" Type="http://schemas.openxmlformats.org/officeDocument/2006/relationships/hyperlink" Target="https://doi.org/10.1098/rspb.2009.1320" TargetMode="External"/><Relationship Id="rId18" Type="http://schemas.openxmlformats.org/officeDocument/2006/relationships/hyperlink" Target="https://doi.org/10.1098/rspb.2009.1320" TargetMode="External"/><Relationship Id="rId26" Type="http://schemas.openxmlformats.org/officeDocument/2006/relationships/vmlDrawing" Target="../drawings/vmlDrawing2.vml"/><Relationship Id="rId3" Type="http://schemas.openxmlformats.org/officeDocument/2006/relationships/hyperlink" Target="https://www.frontiersin.org/articles/10.3389/fmars.2020.576011/full" TargetMode="External"/><Relationship Id="rId21" Type="http://schemas.openxmlformats.org/officeDocument/2006/relationships/hyperlink" Target="https://www.researchgate.net/publication/255607757_Exceptional_abundance_of_the_snake_pipefish_Entelurus_aequoreus_in_the_north-eastern_Atlantic_Ocean" TargetMode="External"/><Relationship Id="rId7" Type="http://schemas.openxmlformats.org/officeDocument/2006/relationships/hyperlink" Target="https://doi.org/10.1126/science.267.5202.1324" TargetMode="External"/><Relationship Id="rId12" Type="http://schemas.openxmlformats.org/officeDocument/2006/relationships/hyperlink" Target="https://doi.org/10.1098/rspb.2009.1320" TargetMode="External"/><Relationship Id="rId17" Type="http://schemas.openxmlformats.org/officeDocument/2006/relationships/hyperlink" Target="https://doi.org/10.1098/rspb.2009.1320" TargetMode="External"/><Relationship Id="rId25" Type="http://schemas.openxmlformats.org/officeDocument/2006/relationships/hyperlink" Target="https://doi.org/10.1111/j.1365-2486.2009.01875.x" TargetMode="External"/><Relationship Id="rId2" Type="http://schemas.openxmlformats.org/officeDocument/2006/relationships/hyperlink" Target="https://pmc.ncbi.nlm.nih.gov/articles/PMC8166933/" TargetMode="External"/><Relationship Id="rId16" Type="http://schemas.openxmlformats.org/officeDocument/2006/relationships/hyperlink" Target="https://doi.org/10.1098/rspb.2009.1320" TargetMode="External"/><Relationship Id="rId20" Type="http://schemas.openxmlformats.org/officeDocument/2006/relationships/hyperlink" Target="https://www.researchgate.net/publication/255607757_Exceptional_abundance_of_the_snake_pipefish_Entelurus_aequoreus_in_the_north-eastern_Atlantic_Ocean" TargetMode="External"/><Relationship Id="rId1" Type="http://schemas.openxmlformats.org/officeDocument/2006/relationships/hyperlink" Target="https://www.mccip.org.uk/sites/default/files/2021-08/15_plankton_2020.pdf" TargetMode="External"/><Relationship Id="rId6" Type="http://schemas.openxmlformats.org/officeDocument/2006/relationships/hyperlink" Target="https://www.pmel.noaa.gov/foci/publications/2020/kimm0946.pdf" TargetMode="External"/><Relationship Id="rId11" Type="http://schemas.openxmlformats.org/officeDocument/2006/relationships/hyperlink" Target="https://doi.org/10.1098/rspb.2009.1320" TargetMode="External"/><Relationship Id="rId24" Type="http://schemas.openxmlformats.org/officeDocument/2006/relationships/hyperlink" Target="https://doi.org/10.1007/s10750-016-3046-6" TargetMode="External"/><Relationship Id="rId5" Type="http://schemas.openxmlformats.org/officeDocument/2006/relationships/hyperlink" Target="https://doi.org/10.1016/j.pocean.2022.102852" TargetMode="External"/><Relationship Id="rId15" Type="http://schemas.openxmlformats.org/officeDocument/2006/relationships/hyperlink" Target="https://doi.org/10.1098/rspb.2009.1320" TargetMode="External"/><Relationship Id="rId23" Type="http://schemas.openxmlformats.org/officeDocument/2006/relationships/hyperlink" Target="https://www.cprsurvey.org/media/1060/ecostat2006.pdf" TargetMode="External"/><Relationship Id="rId28" Type="http://schemas.microsoft.com/office/2017/10/relationships/threadedComment" Target="../threadedComments/threadedComment2.xml"/><Relationship Id="rId10" Type="http://schemas.openxmlformats.org/officeDocument/2006/relationships/hyperlink" Target="https://www.cprsurvey.org/media/1060/ecostat2006.pdf" TargetMode="External"/><Relationship Id="rId19" Type="http://schemas.openxmlformats.org/officeDocument/2006/relationships/hyperlink" Target="https://doi.org/10.1098/rspb.2009.1320" TargetMode="External"/><Relationship Id="rId4" Type="http://schemas.openxmlformats.org/officeDocument/2006/relationships/hyperlink" Target="https://www.researchgate.net/publication/287215515_Long-term_and_seasonal_zooplankton_dynamics_in_the_northwest_Iberian_shelf_and_its_relationship_with_meteo-climatic_and_hydrographic_variability" TargetMode="External"/><Relationship Id="rId9" Type="http://schemas.openxmlformats.org/officeDocument/2006/relationships/hyperlink" Target="https://doi.org/10.1155/2010/410129" TargetMode="External"/><Relationship Id="rId14" Type="http://schemas.openxmlformats.org/officeDocument/2006/relationships/hyperlink" Target="https://doi.org/10.1098/rspb.2009.1320" TargetMode="External"/><Relationship Id="rId22" Type="http://schemas.openxmlformats.org/officeDocument/2006/relationships/hyperlink" Target="https://www.researchgate.net/publication/255607757_Exceptional_abundance_of_the_snake_pipefish_Entelurus_aequoreus_in_the_north-eastern_Atlantic_Ocean" TargetMode="External"/><Relationship Id="rId27"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111/gcb.12726" TargetMode="External"/><Relationship Id="rId13" Type="http://schemas.openxmlformats.org/officeDocument/2006/relationships/hyperlink" Target="https://doi.org/10.1038/nclimate1753" TargetMode="External"/><Relationship Id="rId18" Type="http://schemas.openxmlformats.org/officeDocument/2006/relationships/comments" Target="../comments3.xml"/><Relationship Id="rId3" Type="http://schemas.openxmlformats.org/officeDocument/2006/relationships/hyperlink" Target="https://doi.org/10.1016/j.icesjms.2005.02.009" TargetMode="External"/><Relationship Id="rId7" Type="http://schemas.openxmlformats.org/officeDocument/2006/relationships/hyperlink" Target="https://doi.org/10.1890/07-0564.1" TargetMode="External"/><Relationship Id="rId12" Type="http://schemas.openxmlformats.org/officeDocument/2006/relationships/hyperlink" Target="https://egusphere.copernicus.org/preprints/2025/egusphere-2025-1862/egusphere-2025-1862.pdf" TargetMode="External"/><Relationship Id="rId17" Type="http://schemas.openxmlformats.org/officeDocument/2006/relationships/vmlDrawing" Target="../drawings/vmlDrawing3.vml"/><Relationship Id="rId2" Type="http://schemas.openxmlformats.org/officeDocument/2006/relationships/hyperlink" Target="https://doi.org/10.1016/j.icesjms.2005.02.009" TargetMode="External"/><Relationship Id="rId16" Type="http://schemas.openxmlformats.org/officeDocument/2006/relationships/printerSettings" Target="../printerSettings/printerSettings2.bin"/><Relationship Id="rId1" Type="http://schemas.openxmlformats.org/officeDocument/2006/relationships/hyperlink" Target="https://doi.org/10.1038/s41586-024-08191-5" TargetMode="External"/><Relationship Id="rId6" Type="http://schemas.openxmlformats.org/officeDocument/2006/relationships/hyperlink" Target="https://doi.org/10.1016/j.ecolind.2022.109752" TargetMode="External"/><Relationship Id="rId11" Type="http://schemas.openxmlformats.org/officeDocument/2006/relationships/hyperlink" Target="https://egusphere.copernicus.org/preprints/2025/egusphere-2025-1862/egusphere-2025-1862.pdf" TargetMode="External"/><Relationship Id="rId5" Type="http://schemas.openxmlformats.org/officeDocument/2006/relationships/hyperlink" Target="https://doi.org/10.1016/j.ecolind.2022.109752" TargetMode="External"/><Relationship Id="rId15" Type="http://schemas.openxmlformats.org/officeDocument/2006/relationships/hyperlink" Target="https://doi.org/10.1038/nclimate1753" TargetMode="External"/><Relationship Id="rId10" Type="http://schemas.openxmlformats.org/officeDocument/2006/relationships/hyperlink" Target="https://doi.org/10.1038/ncomms14434" TargetMode="External"/><Relationship Id="rId19" Type="http://schemas.microsoft.com/office/2017/10/relationships/threadedComment" Target="../threadedComments/threadedComment3.xml"/><Relationship Id="rId4" Type="http://schemas.openxmlformats.org/officeDocument/2006/relationships/hyperlink" Target="https://doi.org/10.3389/fmars.2016.00086" TargetMode="External"/><Relationship Id="rId9" Type="http://schemas.openxmlformats.org/officeDocument/2006/relationships/hyperlink" Target="https://calcofi.org/downloads/publications/calcofireports/v45/Vol_45_Orensanz.pdf" TargetMode="External"/><Relationship Id="rId14" Type="http://schemas.openxmlformats.org/officeDocument/2006/relationships/hyperlink" Target="https://www.sciencedirect.com/science/article/pii/S156898832400132X?utm_source=chatgpt.com"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CF4F-9AA5-4DF6-B2DB-8ADC471A7B25}">
  <dimension ref="A1:AE918"/>
  <sheetViews>
    <sheetView tabSelected="1" zoomScale="74" zoomScaleNormal="66" workbookViewId="0">
      <pane ySplit="1" topLeftCell="A2" activePane="bottomLeft" state="frozen"/>
      <selection pane="bottomLeft" sqref="A1:XFD1"/>
    </sheetView>
  </sheetViews>
  <sheetFormatPr defaultRowHeight="14.5"/>
  <cols>
    <col min="1" max="1" width="99.54296875" style="1" customWidth="1"/>
    <col min="2" max="2" width="11" style="1" customWidth="1"/>
    <col min="3" max="3" width="11" style="60" hidden="1" customWidth="1"/>
    <col min="4" max="4" width="7.26953125" style="1" customWidth="1"/>
    <col min="5" max="5" width="9.54296875" style="1" customWidth="1"/>
    <col min="6" max="6" width="7.26953125" style="1" customWidth="1"/>
    <col min="7" max="7" width="13.90625" style="1" customWidth="1"/>
    <col min="8" max="8" width="8.7265625" style="1"/>
    <col min="9" max="10" width="8.81640625" style="1" hidden="1" customWidth="1"/>
    <col min="11" max="12" width="8.81640625" style="1" bestFit="1" customWidth="1"/>
    <col min="13" max="13" width="7.453125" style="1" customWidth="1"/>
    <col min="14" max="14" width="12.08984375" style="1" customWidth="1"/>
    <col min="15" max="15" width="20.1796875" style="1" customWidth="1"/>
    <col min="16" max="16" width="18.36328125" style="1" customWidth="1"/>
    <col min="17" max="17" width="22.81640625" style="1" customWidth="1"/>
    <col min="18" max="18" width="18.453125" style="1" customWidth="1"/>
    <col min="19" max="19" width="12.453125" style="1" hidden="1" customWidth="1"/>
    <col min="20" max="20" width="8.81640625" style="1" hidden="1" customWidth="1"/>
    <col min="21" max="21" width="0" style="1" hidden="1" customWidth="1"/>
    <col min="22" max="22" width="12.08984375" style="1" bestFit="1" customWidth="1"/>
    <col min="23" max="24" width="0" style="1" hidden="1" customWidth="1"/>
    <col min="25" max="25" width="7.90625" style="1" customWidth="1"/>
    <col min="26" max="27" width="0" style="1" hidden="1" customWidth="1"/>
    <col min="28" max="28" width="8.7265625" style="1"/>
    <col min="29" max="30" width="0" style="1" hidden="1" customWidth="1"/>
    <col min="31" max="16384" width="8.7265625" style="1"/>
  </cols>
  <sheetData>
    <row r="1" spans="1:31" s="56" customFormat="1">
      <c r="A1" s="56" t="s">
        <v>0</v>
      </c>
      <c r="B1" s="56" t="s">
        <v>75</v>
      </c>
      <c r="C1" s="57" t="s">
        <v>153</v>
      </c>
      <c r="D1" s="56" t="s">
        <v>18</v>
      </c>
      <c r="E1" s="56" t="s">
        <v>19</v>
      </c>
      <c r="F1" s="56" t="s">
        <v>1</v>
      </c>
      <c r="G1" s="56" t="s">
        <v>2</v>
      </c>
      <c r="H1" s="56" t="s">
        <v>3</v>
      </c>
      <c r="I1" s="56" t="s">
        <v>4</v>
      </c>
      <c r="J1" s="56" t="s">
        <v>5</v>
      </c>
      <c r="K1" s="56" t="s">
        <v>6</v>
      </c>
      <c r="L1" s="56" t="s">
        <v>7</v>
      </c>
      <c r="M1" s="56" t="s">
        <v>8</v>
      </c>
      <c r="N1" s="56" t="s">
        <v>9</v>
      </c>
      <c r="O1" s="56" t="s">
        <v>150</v>
      </c>
      <c r="P1" s="56" t="s">
        <v>10</v>
      </c>
      <c r="Q1" s="56" t="s">
        <v>12</v>
      </c>
      <c r="R1" s="56" t="s">
        <v>13</v>
      </c>
      <c r="S1" s="56" t="s">
        <v>14</v>
      </c>
      <c r="T1" s="56" t="s">
        <v>15</v>
      </c>
      <c r="U1" s="56" t="s">
        <v>16</v>
      </c>
      <c r="V1" s="56" t="s">
        <v>775</v>
      </c>
      <c r="W1" s="56" t="s">
        <v>193</v>
      </c>
      <c r="X1" s="56" t="s">
        <v>145</v>
      </c>
      <c r="Y1" s="56" t="s">
        <v>17</v>
      </c>
      <c r="Z1" s="56" t="s">
        <v>20</v>
      </c>
      <c r="AA1" s="56" t="s">
        <v>21</v>
      </c>
      <c r="AB1" s="56" t="s">
        <v>22</v>
      </c>
      <c r="AC1" s="56" t="s">
        <v>23</v>
      </c>
      <c r="AD1" s="56" t="s">
        <v>24</v>
      </c>
      <c r="AE1" s="56" t="s">
        <v>70</v>
      </c>
    </row>
    <row r="2" spans="1:31">
      <c r="A2" s="1" t="s">
        <v>182</v>
      </c>
      <c r="B2" s="26" t="s">
        <v>183</v>
      </c>
      <c r="C2" s="60">
        <v>45869</v>
      </c>
      <c r="D2" s="1" t="s">
        <v>130</v>
      </c>
      <c r="E2" s="1" t="s">
        <v>74</v>
      </c>
      <c r="F2" s="1">
        <v>2025</v>
      </c>
      <c r="G2" s="1" t="s">
        <v>184</v>
      </c>
      <c r="H2" s="1" t="s">
        <v>147</v>
      </c>
      <c r="I2" s="1">
        <v>30.5</v>
      </c>
      <c r="J2" s="1">
        <v>-119.5</v>
      </c>
      <c r="K2" s="1">
        <v>1951</v>
      </c>
      <c r="L2" s="1">
        <v>2022</v>
      </c>
      <c r="M2" s="1">
        <f t="shared" ref="M2:M65" si="0">L2-K2+1</f>
        <v>72</v>
      </c>
      <c r="N2" s="1" t="s">
        <v>30</v>
      </c>
      <c r="O2" s="1" t="s">
        <v>199</v>
      </c>
      <c r="P2" s="1" t="s">
        <v>1856</v>
      </c>
      <c r="Q2" s="1" t="s">
        <v>178</v>
      </c>
      <c r="R2" s="1" t="s">
        <v>1328</v>
      </c>
      <c r="S2" s="1" t="s">
        <v>71</v>
      </c>
      <c r="T2" s="1" t="s">
        <v>40</v>
      </c>
      <c r="U2" s="1" t="s">
        <v>40</v>
      </c>
      <c r="V2" s="1">
        <v>-2.29</v>
      </c>
      <c r="X2" s="1" t="s">
        <v>40</v>
      </c>
      <c r="Y2" s="1" t="s">
        <v>694</v>
      </c>
      <c r="Z2" s="1" t="s">
        <v>40</v>
      </c>
      <c r="AA2" s="1" t="s">
        <v>188</v>
      </c>
      <c r="AB2" s="1" t="s">
        <v>1327</v>
      </c>
      <c r="AC2" s="1" t="s">
        <v>130</v>
      </c>
      <c r="AD2" s="1" t="s">
        <v>40</v>
      </c>
      <c r="AE2" s="1" t="s">
        <v>1885</v>
      </c>
    </row>
    <row r="3" spans="1:31">
      <c r="A3" s="1" t="s">
        <v>182</v>
      </c>
      <c r="B3" s="1" t="s">
        <v>183</v>
      </c>
      <c r="C3" s="60">
        <v>45869</v>
      </c>
      <c r="D3" s="1" t="s">
        <v>130</v>
      </c>
      <c r="E3" s="1" t="s">
        <v>74</v>
      </c>
      <c r="F3" s="1">
        <v>2025</v>
      </c>
      <c r="G3" s="1" t="s">
        <v>186</v>
      </c>
      <c r="H3" s="1" t="s">
        <v>147</v>
      </c>
      <c r="I3" s="1">
        <v>30.5</v>
      </c>
      <c r="J3" s="1">
        <v>-119.5</v>
      </c>
      <c r="K3" s="1">
        <v>1951</v>
      </c>
      <c r="L3" s="1">
        <v>2022</v>
      </c>
      <c r="M3" s="1">
        <f t="shared" si="0"/>
        <v>72</v>
      </c>
      <c r="N3" s="1" t="s">
        <v>30</v>
      </c>
      <c r="O3" s="1" t="s">
        <v>199</v>
      </c>
      <c r="P3" s="1" t="s">
        <v>1856</v>
      </c>
      <c r="Q3" s="1" t="s">
        <v>181</v>
      </c>
      <c r="R3" s="1" t="s">
        <v>1328</v>
      </c>
      <c r="S3" s="1" t="s">
        <v>71</v>
      </c>
      <c r="T3" s="1" t="s">
        <v>40</v>
      </c>
      <c r="U3" s="1" t="s">
        <v>40</v>
      </c>
      <c r="V3" s="1">
        <v>6.31</v>
      </c>
      <c r="X3" s="1" t="s">
        <v>40</v>
      </c>
      <c r="Y3" s="1" t="s">
        <v>41</v>
      </c>
      <c r="Z3" s="1" t="s">
        <v>40</v>
      </c>
      <c r="AA3" s="1" t="s">
        <v>188</v>
      </c>
      <c r="AB3" s="1" t="s">
        <v>187</v>
      </c>
      <c r="AC3" s="1" t="s">
        <v>130</v>
      </c>
      <c r="AD3" s="1" t="s">
        <v>40</v>
      </c>
      <c r="AE3" s="1" t="s">
        <v>40</v>
      </c>
    </row>
    <row r="4" spans="1:31">
      <c r="A4" s="1" t="s">
        <v>182</v>
      </c>
      <c r="B4" s="1" t="s">
        <v>183</v>
      </c>
      <c r="C4" s="60">
        <v>45869</v>
      </c>
      <c r="D4" s="1" t="s">
        <v>130</v>
      </c>
      <c r="E4" s="1" t="s">
        <v>74</v>
      </c>
      <c r="F4" s="1">
        <v>2025</v>
      </c>
      <c r="G4" s="1" t="s">
        <v>185</v>
      </c>
      <c r="H4" s="1" t="s">
        <v>147</v>
      </c>
      <c r="I4" s="1">
        <v>42.9</v>
      </c>
      <c r="J4" s="1">
        <v>-125</v>
      </c>
      <c r="K4" s="1">
        <v>1996</v>
      </c>
      <c r="L4" s="1">
        <v>2023</v>
      </c>
      <c r="M4" s="1">
        <f t="shared" si="0"/>
        <v>28</v>
      </c>
      <c r="N4" s="1" t="s">
        <v>30</v>
      </c>
      <c r="O4" s="1" t="s">
        <v>199</v>
      </c>
      <c r="P4" s="1" t="s">
        <v>1856</v>
      </c>
      <c r="Q4" s="1" t="s">
        <v>181</v>
      </c>
      <c r="R4" s="1" t="s">
        <v>1328</v>
      </c>
      <c r="S4" s="1" t="s">
        <v>71</v>
      </c>
      <c r="T4" s="1" t="s">
        <v>40</v>
      </c>
      <c r="U4" s="1" t="s">
        <v>40</v>
      </c>
      <c r="V4" s="1">
        <v>-3.72</v>
      </c>
      <c r="X4" s="1" t="s">
        <v>40</v>
      </c>
      <c r="Y4" s="1" t="s">
        <v>694</v>
      </c>
      <c r="Z4" s="1" t="s">
        <v>40</v>
      </c>
      <c r="AA4" s="1" t="s">
        <v>188</v>
      </c>
      <c r="AB4" s="1" t="s">
        <v>187</v>
      </c>
      <c r="AC4" s="1" t="s">
        <v>130</v>
      </c>
      <c r="AD4" s="1" t="s">
        <v>40</v>
      </c>
      <c r="AE4" s="1" t="s">
        <v>40</v>
      </c>
    </row>
    <row r="5" spans="1:31">
      <c r="A5" s="1" t="s">
        <v>182</v>
      </c>
      <c r="B5" s="47" t="s">
        <v>1887</v>
      </c>
      <c r="C5" s="60">
        <v>45877</v>
      </c>
      <c r="D5" s="1" t="s">
        <v>130</v>
      </c>
      <c r="E5" s="1" t="s">
        <v>74</v>
      </c>
      <c r="F5" s="1">
        <v>2025</v>
      </c>
      <c r="G5" s="1" t="s">
        <v>184</v>
      </c>
      <c r="H5" s="1" t="s">
        <v>147</v>
      </c>
      <c r="I5" s="1">
        <v>30.5</v>
      </c>
      <c r="J5" s="1">
        <v>-119.5</v>
      </c>
      <c r="K5" s="1">
        <v>1951</v>
      </c>
      <c r="L5" s="1">
        <v>2022</v>
      </c>
      <c r="M5" s="1">
        <f t="shared" si="0"/>
        <v>72</v>
      </c>
      <c r="N5" s="1" t="s">
        <v>30</v>
      </c>
      <c r="O5" s="1" t="s">
        <v>205</v>
      </c>
      <c r="P5" s="1" t="s">
        <v>788</v>
      </c>
      <c r="Q5" s="1" t="s">
        <v>287</v>
      </c>
      <c r="R5" s="1" t="s">
        <v>1328</v>
      </c>
      <c r="V5" s="1">
        <v>-9.9</v>
      </c>
      <c r="W5"/>
      <c r="Y5" s="1" t="s">
        <v>694</v>
      </c>
      <c r="Z5" s="1" t="s">
        <v>40</v>
      </c>
      <c r="AA5" s="1" t="s">
        <v>188</v>
      </c>
      <c r="AB5" s="1" t="s">
        <v>986</v>
      </c>
      <c r="AE5" s="1" t="s">
        <v>996</v>
      </c>
    </row>
    <row r="6" spans="1:31">
      <c r="A6" s="1" t="s">
        <v>182</v>
      </c>
      <c r="B6" s="1" t="s">
        <v>183</v>
      </c>
      <c r="C6" s="60">
        <v>45877</v>
      </c>
      <c r="D6" s="1" t="s">
        <v>130</v>
      </c>
      <c r="E6" s="1" t="s">
        <v>74</v>
      </c>
      <c r="F6" s="1">
        <v>2025</v>
      </c>
      <c r="G6" s="1" t="s">
        <v>184</v>
      </c>
      <c r="H6" s="1" t="s">
        <v>147</v>
      </c>
      <c r="I6" s="1">
        <v>30.5</v>
      </c>
      <c r="J6" s="1">
        <v>-119.5</v>
      </c>
      <c r="K6" s="1">
        <v>1951</v>
      </c>
      <c r="L6" s="1">
        <v>2022</v>
      </c>
      <c r="M6" s="1">
        <f t="shared" si="0"/>
        <v>72</v>
      </c>
      <c r="N6" s="1" t="s">
        <v>30</v>
      </c>
      <c r="O6" s="1" t="s">
        <v>205</v>
      </c>
      <c r="P6" s="1" t="s">
        <v>788</v>
      </c>
      <c r="Q6" s="1" t="s">
        <v>967</v>
      </c>
      <c r="R6" s="1" t="s">
        <v>1328</v>
      </c>
      <c r="V6" s="1">
        <v>6.6</v>
      </c>
      <c r="W6"/>
      <c r="Y6" s="1" t="s">
        <v>41</v>
      </c>
      <c r="Z6" s="1" t="s">
        <v>40</v>
      </c>
      <c r="AA6" s="1" t="s">
        <v>188</v>
      </c>
      <c r="AB6" s="1" t="s">
        <v>986</v>
      </c>
      <c r="AE6" s="1" t="s">
        <v>996</v>
      </c>
    </row>
    <row r="7" spans="1:31">
      <c r="A7" s="1" t="s">
        <v>182</v>
      </c>
      <c r="B7" s="1" t="s">
        <v>183</v>
      </c>
      <c r="C7" s="60">
        <v>45877</v>
      </c>
      <c r="D7" s="1" t="s">
        <v>130</v>
      </c>
      <c r="E7" s="1" t="s">
        <v>74</v>
      </c>
      <c r="F7" s="1">
        <v>2025</v>
      </c>
      <c r="G7" s="1" t="s">
        <v>184</v>
      </c>
      <c r="H7" s="1" t="s">
        <v>147</v>
      </c>
      <c r="I7" s="1">
        <v>30.5</v>
      </c>
      <c r="J7" s="1">
        <v>-119.5</v>
      </c>
      <c r="K7" s="1">
        <v>1951</v>
      </c>
      <c r="L7" s="1">
        <v>2022</v>
      </c>
      <c r="M7" s="1">
        <f t="shared" si="0"/>
        <v>72</v>
      </c>
      <c r="N7" s="1" t="s">
        <v>30</v>
      </c>
      <c r="O7" s="1" t="s">
        <v>205</v>
      </c>
      <c r="P7" s="1" t="s">
        <v>788</v>
      </c>
      <c r="Q7" s="1" t="s">
        <v>970</v>
      </c>
      <c r="R7" s="1" t="s">
        <v>1328</v>
      </c>
      <c r="V7" s="1">
        <v>-8.9</v>
      </c>
      <c r="W7"/>
      <c r="Y7" s="1" t="s">
        <v>694</v>
      </c>
      <c r="Z7" s="1" t="s">
        <v>40</v>
      </c>
      <c r="AA7" s="1" t="s">
        <v>188</v>
      </c>
      <c r="AB7" s="1" t="s">
        <v>986</v>
      </c>
      <c r="AE7" s="1" t="s">
        <v>996</v>
      </c>
    </row>
    <row r="8" spans="1:31">
      <c r="A8" s="1" t="s">
        <v>182</v>
      </c>
      <c r="B8" s="1" t="s">
        <v>183</v>
      </c>
      <c r="C8" s="60">
        <v>45877</v>
      </c>
      <c r="D8" s="1" t="s">
        <v>130</v>
      </c>
      <c r="E8" s="1" t="s">
        <v>74</v>
      </c>
      <c r="F8" s="1">
        <v>2025</v>
      </c>
      <c r="G8" s="1" t="s">
        <v>184</v>
      </c>
      <c r="H8" s="1" t="s">
        <v>147</v>
      </c>
      <c r="I8" s="1">
        <v>30.5</v>
      </c>
      <c r="J8" s="1">
        <v>-119.5</v>
      </c>
      <c r="K8" s="1">
        <v>1951</v>
      </c>
      <c r="L8" s="1">
        <v>2022</v>
      </c>
      <c r="M8" s="1">
        <f t="shared" si="0"/>
        <v>72</v>
      </c>
      <c r="N8" s="1" t="s">
        <v>30</v>
      </c>
      <c r="O8" s="1" t="s">
        <v>205</v>
      </c>
      <c r="P8" s="1" t="s">
        <v>788</v>
      </c>
      <c r="Q8" s="1" t="s">
        <v>971</v>
      </c>
      <c r="R8" s="1" t="s">
        <v>1328</v>
      </c>
      <c r="V8" s="1">
        <v>4.4000000000000004</v>
      </c>
      <c r="W8"/>
      <c r="Y8" s="1" t="s">
        <v>41</v>
      </c>
      <c r="Z8" s="1" t="s">
        <v>40</v>
      </c>
      <c r="AA8" s="1" t="s">
        <v>188</v>
      </c>
      <c r="AB8" s="1" t="s">
        <v>986</v>
      </c>
      <c r="AE8" s="1" t="s">
        <v>996</v>
      </c>
    </row>
    <row r="9" spans="1:31">
      <c r="A9" s="1" t="s">
        <v>182</v>
      </c>
      <c r="B9" s="1" t="s">
        <v>183</v>
      </c>
      <c r="C9" s="60">
        <v>45877</v>
      </c>
      <c r="D9" s="1" t="s">
        <v>130</v>
      </c>
      <c r="E9" s="1" t="s">
        <v>74</v>
      </c>
      <c r="F9" s="1">
        <v>2025</v>
      </c>
      <c r="G9" s="1" t="s">
        <v>184</v>
      </c>
      <c r="H9" s="1" t="s">
        <v>147</v>
      </c>
      <c r="I9" s="1">
        <v>30.5</v>
      </c>
      <c r="J9" s="1">
        <v>-119.5</v>
      </c>
      <c r="K9" s="1">
        <v>1951</v>
      </c>
      <c r="L9" s="1">
        <v>2022</v>
      </c>
      <c r="M9" s="1">
        <f t="shared" si="0"/>
        <v>72</v>
      </c>
      <c r="N9" s="1" t="s">
        <v>30</v>
      </c>
      <c r="O9" s="1" t="s">
        <v>205</v>
      </c>
      <c r="P9" s="1" t="s">
        <v>788</v>
      </c>
      <c r="Q9" s="1" t="s">
        <v>288</v>
      </c>
      <c r="R9" s="1" t="s">
        <v>1328</v>
      </c>
      <c r="V9" s="1">
        <v>-9.5</v>
      </c>
      <c r="W9"/>
      <c r="Y9" s="1" t="s">
        <v>694</v>
      </c>
      <c r="Z9" s="1" t="s">
        <v>40</v>
      </c>
      <c r="AA9" s="1" t="s">
        <v>188</v>
      </c>
      <c r="AB9" s="1" t="s">
        <v>986</v>
      </c>
      <c r="AE9" s="1" t="s">
        <v>996</v>
      </c>
    </row>
    <row r="10" spans="1:31">
      <c r="A10" s="1" t="s">
        <v>182</v>
      </c>
      <c r="B10" s="1" t="s">
        <v>183</v>
      </c>
      <c r="C10" s="60">
        <v>45877</v>
      </c>
      <c r="D10" s="1" t="s">
        <v>130</v>
      </c>
      <c r="E10" s="1" t="s">
        <v>74</v>
      </c>
      <c r="F10" s="1">
        <v>2025</v>
      </c>
      <c r="G10" s="1" t="s">
        <v>184</v>
      </c>
      <c r="H10" s="1" t="s">
        <v>147</v>
      </c>
      <c r="I10" s="1">
        <v>30.5</v>
      </c>
      <c r="J10" s="1">
        <v>-119.5</v>
      </c>
      <c r="K10" s="1">
        <v>1951</v>
      </c>
      <c r="L10" s="1">
        <v>2022</v>
      </c>
      <c r="M10" s="1">
        <f t="shared" si="0"/>
        <v>72</v>
      </c>
      <c r="N10" s="1" t="s">
        <v>30</v>
      </c>
      <c r="O10" s="1" t="s">
        <v>205</v>
      </c>
      <c r="P10" s="1" t="s">
        <v>788</v>
      </c>
      <c r="Q10" s="1" t="s">
        <v>972</v>
      </c>
      <c r="R10" s="1" t="s">
        <v>1328</v>
      </c>
      <c r="V10" s="1">
        <v>-7.6</v>
      </c>
      <c r="W10"/>
      <c r="Y10" s="1" t="s">
        <v>694</v>
      </c>
      <c r="Z10" s="1" t="s">
        <v>40</v>
      </c>
      <c r="AA10" s="1" t="s">
        <v>188</v>
      </c>
      <c r="AB10" s="1" t="s">
        <v>986</v>
      </c>
      <c r="AE10" s="1" t="s">
        <v>996</v>
      </c>
    </row>
    <row r="11" spans="1:31">
      <c r="A11" s="1" t="s">
        <v>182</v>
      </c>
      <c r="B11" s="1" t="s">
        <v>183</v>
      </c>
      <c r="C11" s="60">
        <v>45877</v>
      </c>
      <c r="D11" s="1" t="s">
        <v>130</v>
      </c>
      <c r="E11" s="1" t="s">
        <v>74</v>
      </c>
      <c r="F11" s="1">
        <v>2025</v>
      </c>
      <c r="G11" s="1" t="s">
        <v>184</v>
      </c>
      <c r="H11" s="1" t="s">
        <v>147</v>
      </c>
      <c r="I11" s="1">
        <v>30.5</v>
      </c>
      <c r="J11" s="1">
        <v>-119.5</v>
      </c>
      <c r="K11" s="1">
        <v>1951</v>
      </c>
      <c r="L11" s="1">
        <v>2022</v>
      </c>
      <c r="M11" s="1">
        <f t="shared" si="0"/>
        <v>72</v>
      </c>
      <c r="N11" s="1" t="s">
        <v>30</v>
      </c>
      <c r="O11" s="1" t="s">
        <v>205</v>
      </c>
      <c r="P11" s="1" t="s">
        <v>788</v>
      </c>
      <c r="Q11" s="1" t="s">
        <v>299</v>
      </c>
      <c r="R11" s="1" t="s">
        <v>1328</v>
      </c>
      <c r="V11" s="1">
        <v>-3.3</v>
      </c>
      <c r="W11"/>
      <c r="Y11" s="1" t="s">
        <v>694</v>
      </c>
      <c r="Z11" s="1" t="s">
        <v>40</v>
      </c>
      <c r="AA11" s="1" t="s">
        <v>188</v>
      </c>
      <c r="AB11" s="1" t="s">
        <v>986</v>
      </c>
      <c r="AE11" s="1" t="s">
        <v>996</v>
      </c>
    </row>
    <row r="12" spans="1:31">
      <c r="A12" s="1" t="s">
        <v>182</v>
      </c>
      <c r="B12" s="1" t="s">
        <v>183</v>
      </c>
      <c r="C12" s="60">
        <v>45877</v>
      </c>
      <c r="D12" s="1" t="s">
        <v>130</v>
      </c>
      <c r="E12" s="1" t="s">
        <v>74</v>
      </c>
      <c r="F12" s="1">
        <v>2025</v>
      </c>
      <c r="G12" s="1" t="s">
        <v>184</v>
      </c>
      <c r="H12" s="1" t="s">
        <v>147</v>
      </c>
      <c r="I12" s="1">
        <v>30.5</v>
      </c>
      <c r="J12" s="1">
        <v>-119.5</v>
      </c>
      <c r="K12" s="1">
        <v>1951</v>
      </c>
      <c r="L12" s="1">
        <v>2022</v>
      </c>
      <c r="M12" s="1">
        <f t="shared" si="0"/>
        <v>72</v>
      </c>
      <c r="N12" s="1" t="s">
        <v>30</v>
      </c>
      <c r="O12" s="1" t="s">
        <v>205</v>
      </c>
      <c r="P12" s="1" t="s">
        <v>788</v>
      </c>
      <c r="Q12" s="1" t="s">
        <v>295</v>
      </c>
      <c r="R12" s="1" t="s">
        <v>1328</v>
      </c>
      <c r="V12" s="1">
        <v>0.6</v>
      </c>
      <c r="W12"/>
      <c r="Y12" s="1" t="s">
        <v>41</v>
      </c>
      <c r="Z12" s="1" t="s">
        <v>40</v>
      </c>
      <c r="AA12" s="1" t="s">
        <v>188</v>
      </c>
      <c r="AB12" s="1" t="s">
        <v>986</v>
      </c>
      <c r="AE12" s="1" t="s">
        <v>996</v>
      </c>
    </row>
    <row r="13" spans="1:31">
      <c r="A13" s="1" t="s">
        <v>182</v>
      </c>
      <c r="B13" s="1" t="s">
        <v>183</v>
      </c>
      <c r="C13" s="60">
        <v>45877</v>
      </c>
      <c r="D13" s="1" t="s">
        <v>130</v>
      </c>
      <c r="E13" s="1" t="s">
        <v>74</v>
      </c>
      <c r="F13" s="1">
        <v>2025</v>
      </c>
      <c r="G13" s="1" t="s">
        <v>184</v>
      </c>
      <c r="H13" s="1" t="s">
        <v>147</v>
      </c>
      <c r="I13" s="1">
        <v>30.5</v>
      </c>
      <c r="J13" s="1">
        <v>-119.5</v>
      </c>
      <c r="K13" s="1">
        <v>1951</v>
      </c>
      <c r="L13" s="1">
        <v>2022</v>
      </c>
      <c r="M13" s="1">
        <f t="shared" si="0"/>
        <v>72</v>
      </c>
      <c r="N13" s="1" t="s">
        <v>30</v>
      </c>
      <c r="O13" s="1" t="s">
        <v>205</v>
      </c>
      <c r="P13" s="1" t="s">
        <v>788</v>
      </c>
      <c r="Q13" s="1" t="s">
        <v>316</v>
      </c>
      <c r="R13" s="1" t="s">
        <v>1328</v>
      </c>
      <c r="V13" s="1">
        <v>5.0999999999999996</v>
      </c>
      <c r="W13"/>
      <c r="Y13" s="1" t="s">
        <v>41</v>
      </c>
      <c r="Z13" s="1" t="s">
        <v>40</v>
      </c>
      <c r="AA13" s="1" t="s">
        <v>188</v>
      </c>
      <c r="AB13" s="1" t="s">
        <v>986</v>
      </c>
      <c r="AE13" s="1" t="s">
        <v>996</v>
      </c>
    </row>
    <row r="14" spans="1:31">
      <c r="A14" s="1" t="s">
        <v>182</v>
      </c>
      <c r="B14" s="1" t="s">
        <v>183</v>
      </c>
      <c r="C14" s="60">
        <v>45877</v>
      </c>
      <c r="D14" s="1" t="s">
        <v>130</v>
      </c>
      <c r="E14" s="1" t="s">
        <v>74</v>
      </c>
      <c r="F14" s="1">
        <v>2025</v>
      </c>
      <c r="G14" s="1" t="s">
        <v>184</v>
      </c>
      <c r="H14" s="1" t="s">
        <v>147</v>
      </c>
      <c r="I14" s="1">
        <v>30.5</v>
      </c>
      <c r="J14" s="1">
        <v>-119.5</v>
      </c>
      <c r="K14" s="1">
        <v>1951</v>
      </c>
      <c r="L14" s="1">
        <v>2022</v>
      </c>
      <c r="M14" s="1">
        <f t="shared" si="0"/>
        <v>72</v>
      </c>
      <c r="N14" s="1" t="s">
        <v>30</v>
      </c>
      <c r="O14" s="1" t="s">
        <v>205</v>
      </c>
      <c r="P14" s="1" t="s">
        <v>788</v>
      </c>
      <c r="Q14" s="1" t="s">
        <v>357</v>
      </c>
      <c r="R14" s="1" t="s">
        <v>1328</v>
      </c>
      <c r="V14" s="1">
        <v>2</v>
      </c>
      <c r="W14"/>
      <c r="Y14" s="1" t="s">
        <v>41</v>
      </c>
      <c r="Z14" s="1" t="s">
        <v>40</v>
      </c>
      <c r="AA14" s="1" t="s">
        <v>188</v>
      </c>
      <c r="AB14" s="1" t="s">
        <v>986</v>
      </c>
      <c r="AE14" s="1" t="s">
        <v>996</v>
      </c>
    </row>
    <row r="15" spans="1:31">
      <c r="A15" s="1" t="s">
        <v>182</v>
      </c>
      <c r="B15" s="1" t="s">
        <v>183</v>
      </c>
      <c r="C15" s="60">
        <v>45877</v>
      </c>
      <c r="D15" s="1" t="s">
        <v>130</v>
      </c>
      <c r="E15" s="1" t="s">
        <v>74</v>
      </c>
      <c r="F15" s="1">
        <v>2025</v>
      </c>
      <c r="G15" s="1" t="s">
        <v>184</v>
      </c>
      <c r="H15" s="1" t="s">
        <v>147</v>
      </c>
      <c r="I15" s="1">
        <v>30.5</v>
      </c>
      <c r="J15" s="1">
        <v>-119.5</v>
      </c>
      <c r="K15" s="1">
        <v>1951</v>
      </c>
      <c r="L15" s="1">
        <v>2022</v>
      </c>
      <c r="M15" s="1">
        <f t="shared" si="0"/>
        <v>72</v>
      </c>
      <c r="N15" s="1" t="s">
        <v>30</v>
      </c>
      <c r="O15" s="1" t="s">
        <v>205</v>
      </c>
      <c r="P15" s="1" t="s">
        <v>788</v>
      </c>
      <c r="Q15" s="1" t="s">
        <v>973</v>
      </c>
      <c r="R15" s="1" t="s">
        <v>1328</v>
      </c>
      <c r="V15" s="1">
        <v>-6</v>
      </c>
      <c r="W15"/>
      <c r="Y15" s="1" t="s">
        <v>694</v>
      </c>
      <c r="Z15" s="1" t="s">
        <v>40</v>
      </c>
      <c r="AA15" s="1" t="s">
        <v>188</v>
      </c>
      <c r="AB15" s="1" t="s">
        <v>986</v>
      </c>
      <c r="AE15" s="1" t="s">
        <v>996</v>
      </c>
    </row>
    <row r="16" spans="1:31">
      <c r="A16" s="1" t="s">
        <v>182</v>
      </c>
      <c r="B16" s="1" t="s">
        <v>183</v>
      </c>
      <c r="C16" s="60">
        <v>45877</v>
      </c>
      <c r="D16" s="1" t="s">
        <v>130</v>
      </c>
      <c r="E16" s="1" t="s">
        <v>74</v>
      </c>
      <c r="F16" s="1">
        <v>2025</v>
      </c>
      <c r="G16" s="1" t="s">
        <v>184</v>
      </c>
      <c r="H16" s="1" t="s">
        <v>147</v>
      </c>
      <c r="I16" s="1">
        <v>30.5</v>
      </c>
      <c r="J16" s="1">
        <v>-119.5</v>
      </c>
      <c r="K16" s="1">
        <v>1951</v>
      </c>
      <c r="L16" s="1">
        <v>2022</v>
      </c>
      <c r="M16" s="1">
        <f t="shared" si="0"/>
        <v>72</v>
      </c>
      <c r="N16" s="1" t="s">
        <v>30</v>
      </c>
      <c r="O16" s="1" t="s">
        <v>205</v>
      </c>
      <c r="P16" s="1" t="s">
        <v>788</v>
      </c>
      <c r="Q16" s="1" t="s">
        <v>974</v>
      </c>
      <c r="R16" s="1" t="s">
        <v>1328</v>
      </c>
      <c r="V16" s="1">
        <v>-2.5</v>
      </c>
      <c r="W16"/>
      <c r="Y16" s="1" t="s">
        <v>694</v>
      </c>
      <c r="Z16" s="1" t="s">
        <v>40</v>
      </c>
      <c r="AA16" s="1" t="s">
        <v>188</v>
      </c>
      <c r="AB16" s="1" t="s">
        <v>986</v>
      </c>
      <c r="AE16" s="1" t="s">
        <v>996</v>
      </c>
    </row>
    <row r="17" spans="1:31">
      <c r="A17" s="1" t="s">
        <v>182</v>
      </c>
      <c r="B17" s="1" t="s">
        <v>183</v>
      </c>
      <c r="C17" s="60">
        <v>45877</v>
      </c>
      <c r="D17" s="1" t="s">
        <v>130</v>
      </c>
      <c r="E17" s="1" t="s">
        <v>74</v>
      </c>
      <c r="F17" s="1">
        <v>2025</v>
      </c>
      <c r="G17" s="1" t="s">
        <v>184</v>
      </c>
      <c r="H17" s="1" t="s">
        <v>147</v>
      </c>
      <c r="I17" s="1">
        <v>30.5</v>
      </c>
      <c r="J17" s="1">
        <v>-119.5</v>
      </c>
      <c r="K17" s="1">
        <v>1951</v>
      </c>
      <c r="L17" s="1">
        <v>2022</v>
      </c>
      <c r="M17" s="1">
        <f t="shared" si="0"/>
        <v>72</v>
      </c>
      <c r="N17" s="1" t="s">
        <v>30</v>
      </c>
      <c r="O17" s="1" t="s">
        <v>205</v>
      </c>
      <c r="P17" s="1" t="s">
        <v>788</v>
      </c>
      <c r="Q17" s="1" t="s">
        <v>284</v>
      </c>
      <c r="R17" s="1" t="s">
        <v>1328</v>
      </c>
      <c r="V17" s="1">
        <v>1.9</v>
      </c>
      <c r="Y17" s="1" t="s">
        <v>41</v>
      </c>
      <c r="Z17" s="1" t="s">
        <v>40</v>
      </c>
      <c r="AA17" s="1" t="s">
        <v>188</v>
      </c>
      <c r="AB17" s="1" t="s">
        <v>986</v>
      </c>
      <c r="AE17" s="1" t="s">
        <v>996</v>
      </c>
    </row>
    <row r="18" spans="1:31">
      <c r="A18" s="1" t="s">
        <v>182</v>
      </c>
      <c r="B18" s="1" t="s">
        <v>183</v>
      </c>
      <c r="C18" s="60">
        <v>45877</v>
      </c>
      <c r="D18" s="1" t="s">
        <v>130</v>
      </c>
      <c r="E18" s="1" t="s">
        <v>74</v>
      </c>
      <c r="F18" s="1">
        <v>2025</v>
      </c>
      <c r="G18" s="1" t="s">
        <v>184</v>
      </c>
      <c r="H18" s="1" t="s">
        <v>147</v>
      </c>
      <c r="I18" s="1">
        <v>30.5</v>
      </c>
      <c r="J18" s="1">
        <v>-119.5</v>
      </c>
      <c r="K18" s="1">
        <v>1951</v>
      </c>
      <c r="L18" s="1">
        <v>2022</v>
      </c>
      <c r="M18" s="1">
        <f t="shared" si="0"/>
        <v>72</v>
      </c>
      <c r="N18" s="1" t="s">
        <v>30</v>
      </c>
      <c r="O18" s="1" t="s">
        <v>205</v>
      </c>
      <c r="P18" s="1" t="s">
        <v>788</v>
      </c>
      <c r="Q18" s="1" t="s">
        <v>976</v>
      </c>
      <c r="R18" s="1" t="s">
        <v>1328</v>
      </c>
      <c r="V18" s="1">
        <v>8.6999999999999993</v>
      </c>
      <c r="Y18" s="1" t="s">
        <v>41</v>
      </c>
      <c r="Z18" s="1" t="s">
        <v>40</v>
      </c>
      <c r="AA18" s="1" t="s">
        <v>188</v>
      </c>
      <c r="AB18" s="1" t="s">
        <v>986</v>
      </c>
      <c r="AE18" s="1" t="s">
        <v>996</v>
      </c>
    </row>
    <row r="19" spans="1:31">
      <c r="A19" s="1" t="s">
        <v>182</v>
      </c>
      <c r="B19" s="1" t="s">
        <v>183</v>
      </c>
      <c r="C19" s="60">
        <v>45877</v>
      </c>
      <c r="D19" s="1" t="s">
        <v>130</v>
      </c>
      <c r="E19" s="1" t="s">
        <v>74</v>
      </c>
      <c r="F19" s="1">
        <v>2025</v>
      </c>
      <c r="G19" s="1" t="s">
        <v>184</v>
      </c>
      <c r="H19" s="1" t="s">
        <v>147</v>
      </c>
      <c r="I19" s="1">
        <v>30.5</v>
      </c>
      <c r="J19" s="1">
        <v>-119.5</v>
      </c>
      <c r="K19" s="1">
        <v>1951</v>
      </c>
      <c r="L19" s="1">
        <v>2022</v>
      </c>
      <c r="M19" s="1">
        <f t="shared" si="0"/>
        <v>72</v>
      </c>
      <c r="N19" s="1" t="s">
        <v>30</v>
      </c>
      <c r="O19" s="1" t="s">
        <v>205</v>
      </c>
      <c r="P19" s="1" t="s">
        <v>788</v>
      </c>
      <c r="Q19" s="1" t="s">
        <v>977</v>
      </c>
      <c r="R19" s="1" t="s">
        <v>1328</v>
      </c>
      <c r="V19" s="1">
        <v>0.6</v>
      </c>
      <c r="Y19" s="1" t="s">
        <v>41</v>
      </c>
      <c r="Z19" s="1" t="s">
        <v>40</v>
      </c>
      <c r="AA19" s="1" t="s">
        <v>188</v>
      </c>
      <c r="AB19" s="1" t="s">
        <v>986</v>
      </c>
      <c r="AE19" s="1" t="s">
        <v>996</v>
      </c>
    </row>
    <row r="20" spans="1:31">
      <c r="A20" s="1" t="s">
        <v>182</v>
      </c>
      <c r="B20" s="1" t="s">
        <v>183</v>
      </c>
      <c r="C20" s="60">
        <v>45877</v>
      </c>
      <c r="D20" s="1" t="s">
        <v>130</v>
      </c>
      <c r="E20" s="1" t="s">
        <v>74</v>
      </c>
      <c r="F20" s="1">
        <v>2025</v>
      </c>
      <c r="G20" s="1" t="s">
        <v>184</v>
      </c>
      <c r="H20" s="1" t="s">
        <v>147</v>
      </c>
      <c r="I20" s="1">
        <v>30.5</v>
      </c>
      <c r="J20" s="1">
        <v>-119.5</v>
      </c>
      <c r="K20" s="1">
        <v>1951</v>
      </c>
      <c r="L20" s="1">
        <v>2022</v>
      </c>
      <c r="M20" s="1">
        <f t="shared" si="0"/>
        <v>72</v>
      </c>
      <c r="N20" s="1" t="s">
        <v>30</v>
      </c>
      <c r="O20" s="1" t="s">
        <v>205</v>
      </c>
      <c r="P20" s="1" t="s">
        <v>788</v>
      </c>
      <c r="Q20" s="1" t="s">
        <v>354</v>
      </c>
      <c r="R20" s="1" t="s">
        <v>1328</v>
      </c>
      <c r="V20" s="1">
        <v>2.2000000000000002</v>
      </c>
      <c r="Y20" s="1" t="s">
        <v>41</v>
      </c>
      <c r="Z20" s="1" t="s">
        <v>40</v>
      </c>
      <c r="AA20" s="1" t="s">
        <v>188</v>
      </c>
      <c r="AB20" s="1" t="s">
        <v>986</v>
      </c>
      <c r="AE20" s="1" t="s">
        <v>996</v>
      </c>
    </row>
    <row r="21" spans="1:31">
      <c r="A21" s="1" t="s">
        <v>182</v>
      </c>
      <c r="B21" s="1" t="s">
        <v>183</v>
      </c>
      <c r="C21" s="60">
        <v>45877</v>
      </c>
      <c r="D21" s="1" t="s">
        <v>130</v>
      </c>
      <c r="E21" s="1" t="s">
        <v>74</v>
      </c>
      <c r="F21" s="1">
        <v>2025</v>
      </c>
      <c r="G21" s="1" t="s">
        <v>184</v>
      </c>
      <c r="H21" s="1" t="s">
        <v>147</v>
      </c>
      <c r="I21" s="1">
        <v>30.5</v>
      </c>
      <c r="J21" s="1">
        <v>-119.5</v>
      </c>
      <c r="K21" s="1">
        <v>1951</v>
      </c>
      <c r="L21" s="1">
        <v>2022</v>
      </c>
      <c r="M21" s="1">
        <f t="shared" si="0"/>
        <v>72</v>
      </c>
      <c r="N21" s="1" t="s">
        <v>30</v>
      </c>
      <c r="O21" s="1" t="s">
        <v>205</v>
      </c>
      <c r="P21" s="1" t="s">
        <v>788</v>
      </c>
      <c r="Q21" s="1" t="s">
        <v>981</v>
      </c>
      <c r="R21" s="1" t="s">
        <v>1328</v>
      </c>
      <c r="V21" s="1">
        <v>-4.3</v>
      </c>
      <c r="Y21" s="1" t="s">
        <v>694</v>
      </c>
      <c r="Z21" s="1" t="s">
        <v>40</v>
      </c>
      <c r="AA21" s="1" t="s">
        <v>188</v>
      </c>
      <c r="AB21" s="1" t="s">
        <v>986</v>
      </c>
      <c r="AE21" s="1" t="s">
        <v>996</v>
      </c>
    </row>
    <row r="22" spans="1:31">
      <c r="A22" s="1" t="s">
        <v>182</v>
      </c>
      <c r="B22" s="1" t="s">
        <v>183</v>
      </c>
      <c r="C22" s="60">
        <v>45877</v>
      </c>
      <c r="D22" s="1" t="s">
        <v>130</v>
      </c>
      <c r="E22" s="1" t="s">
        <v>74</v>
      </c>
      <c r="F22" s="1">
        <v>2025</v>
      </c>
      <c r="G22" s="1" t="s">
        <v>184</v>
      </c>
      <c r="H22" s="1" t="s">
        <v>147</v>
      </c>
      <c r="I22" s="1">
        <v>30.5</v>
      </c>
      <c r="J22" s="1">
        <v>-119.5</v>
      </c>
      <c r="K22" s="1">
        <v>1951</v>
      </c>
      <c r="L22" s="1">
        <v>2022</v>
      </c>
      <c r="M22" s="1">
        <f t="shared" si="0"/>
        <v>72</v>
      </c>
      <c r="N22" s="1" t="s">
        <v>30</v>
      </c>
      <c r="O22" s="1" t="s">
        <v>205</v>
      </c>
      <c r="P22" s="1" t="s">
        <v>788</v>
      </c>
      <c r="Q22" s="1" t="s">
        <v>319</v>
      </c>
      <c r="R22" s="1" t="s">
        <v>1328</v>
      </c>
      <c r="V22" s="1">
        <v>-11.4</v>
      </c>
      <c r="Y22" s="1" t="s">
        <v>694</v>
      </c>
      <c r="Z22" s="1" t="s">
        <v>40</v>
      </c>
      <c r="AA22" s="1" t="s">
        <v>188</v>
      </c>
      <c r="AB22" s="1" t="s">
        <v>986</v>
      </c>
      <c r="AE22" s="1" t="s">
        <v>996</v>
      </c>
    </row>
    <row r="23" spans="1:31">
      <c r="A23" s="1" t="s">
        <v>182</v>
      </c>
      <c r="B23" s="1" t="s">
        <v>183</v>
      </c>
      <c r="C23" s="60">
        <v>45877</v>
      </c>
      <c r="D23" s="1" t="s">
        <v>130</v>
      </c>
      <c r="E23" s="1" t="s">
        <v>74</v>
      </c>
      <c r="F23" s="1">
        <v>2025</v>
      </c>
      <c r="G23" s="1" t="s">
        <v>184</v>
      </c>
      <c r="H23" s="1" t="s">
        <v>147</v>
      </c>
      <c r="I23" s="1">
        <v>30.5</v>
      </c>
      <c r="J23" s="1">
        <v>-119.5</v>
      </c>
      <c r="K23" s="1">
        <v>1951</v>
      </c>
      <c r="L23" s="1">
        <v>2022</v>
      </c>
      <c r="M23" s="1">
        <f t="shared" si="0"/>
        <v>72</v>
      </c>
      <c r="N23" s="1" t="s">
        <v>30</v>
      </c>
      <c r="O23" s="1" t="s">
        <v>205</v>
      </c>
      <c r="P23" s="1" t="s">
        <v>788</v>
      </c>
      <c r="Q23" s="1" t="s">
        <v>296</v>
      </c>
      <c r="R23" s="1" t="s">
        <v>1328</v>
      </c>
      <c r="V23" s="1">
        <v>2.9</v>
      </c>
      <c r="Y23" s="1" t="s">
        <v>41</v>
      </c>
      <c r="Z23" s="1" t="s">
        <v>40</v>
      </c>
      <c r="AA23" s="1" t="s">
        <v>188</v>
      </c>
      <c r="AB23" s="1" t="s">
        <v>986</v>
      </c>
      <c r="AE23" s="1" t="s">
        <v>996</v>
      </c>
    </row>
    <row r="24" spans="1:31">
      <c r="A24" s="1" t="s">
        <v>182</v>
      </c>
      <c r="B24" s="1" t="s">
        <v>183</v>
      </c>
      <c r="C24" s="60">
        <v>45877</v>
      </c>
      <c r="D24" s="1" t="s">
        <v>130</v>
      </c>
      <c r="E24" s="1" t="s">
        <v>74</v>
      </c>
      <c r="F24" s="1">
        <v>2025</v>
      </c>
      <c r="G24" s="1" t="s">
        <v>184</v>
      </c>
      <c r="H24" s="1" t="s">
        <v>147</v>
      </c>
      <c r="I24" s="1">
        <v>30.5</v>
      </c>
      <c r="J24" s="1">
        <v>-119.5</v>
      </c>
      <c r="K24" s="1">
        <v>1951</v>
      </c>
      <c r="L24" s="1">
        <v>2022</v>
      </c>
      <c r="M24" s="1">
        <f t="shared" si="0"/>
        <v>72</v>
      </c>
      <c r="N24" s="1" t="s">
        <v>30</v>
      </c>
      <c r="O24" s="1" t="s">
        <v>205</v>
      </c>
      <c r="P24" s="1" t="s">
        <v>788</v>
      </c>
      <c r="Q24" s="1" t="s">
        <v>983</v>
      </c>
      <c r="R24" s="1" t="s">
        <v>1328</v>
      </c>
      <c r="V24" s="1">
        <v>0.2</v>
      </c>
      <c r="Y24" s="1" t="s">
        <v>41</v>
      </c>
      <c r="Z24" s="1" t="s">
        <v>40</v>
      </c>
      <c r="AA24" s="1" t="s">
        <v>188</v>
      </c>
      <c r="AB24" s="1" t="s">
        <v>986</v>
      </c>
      <c r="AE24" s="1" t="s">
        <v>996</v>
      </c>
    </row>
    <row r="25" spans="1:31">
      <c r="A25" s="1" t="s">
        <v>182</v>
      </c>
      <c r="B25" s="1" t="s">
        <v>183</v>
      </c>
      <c r="C25" s="60">
        <v>45877</v>
      </c>
      <c r="D25" s="1" t="s">
        <v>130</v>
      </c>
      <c r="E25" s="1" t="s">
        <v>74</v>
      </c>
      <c r="F25" s="1">
        <v>2025</v>
      </c>
      <c r="G25" s="1" t="s">
        <v>184</v>
      </c>
      <c r="H25" s="1" t="s">
        <v>147</v>
      </c>
      <c r="I25" s="1">
        <v>30.5</v>
      </c>
      <c r="J25" s="1">
        <v>-119.5</v>
      </c>
      <c r="K25" s="1">
        <v>1951</v>
      </c>
      <c r="L25" s="1">
        <v>2022</v>
      </c>
      <c r="M25" s="1">
        <f t="shared" si="0"/>
        <v>72</v>
      </c>
      <c r="N25" s="1" t="s">
        <v>30</v>
      </c>
      <c r="O25" s="1" t="s">
        <v>205</v>
      </c>
      <c r="P25" s="1" t="s">
        <v>788</v>
      </c>
      <c r="Q25" s="1" t="s">
        <v>290</v>
      </c>
      <c r="R25" s="1" t="s">
        <v>1328</v>
      </c>
      <c r="V25" s="1">
        <v>-3.9</v>
      </c>
      <c r="Y25" s="1" t="s">
        <v>694</v>
      </c>
      <c r="Z25" s="1" t="s">
        <v>40</v>
      </c>
      <c r="AA25" s="1" t="s">
        <v>188</v>
      </c>
      <c r="AB25" s="1" t="s">
        <v>986</v>
      </c>
      <c r="AE25" s="1" t="s">
        <v>996</v>
      </c>
    </row>
    <row r="26" spans="1:31">
      <c r="A26" s="1" t="s">
        <v>182</v>
      </c>
      <c r="B26" s="1" t="s">
        <v>183</v>
      </c>
      <c r="C26" s="60">
        <v>45877</v>
      </c>
      <c r="D26" s="1" t="s">
        <v>130</v>
      </c>
      <c r="E26" s="1" t="s">
        <v>74</v>
      </c>
      <c r="F26" s="1">
        <v>2025</v>
      </c>
      <c r="G26" s="1" t="s">
        <v>184</v>
      </c>
      <c r="H26" s="1" t="s">
        <v>147</v>
      </c>
      <c r="I26" s="1">
        <v>30.5</v>
      </c>
      <c r="J26" s="1">
        <v>-119.5</v>
      </c>
      <c r="K26" s="1">
        <v>1951</v>
      </c>
      <c r="L26" s="1">
        <v>2022</v>
      </c>
      <c r="M26" s="1">
        <f t="shared" si="0"/>
        <v>72</v>
      </c>
      <c r="N26" s="1" t="s">
        <v>30</v>
      </c>
      <c r="O26" s="1" t="s">
        <v>205</v>
      </c>
      <c r="P26" s="1" t="s">
        <v>788</v>
      </c>
      <c r="Q26" s="1" t="s">
        <v>799</v>
      </c>
      <c r="R26" s="1" t="s">
        <v>1328</v>
      </c>
      <c r="V26" s="1">
        <v>-3.7</v>
      </c>
      <c r="Y26" s="1" t="s">
        <v>694</v>
      </c>
      <c r="Z26" s="1" t="s">
        <v>40</v>
      </c>
      <c r="AA26" s="1" t="s">
        <v>188</v>
      </c>
      <c r="AB26" s="1" t="s">
        <v>986</v>
      </c>
      <c r="AE26" s="1" t="s">
        <v>996</v>
      </c>
    </row>
    <row r="27" spans="1:31">
      <c r="A27" s="1" t="s">
        <v>182</v>
      </c>
      <c r="B27" s="1" t="s">
        <v>183</v>
      </c>
      <c r="C27" s="60">
        <v>45877</v>
      </c>
      <c r="D27" s="1" t="s">
        <v>130</v>
      </c>
      <c r="E27" s="1" t="s">
        <v>74</v>
      </c>
      <c r="F27" s="1">
        <v>2025</v>
      </c>
      <c r="G27" s="1" t="s">
        <v>184</v>
      </c>
      <c r="H27" s="1" t="s">
        <v>147</v>
      </c>
      <c r="I27" s="1">
        <v>30.5</v>
      </c>
      <c r="J27" s="1">
        <v>-119.5</v>
      </c>
      <c r="K27" s="1">
        <v>1951</v>
      </c>
      <c r="L27" s="1">
        <v>2022</v>
      </c>
      <c r="M27" s="1">
        <f t="shared" si="0"/>
        <v>72</v>
      </c>
      <c r="N27" s="1" t="s">
        <v>30</v>
      </c>
      <c r="O27" s="1" t="s">
        <v>205</v>
      </c>
      <c r="P27" s="1" t="s">
        <v>788</v>
      </c>
      <c r="Q27" s="1" t="s">
        <v>324</v>
      </c>
      <c r="R27" s="1" t="s">
        <v>1328</v>
      </c>
      <c r="V27" s="1">
        <v>0.5</v>
      </c>
      <c r="Y27" s="1" t="s">
        <v>41</v>
      </c>
      <c r="Z27" s="1" t="s">
        <v>40</v>
      </c>
      <c r="AA27" s="1" t="s">
        <v>188</v>
      </c>
      <c r="AB27" s="1" t="s">
        <v>986</v>
      </c>
      <c r="AE27" s="1" t="s">
        <v>996</v>
      </c>
    </row>
    <row r="28" spans="1:31">
      <c r="A28" s="1" t="s">
        <v>182</v>
      </c>
      <c r="B28" s="1" t="s">
        <v>183</v>
      </c>
      <c r="C28" s="60">
        <v>45877</v>
      </c>
      <c r="D28" s="1" t="s">
        <v>130</v>
      </c>
      <c r="E28" s="1" t="s">
        <v>74</v>
      </c>
      <c r="F28" s="1">
        <v>2025</v>
      </c>
      <c r="G28" s="1" t="s">
        <v>184</v>
      </c>
      <c r="H28" s="1" t="s">
        <v>147</v>
      </c>
      <c r="I28" s="1">
        <v>30.5</v>
      </c>
      <c r="J28" s="1">
        <v>-119.5</v>
      </c>
      <c r="K28" s="1">
        <v>1951</v>
      </c>
      <c r="L28" s="1">
        <v>2022</v>
      </c>
      <c r="M28" s="1">
        <f t="shared" si="0"/>
        <v>72</v>
      </c>
      <c r="N28" s="1" t="s">
        <v>30</v>
      </c>
      <c r="O28" s="1" t="s">
        <v>205</v>
      </c>
      <c r="P28" s="1" t="s">
        <v>788</v>
      </c>
      <c r="Q28" s="1" t="s">
        <v>987</v>
      </c>
      <c r="R28" s="1" t="s">
        <v>1328</v>
      </c>
      <c r="V28" s="1">
        <v>-6</v>
      </c>
      <c r="Y28" s="1" t="s">
        <v>694</v>
      </c>
      <c r="Z28" s="1" t="s">
        <v>40</v>
      </c>
      <c r="AA28" s="1" t="s">
        <v>188</v>
      </c>
      <c r="AB28" s="1" t="s">
        <v>986</v>
      </c>
      <c r="AE28" s="1" t="s">
        <v>996</v>
      </c>
    </row>
    <row r="29" spans="1:31">
      <c r="A29" s="1" t="s">
        <v>182</v>
      </c>
      <c r="B29" s="1" t="s">
        <v>183</v>
      </c>
      <c r="C29" s="60">
        <v>45877</v>
      </c>
      <c r="D29" s="1" t="s">
        <v>130</v>
      </c>
      <c r="E29" s="1" t="s">
        <v>74</v>
      </c>
      <c r="F29" s="1">
        <v>2025</v>
      </c>
      <c r="G29" s="1" t="s">
        <v>184</v>
      </c>
      <c r="H29" s="1" t="s">
        <v>147</v>
      </c>
      <c r="I29" s="1">
        <v>30.5</v>
      </c>
      <c r="J29" s="1">
        <v>-119.5</v>
      </c>
      <c r="K29" s="1">
        <v>1951</v>
      </c>
      <c r="L29" s="1">
        <v>2022</v>
      </c>
      <c r="M29" s="1">
        <f t="shared" si="0"/>
        <v>72</v>
      </c>
      <c r="N29" s="1" t="s">
        <v>30</v>
      </c>
      <c r="O29" s="1" t="s">
        <v>205</v>
      </c>
      <c r="P29" s="1" t="s">
        <v>788</v>
      </c>
      <c r="Q29" s="1" t="s">
        <v>308</v>
      </c>
      <c r="R29" s="1" t="s">
        <v>1328</v>
      </c>
      <c r="V29" s="1">
        <v>-6.2</v>
      </c>
      <c r="Y29" s="1" t="s">
        <v>694</v>
      </c>
      <c r="Z29" s="1" t="s">
        <v>40</v>
      </c>
      <c r="AA29" s="1" t="s">
        <v>188</v>
      </c>
      <c r="AB29" s="1" t="s">
        <v>986</v>
      </c>
      <c r="AE29" s="1" t="s">
        <v>996</v>
      </c>
    </row>
    <row r="30" spans="1:31">
      <c r="A30" s="1" t="s">
        <v>182</v>
      </c>
      <c r="B30" s="1" t="s">
        <v>183</v>
      </c>
      <c r="C30" s="60">
        <v>45877</v>
      </c>
      <c r="D30" s="1" t="s">
        <v>130</v>
      </c>
      <c r="E30" s="1" t="s">
        <v>74</v>
      </c>
      <c r="F30" s="1">
        <v>2025</v>
      </c>
      <c r="G30" s="1" t="s">
        <v>184</v>
      </c>
      <c r="H30" s="1" t="s">
        <v>147</v>
      </c>
      <c r="I30" s="1">
        <v>30.5</v>
      </c>
      <c r="J30" s="1">
        <v>-119.5</v>
      </c>
      <c r="K30" s="1">
        <v>1951</v>
      </c>
      <c r="L30" s="1">
        <v>2022</v>
      </c>
      <c r="M30" s="1">
        <f t="shared" si="0"/>
        <v>72</v>
      </c>
      <c r="N30" s="1" t="s">
        <v>30</v>
      </c>
      <c r="O30" s="1" t="s">
        <v>205</v>
      </c>
      <c r="P30" s="1" t="s">
        <v>788</v>
      </c>
      <c r="Q30" s="1" t="s">
        <v>356</v>
      </c>
      <c r="R30" s="1" t="s">
        <v>1328</v>
      </c>
      <c r="V30" s="1">
        <v>-2.1</v>
      </c>
      <c r="Y30" s="1" t="s">
        <v>694</v>
      </c>
      <c r="Z30" s="1" t="s">
        <v>40</v>
      </c>
      <c r="AA30" s="1" t="s">
        <v>188</v>
      </c>
      <c r="AB30" s="1" t="s">
        <v>986</v>
      </c>
      <c r="AE30" s="1" t="s">
        <v>996</v>
      </c>
    </row>
    <row r="31" spans="1:31">
      <c r="A31" s="1" t="s">
        <v>182</v>
      </c>
      <c r="B31" s="1" t="s">
        <v>183</v>
      </c>
      <c r="C31" s="60">
        <v>45877</v>
      </c>
      <c r="D31" s="1" t="s">
        <v>130</v>
      </c>
      <c r="E31" s="1" t="s">
        <v>74</v>
      </c>
      <c r="F31" s="1">
        <v>2025</v>
      </c>
      <c r="G31" s="1" t="s">
        <v>184</v>
      </c>
      <c r="H31" s="1" t="s">
        <v>147</v>
      </c>
      <c r="I31" s="1">
        <v>30.5</v>
      </c>
      <c r="J31" s="1">
        <v>-119.5</v>
      </c>
      <c r="K31" s="1">
        <v>1951</v>
      </c>
      <c r="L31" s="1">
        <v>2022</v>
      </c>
      <c r="M31" s="1">
        <f t="shared" si="0"/>
        <v>72</v>
      </c>
      <c r="N31" s="1" t="s">
        <v>30</v>
      </c>
      <c r="O31" s="1" t="s">
        <v>205</v>
      </c>
      <c r="P31" s="1" t="s">
        <v>788</v>
      </c>
      <c r="Q31" s="1" t="s">
        <v>989</v>
      </c>
      <c r="R31" s="1" t="s">
        <v>1328</v>
      </c>
      <c r="V31" s="1">
        <v>-2.9</v>
      </c>
      <c r="Y31" s="1" t="s">
        <v>694</v>
      </c>
      <c r="Z31" s="1" t="s">
        <v>40</v>
      </c>
      <c r="AA31" s="1" t="s">
        <v>188</v>
      </c>
      <c r="AB31" s="1" t="s">
        <v>986</v>
      </c>
      <c r="AE31" s="1" t="s">
        <v>996</v>
      </c>
    </row>
    <row r="32" spans="1:31">
      <c r="A32" s="1" t="s">
        <v>182</v>
      </c>
      <c r="B32" s="1" t="s">
        <v>183</v>
      </c>
      <c r="C32" s="60">
        <v>45877</v>
      </c>
      <c r="D32" s="1" t="s">
        <v>130</v>
      </c>
      <c r="E32" s="1" t="s">
        <v>74</v>
      </c>
      <c r="F32" s="1">
        <v>2025</v>
      </c>
      <c r="G32" s="1" t="s">
        <v>184</v>
      </c>
      <c r="H32" s="1" t="s">
        <v>147</v>
      </c>
      <c r="I32" s="1">
        <v>30.5</v>
      </c>
      <c r="J32" s="1">
        <v>-119.5</v>
      </c>
      <c r="K32" s="1">
        <v>1951</v>
      </c>
      <c r="L32" s="1">
        <v>2022</v>
      </c>
      <c r="M32" s="1">
        <f t="shared" si="0"/>
        <v>72</v>
      </c>
      <c r="N32" s="1" t="s">
        <v>30</v>
      </c>
      <c r="O32" s="1" t="s">
        <v>205</v>
      </c>
      <c r="P32" s="1" t="s">
        <v>788</v>
      </c>
      <c r="Q32" s="1" t="s">
        <v>990</v>
      </c>
      <c r="R32" s="1" t="s">
        <v>1328</v>
      </c>
      <c r="V32" s="1">
        <v>-13</v>
      </c>
      <c r="Y32" s="1" t="s">
        <v>694</v>
      </c>
      <c r="Z32" s="1" t="s">
        <v>40</v>
      </c>
      <c r="AA32" s="1" t="s">
        <v>188</v>
      </c>
      <c r="AB32" s="1" t="s">
        <v>986</v>
      </c>
      <c r="AE32" s="1" t="s">
        <v>996</v>
      </c>
    </row>
    <row r="33" spans="1:31">
      <c r="A33" s="1" t="s">
        <v>182</v>
      </c>
      <c r="B33" s="1" t="s">
        <v>183</v>
      </c>
      <c r="C33" s="60">
        <v>45877</v>
      </c>
      <c r="D33" s="1" t="s">
        <v>130</v>
      </c>
      <c r="E33" s="1" t="s">
        <v>74</v>
      </c>
      <c r="F33" s="1">
        <v>2025</v>
      </c>
      <c r="G33" s="1" t="s">
        <v>184</v>
      </c>
      <c r="H33" s="1" t="s">
        <v>147</v>
      </c>
      <c r="I33" s="1">
        <v>30.5</v>
      </c>
      <c r="J33" s="1">
        <v>-119.5</v>
      </c>
      <c r="K33" s="1">
        <v>1951</v>
      </c>
      <c r="L33" s="1">
        <v>2022</v>
      </c>
      <c r="M33" s="1">
        <f t="shared" si="0"/>
        <v>72</v>
      </c>
      <c r="N33" s="1" t="s">
        <v>30</v>
      </c>
      <c r="O33" s="1" t="s">
        <v>205</v>
      </c>
      <c r="P33" s="1" t="s">
        <v>788</v>
      </c>
      <c r="Q33" s="1" t="s">
        <v>991</v>
      </c>
      <c r="R33" s="1" t="s">
        <v>1328</v>
      </c>
      <c r="V33" s="1">
        <v>0.4</v>
      </c>
      <c r="Y33" s="1" t="s">
        <v>41</v>
      </c>
      <c r="Z33" s="1" t="s">
        <v>40</v>
      </c>
      <c r="AA33" s="1" t="s">
        <v>188</v>
      </c>
      <c r="AB33" s="1" t="s">
        <v>986</v>
      </c>
      <c r="AE33" s="1" t="s">
        <v>996</v>
      </c>
    </row>
    <row r="34" spans="1:31">
      <c r="A34" s="1" t="s">
        <v>182</v>
      </c>
      <c r="B34" s="1" t="s">
        <v>183</v>
      </c>
      <c r="C34" s="60">
        <v>45877</v>
      </c>
      <c r="D34" s="1" t="s">
        <v>130</v>
      </c>
      <c r="E34" s="1" t="s">
        <v>74</v>
      </c>
      <c r="F34" s="1">
        <v>2025</v>
      </c>
      <c r="G34" s="1" t="s">
        <v>184</v>
      </c>
      <c r="H34" s="1" t="s">
        <v>147</v>
      </c>
      <c r="I34" s="1">
        <v>30.5</v>
      </c>
      <c r="J34" s="1">
        <v>-119.5</v>
      </c>
      <c r="K34" s="1">
        <v>1951</v>
      </c>
      <c r="L34" s="1">
        <v>2022</v>
      </c>
      <c r="M34" s="1">
        <f t="shared" si="0"/>
        <v>72</v>
      </c>
      <c r="N34" s="1" t="s">
        <v>30</v>
      </c>
      <c r="O34" s="1" t="s">
        <v>205</v>
      </c>
      <c r="P34" s="1" t="s">
        <v>788</v>
      </c>
      <c r="Q34" s="1" t="s">
        <v>366</v>
      </c>
      <c r="R34" s="1" t="s">
        <v>1328</v>
      </c>
      <c r="V34" s="1">
        <v>-3.6</v>
      </c>
      <c r="Y34" s="1" t="s">
        <v>694</v>
      </c>
      <c r="Z34" s="1" t="s">
        <v>40</v>
      </c>
      <c r="AA34" s="1" t="s">
        <v>188</v>
      </c>
      <c r="AB34" s="1" t="s">
        <v>986</v>
      </c>
      <c r="AE34" s="1" t="s">
        <v>996</v>
      </c>
    </row>
    <row r="35" spans="1:31">
      <c r="A35" s="1" t="s">
        <v>182</v>
      </c>
      <c r="B35" s="1" t="s">
        <v>183</v>
      </c>
      <c r="C35" s="60">
        <v>45877</v>
      </c>
      <c r="D35" s="1" t="s">
        <v>130</v>
      </c>
      <c r="E35" s="1" t="s">
        <v>74</v>
      </c>
      <c r="F35" s="1">
        <v>2025</v>
      </c>
      <c r="G35" s="1" t="s">
        <v>184</v>
      </c>
      <c r="H35" s="1" t="s">
        <v>147</v>
      </c>
      <c r="I35" s="1">
        <v>30.5</v>
      </c>
      <c r="J35" s="1">
        <v>-119.5</v>
      </c>
      <c r="K35" s="1">
        <v>1951</v>
      </c>
      <c r="L35" s="1">
        <v>2022</v>
      </c>
      <c r="M35" s="1">
        <f t="shared" si="0"/>
        <v>72</v>
      </c>
      <c r="N35" s="1" t="s">
        <v>30</v>
      </c>
      <c r="O35" s="1" t="s">
        <v>205</v>
      </c>
      <c r="P35" s="1" t="s">
        <v>788</v>
      </c>
      <c r="Q35" s="1" t="s">
        <v>323</v>
      </c>
      <c r="R35" s="1" t="s">
        <v>1328</v>
      </c>
      <c r="V35" s="1">
        <v>7.9</v>
      </c>
      <c r="Y35" s="1" t="s">
        <v>41</v>
      </c>
      <c r="Z35" s="1" t="s">
        <v>40</v>
      </c>
      <c r="AA35" s="1" t="s">
        <v>188</v>
      </c>
      <c r="AB35" s="1" t="s">
        <v>986</v>
      </c>
      <c r="AE35" s="1" t="s">
        <v>996</v>
      </c>
    </row>
    <row r="36" spans="1:31">
      <c r="A36" s="1" t="s">
        <v>182</v>
      </c>
      <c r="B36" s="1" t="s">
        <v>183</v>
      </c>
      <c r="C36" s="60">
        <v>45877</v>
      </c>
      <c r="D36" s="1" t="s">
        <v>130</v>
      </c>
      <c r="E36" s="1" t="s">
        <v>74</v>
      </c>
      <c r="F36" s="1">
        <v>2025</v>
      </c>
      <c r="G36" s="1" t="s">
        <v>184</v>
      </c>
      <c r="H36" s="1" t="s">
        <v>147</v>
      </c>
      <c r="I36" s="1">
        <v>30.5</v>
      </c>
      <c r="J36" s="1">
        <v>-119.5</v>
      </c>
      <c r="K36" s="1">
        <v>1951</v>
      </c>
      <c r="L36" s="1">
        <v>2022</v>
      </c>
      <c r="M36" s="1">
        <f t="shared" si="0"/>
        <v>72</v>
      </c>
      <c r="N36" s="1" t="s">
        <v>30</v>
      </c>
      <c r="O36" s="1" t="s">
        <v>205</v>
      </c>
      <c r="P36" s="1" t="s">
        <v>788</v>
      </c>
      <c r="Q36" s="1" t="s">
        <v>325</v>
      </c>
      <c r="R36" s="1" t="s">
        <v>1328</v>
      </c>
      <c r="V36" s="1">
        <v>-1.3</v>
      </c>
      <c r="Y36" s="1" t="s">
        <v>694</v>
      </c>
      <c r="Z36" s="1" t="s">
        <v>40</v>
      </c>
      <c r="AA36" s="1" t="s">
        <v>188</v>
      </c>
      <c r="AB36" s="1" t="s">
        <v>986</v>
      </c>
      <c r="AE36" s="1" t="s">
        <v>996</v>
      </c>
    </row>
    <row r="37" spans="1:31">
      <c r="A37" s="1" t="s">
        <v>182</v>
      </c>
      <c r="B37" s="1" t="s">
        <v>183</v>
      </c>
      <c r="C37" s="60">
        <v>45877</v>
      </c>
      <c r="D37" s="1" t="s">
        <v>130</v>
      </c>
      <c r="E37" s="1" t="s">
        <v>74</v>
      </c>
      <c r="F37" s="1">
        <v>2025</v>
      </c>
      <c r="G37" s="1" t="s">
        <v>184</v>
      </c>
      <c r="H37" s="1" t="s">
        <v>147</v>
      </c>
      <c r="I37" s="1">
        <v>30.5</v>
      </c>
      <c r="J37" s="1">
        <v>-119.5</v>
      </c>
      <c r="K37" s="1">
        <v>1951</v>
      </c>
      <c r="L37" s="1">
        <v>2022</v>
      </c>
      <c r="M37" s="1">
        <f t="shared" si="0"/>
        <v>72</v>
      </c>
      <c r="N37" s="1" t="s">
        <v>30</v>
      </c>
      <c r="O37" s="1" t="s">
        <v>205</v>
      </c>
      <c r="P37" s="1" t="s">
        <v>788</v>
      </c>
      <c r="Q37" s="1" t="s">
        <v>993</v>
      </c>
      <c r="R37" s="1" t="s">
        <v>1328</v>
      </c>
      <c r="V37" s="1">
        <v>4.7</v>
      </c>
      <c r="Y37" s="1" t="s">
        <v>41</v>
      </c>
      <c r="Z37" s="1" t="s">
        <v>40</v>
      </c>
      <c r="AA37" s="1" t="s">
        <v>188</v>
      </c>
      <c r="AB37" s="1" t="s">
        <v>986</v>
      </c>
      <c r="AE37" s="1" t="s">
        <v>996</v>
      </c>
    </row>
    <row r="38" spans="1:31">
      <c r="A38" s="1" t="s">
        <v>182</v>
      </c>
      <c r="B38" s="1" t="s">
        <v>183</v>
      </c>
      <c r="C38" s="60">
        <v>45877</v>
      </c>
      <c r="D38" s="1" t="s">
        <v>130</v>
      </c>
      <c r="E38" s="1" t="s">
        <v>74</v>
      </c>
      <c r="F38" s="1">
        <v>2025</v>
      </c>
      <c r="G38" s="1" t="s">
        <v>184</v>
      </c>
      <c r="H38" s="1" t="s">
        <v>147</v>
      </c>
      <c r="I38" s="1">
        <v>30.5</v>
      </c>
      <c r="J38" s="1">
        <v>-119.5</v>
      </c>
      <c r="K38" s="1">
        <v>1951</v>
      </c>
      <c r="L38" s="1">
        <v>2022</v>
      </c>
      <c r="M38" s="1">
        <f t="shared" si="0"/>
        <v>72</v>
      </c>
      <c r="N38" s="1" t="s">
        <v>30</v>
      </c>
      <c r="O38" s="1" t="s">
        <v>205</v>
      </c>
      <c r="P38" s="1" t="s">
        <v>788</v>
      </c>
      <c r="Q38" s="1" t="s">
        <v>995</v>
      </c>
      <c r="R38" s="1" t="s">
        <v>1328</v>
      </c>
      <c r="V38" s="1">
        <v>-2.1</v>
      </c>
      <c r="Y38" s="1" t="s">
        <v>694</v>
      </c>
      <c r="Z38" s="1" t="s">
        <v>40</v>
      </c>
      <c r="AA38" s="1" t="s">
        <v>188</v>
      </c>
      <c r="AB38" s="1" t="s">
        <v>986</v>
      </c>
      <c r="AE38" s="1" t="s">
        <v>996</v>
      </c>
    </row>
    <row r="39" spans="1:31">
      <c r="A39" s="1" t="s">
        <v>182</v>
      </c>
      <c r="B39" s="1" t="s">
        <v>183</v>
      </c>
      <c r="C39" s="60">
        <v>45877</v>
      </c>
      <c r="D39" s="1" t="s">
        <v>130</v>
      </c>
      <c r="E39" s="1" t="s">
        <v>74</v>
      </c>
      <c r="F39" s="1">
        <v>2025</v>
      </c>
      <c r="G39" s="1" t="s">
        <v>184</v>
      </c>
      <c r="H39" s="1" t="s">
        <v>147</v>
      </c>
      <c r="I39" s="1">
        <v>30.5</v>
      </c>
      <c r="J39" s="1">
        <v>-119.5</v>
      </c>
      <c r="K39" s="1">
        <v>1951</v>
      </c>
      <c r="L39" s="1">
        <v>2022</v>
      </c>
      <c r="M39" s="1">
        <f t="shared" si="0"/>
        <v>72</v>
      </c>
      <c r="N39" s="1" t="s">
        <v>30</v>
      </c>
      <c r="O39" s="1" t="s">
        <v>205</v>
      </c>
      <c r="P39" s="1" t="s">
        <v>788</v>
      </c>
      <c r="Q39" s="1" t="s">
        <v>997</v>
      </c>
      <c r="R39" s="1" t="s">
        <v>1328</v>
      </c>
      <c r="V39" s="1">
        <v>-8.3000000000000007</v>
      </c>
      <c r="Y39" s="1" t="s">
        <v>694</v>
      </c>
      <c r="Z39" s="1" t="s">
        <v>40</v>
      </c>
      <c r="AA39" s="1" t="s">
        <v>188</v>
      </c>
      <c r="AB39" s="1" t="s">
        <v>986</v>
      </c>
      <c r="AE39" s="1" t="s">
        <v>996</v>
      </c>
    </row>
    <row r="40" spans="1:31">
      <c r="A40" s="1" t="s">
        <v>182</v>
      </c>
      <c r="B40" s="1" t="s">
        <v>183</v>
      </c>
      <c r="C40" s="60">
        <v>45877</v>
      </c>
      <c r="D40" s="1" t="s">
        <v>130</v>
      </c>
      <c r="E40" s="1" t="s">
        <v>74</v>
      </c>
      <c r="F40" s="1">
        <v>2025</v>
      </c>
      <c r="G40" s="1" t="s">
        <v>184</v>
      </c>
      <c r="H40" s="1" t="s">
        <v>147</v>
      </c>
      <c r="I40" s="1">
        <v>30.5</v>
      </c>
      <c r="J40" s="1">
        <v>-119.5</v>
      </c>
      <c r="K40" s="1">
        <v>1951</v>
      </c>
      <c r="L40" s="1">
        <v>2022</v>
      </c>
      <c r="M40" s="1">
        <f t="shared" si="0"/>
        <v>72</v>
      </c>
      <c r="N40" s="1" t="s">
        <v>30</v>
      </c>
      <c r="O40" s="1" t="s">
        <v>205</v>
      </c>
      <c r="P40" s="1" t="s">
        <v>788</v>
      </c>
      <c r="Q40" s="1" t="s">
        <v>326</v>
      </c>
      <c r="R40" s="1" t="s">
        <v>1328</v>
      </c>
      <c r="V40" s="1">
        <v>5.8</v>
      </c>
      <c r="Y40" s="1" t="s">
        <v>41</v>
      </c>
      <c r="Z40" s="1" t="s">
        <v>40</v>
      </c>
      <c r="AA40" s="1" t="s">
        <v>188</v>
      </c>
      <c r="AB40" s="1" t="s">
        <v>986</v>
      </c>
      <c r="AE40" s="1" t="s">
        <v>996</v>
      </c>
    </row>
    <row r="41" spans="1:31">
      <c r="A41" s="1" t="s">
        <v>182</v>
      </c>
      <c r="B41" s="1" t="s">
        <v>183</v>
      </c>
      <c r="C41" s="60">
        <v>45877</v>
      </c>
      <c r="D41" s="1" t="s">
        <v>130</v>
      </c>
      <c r="E41" s="1" t="s">
        <v>74</v>
      </c>
      <c r="F41" s="1">
        <v>2025</v>
      </c>
      <c r="G41" s="1" t="s">
        <v>184</v>
      </c>
      <c r="H41" s="1" t="s">
        <v>147</v>
      </c>
      <c r="I41" s="1">
        <v>30.5</v>
      </c>
      <c r="J41" s="1">
        <v>-119.5</v>
      </c>
      <c r="K41" s="1">
        <v>1951</v>
      </c>
      <c r="L41" s="1">
        <v>2022</v>
      </c>
      <c r="M41" s="1">
        <f t="shared" si="0"/>
        <v>72</v>
      </c>
      <c r="N41" s="1" t="s">
        <v>30</v>
      </c>
      <c r="O41" s="1" t="s">
        <v>205</v>
      </c>
      <c r="P41" s="1" t="s">
        <v>788</v>
      </c>
      <c r="Q41" s="1" t="s">
        <v>303</v>
      </c>
      <c r="R41" s="1" t="s">
        <v>1328</v>
      </c>
      <c r="V41" s="1">
        <v>-1.2</v>
      </c>
      <c r="Y41" s="1" t="s">
        <v>694</v>
      </c>
      <c r="Z41" s="1" t="s">
        <v>40</v>
      </c>
      <c r="AA41" s="1" t="s">
        <v>188</v>
      </c>
      <c r="AB41" s="1" t="s">
        <v>986</v>
      </c>
      <c r="AE41" s="1" t="s">
        <v>996</v>
      </c>
    </row>
    <row r="42" spans="1:31">
      <c r="A42" s="1" t="s">
        <v>182</v>
      </c>
      <c r="B42" s="1" t="s">
        <v>183</v>
      </c>
      <c r="C42" s="60">
        <v>45877</v>
      </c>
      <c r="D42" s="1" t="s">
        <v>130</v>
      </c>
      <c r="E42" s="1" t="s">
        <v>74</v>
      </c>
      <c r="F42" s="1">
        <v>2025</v>
      </c>
      <c r="G42" s="1" t="s">
        <v>184</v>
      </c>
      <c r="H42" s="1" t="s">
        <v>147</v>
      </c>
      <c r="I42" s="1">
        <v>30.5</v>
      </c>
      <c r="J42" s="1">
        <v>-119.5</v>
      </c>
      <c r="K42" s="1">
        <v>1951</v>
      </c>
      <c r="L42" s="1">
        <v>2022</v>
      </c>
      <c r="M42" s="1">
        <f t="shared" si="0"/>
        <v>72</v>
      </c>
      <c r="N42" s="1" t="s">
        <v>30</v>
      </c>
      <c r="O42" s="1" t="s">
        <v>205</v>
      </c>
      <c r="P42" s="1" t="s">
        <v>788</v>
      </c>
      <c r="Q42" s="1" t="s">
        <v>999</v>
      </c>
      <c r="R42" s="1" t="s">
        <v>1328</v>
      </c>
      <c r="V42" s="1">
        <v>6.8</v>
      </c>
      <c r="Y42" s="1" t="s">
        <v>41</v>
      </c>
      <c r="Z42" s="1" t="s">
        <v>40</v>
      </c>
      <c r="AA42" s="1" t="s">
        <v>188</v>
      </c>
      <c r="AB42" s="1" t="s">
        <v>986</v>
      </c>
      <c r="AE42" s="1" t="s">
        <v>996</v>
      </c>
    </row>
    <row r="43" spans="1:31">
      <c r="A43" s="1" t="s">
        <v>182</v>
      </c>
      <c r="B43" s="1" t="s">
        <v>183</v>
      </c>
      <c r="C43" s="60">
        <v>45877</v>
      </c>
      <c r="D43" s="1" t="s">
        <v>130</v>
      </c>
      <c r="E43" s="1" t="s">
        <v>74</v>
      </c>
      <c r="F43" s="1">
        <v>2025</v>
      </c>
      <c r="G43" s="1" t="s">
        <v>184</v>
      </c>
      <c r="H43" s="1" t="s">
        <v>147</v>
      </c>
      <c r="I43" s="1">
        <v>30.5</v>
      </c>
      <c r="J43" s="1">
        <v>-119.5</v>
      </c>
      <c r="K43" s="1">
        <v>1951</v>
      </c>
      <c r="L43" s="1">
        <v>2022</v>
      </c>
      <c r="M43" s="1">
        <f t="shared" si="0"/>
        <v>72</v>
      </c>
      <c r="N43" s="1" t="s">
        <v>30</v>
      </c>
      <c r="O43" s="1" t="s">
        <v>205</v>
      </c>
      <c r="P43" s="1" t="s">
        <v>788</v>
      </c>
      <c r="Q43" s="1" t="s">
        <v>286</v>
      </c>
      <c r="R43" s="1" t="s">
        <v>1328</v>
      </c>
      <c r="V43" s="1">
        <v>-2.4</v>
      </c>
      <c r="Y43" s="1" t="s">
        <v>694</v>
      </c>
      <c r="Z43" s="1" t="s">
        <v>40</v>
      </c>
      <c r="AA43" s="1" t="s">
        <v>188</v>
      </c>
      <c r="AB43" s="1" t="s">
        <v>986</v>
      </c>
      <c r="AE43" s="1" t="s">
        <v>996</v>
      </c>
    </row>
    <row r="44" spans="1:31">
      <c r="A44" s="1" t="s">
        <v>182</v>
      </c>
      <c r="B44" s="26" t="s">
        <v>183</v>
      </c>
      <c r="C44" s="60">
        <v>45877</v>
      </c>
      <c r="D44" s="1" t="s">
        <v>44</v>
      </c>
      <c r="E44" s="1" t="s">
        <v>74</v>
      </c>
      <c r="F44" s="1">
        <v>2025</v>
      </c>
      <c r="G44" s="1" t="s">
        <v>184</v>
      </c>
      <c r="H44" s="1" t="s">
        <v>147</v>
      </c>
      <c r="I44" s="1">
        <v>30.5</v>
      </c>
      <c r="J44" s="1">
        <v>-119.5</v>
      </c>
      <c r="K44" s="1">
        <v>1951</v>
      </c>
      <c r="L44" s="1">
        <v>2022</v>
      </c>
      <c r="M44" s="1">
        <f t="shared" si="0"/>
        <v>72</v>
      </c>
      <c r="N44" s="1" t="s">
        <v>30</v>
      </c>
      <c r="O44" s="1" t="s">
        <v>205</v>
      </c>
      <c r="P44" s="1" t="s">
        <v>788</v>
      </c>
      <c r="Q44" s="1" t="s">
        <v>966</v>
      </c>
      <c r="R44" s="1" t="s">
        <v>1328</v>
      </c>
      <c r="V44" s="1" t="s">
        <v>975</v>
      </c>
      <c r="W44"/>
      <c r="Y44" s="1" t="s">
        <v>40</v>
      </c>
      <c r="Z44" s="1" t="s">
        <v>40</v>
      </c>
      <c r="AA44" s="1" t="s">
        <v>188</v>
      </c>
      <c r="AB44" s="1" t="s">
        <v>986</v>
      </c>
      <c r="AE44" s="1" t="s">
        <v>996</v>
      </c>
    </row>
    <row r="45" spans="1:31">
      <c r="A45" s="1" t="s">
        <v>182</v>
      </c>
      <c r="B45" s="1" t="s">
        <v>183</v>
      </c>
      <c r="C45" s="60">
        <v>45877</v>
      </c>
      <c r="D45" s="1" t="s">
        <v>130</v>
      </c>
      <c r="E45" s="1" t="s">
        <v>74</v>
      </c>
      <c r="F45" s="1">
        <v>2025</v>
      </c>
      <c r="G45" s="1" t="s">
        <v>184</v>
      </c>
      <c r="H45" s="1" t="s">
        <v>147</v>
      </c>
      <c r="I45" s="1">
        <v>30.5</v>
      </c>
      <c r="J45" s="1">
        <v>-119.5</v>
      </c>
      <c r="K45" s="1">
        <v>1951</v>
      </c>
      <c r="L45" s="1">
        <v>2022</v>
      </c>
      <c r="M45" s="1">
        <f t="shared" si="0"/>
        <v>72</v>
      </c>
      <c r="N45" s="1" t="s">
        <v>30</v>
      </c>
      <c r="O45" s="1" t="s">
        <v>205</v>
      </c>
      <c r="P45" s="1" t="s">
        <v>788</v>
      </c>
      <c r="Q45" s="1" t="s">
        <v>318</v>
      </c>
      <c r="R45" s="1" t="s">
        <v>1328</v>
      </c>
      <c r="V45" s="1">
        <v>-6</v>
      </c>
      <c r="Y45" s="1" t="s">
        <v>694</v>
      </c>
      <c r="Z45" s="1" t="s">
        <v>40</v>
      </c>
      <c r="AA45" s="1" t="s">
        <v>188</v>
      </c>
      <c r="AB45" s="1" t="s">
        <v>986</v>
      </c>
      <c r="AE45" s="1" t="s">
        <v>996</v>
      </c>
    </row>
    <row r="46" spans="1:31">
      <c r="A46" s="1" t="s">
        <v>182</v>
      </c>
      <c r="B46" s="1" t="s">
        <v>183</v>
      </c>
      <c r="C46" s="60">
        <v>45877</v>
      </c>
      <c r="D46" s="1" t="s">
        <v>130</v>
      </c>
      <c r="E46" s="1" t="s">
        <v>74</v>
      </c>
      <c r="F46" s="1">
        <v>2025</v>
      </c>
      <c r="G46" s="1" t="s">
        <v>184</v>
      </c>
      <c r="H46" s="1" t="s">
        <v>147</v>
      </c>
      <c r="I46" s="1">
        <v>30.5</v>
      </c>
      <c r="J46" s="1">
        <v>-119.5</v>
      </c>
      <c r="K46" s="1">
        <v>1951</v>
      </c>
      <c r="L46" s="1">
        <v>2022</v>
      </c>
      <c r="M46" s="1">
        <f t="shared" si="0"/>
        <v>72</v>
      </c>
      <c r="N46" s="1" t="s">
        <v>30</v>
      </c>
      <c r="O46" s="1" t="s">
        <v>205</v>
      </c>
      <c r="P46" s="1" t="s">
        <v>788</v>
      </c>
      <c r="Q46" s="1" t="s">
        <v>367</v>
      </c>
      <c r="R46" s="1" t="s">
        <v>1328</v>
      </c>
      <c r="V46" s="1">
        <v>-6.2</v>
      </c>
      <c r="Y46" s="1" t="s">
        <v>694</v>
      </c>
      <c r="Z46" s="1" t="s">
        <v>40</v>
      </c>
      <c r="AA46" s="1" t="s">
        <v>188</v>
      </c>
      <c r="AB46" s="1" t="s">
        <v>986</v>
      </c>
      <c r="AE46" s="1" t="s">
        <v>996</v>
      </c>
    </row>
    <row r="47" spans="1:31">
      <c r="A47" s="1" t="s">
        <v>182</v>
      </c>
      <c r="B47" s="1" t="s">
        <v>183</v>
      </c>
      <c r="C47" s="60">
        <v>45877</v>
      </c>
      <c r="D47" s="1" t="s">
        <v>130</v>
      </c>
      <c r="E47" s="1" t="s">
        <v>74</v>
      </c>
      <c r="F47" s="1">
        <v>2025</v>
      </c>
      <c r="G47" s="1" t="s">
        <v>184</v>
      </c>
      <c r="H47" s="1" t="s">
        <v>147</v>
      </c>
      <c r="I47" s="1">
        <v>30.5</v>
      </c>
      <c r="J47" s="1">
        <v>-119.5</v>
      </c>
      <c r="K47" s="1">
        <v>1951</v>
      </c>
      <c r="L47" s="1">
        <v>2022</v>
      </c>
      <c r="M47" s="1">
        <f t="shared" si="0"/>
        <v>72</v>
      </c>
      <c r="N47" s="1" t="s">
        <v>30</v>
      </c>
      <c r="O47" s="1" t="s">
        <v>205</v>
      </c>
      <c r="P47" s="1" t="s">
        <v>788</v>
      </c>
      <c r="Q47" s="1" t="s">
        <v>310</v>
      </c>
      <c r="R47" s="1" t="s">
        <v>1328</v>
      </c>
      <c r="V47" s="1">
        <v>-6.6</v>
      </c>
      <c r="Y47" s="1" t="s">
        <v>694</v>
      </c>
      <c r="Z47" s="1" t="s">
        <v>40</v>
      </c>
      <c r="AA47" s="1" t="s">
        <v>188</v>
      </c>
      <c r="AB47" s="1" t="s">
        <v>986</v>
      </c>
      <c r="AE47" s="1" t="s">
        <v>996</v>
      </c>
    </row>
    <row r="48" spans="1:31">
      <c r="A48" s="1" t="s">
        <v>182</v>
      </c>
      <c r="B48" s="1" t="s">
        <v>183</v>
      </c>
      <c r="C48" s="60">
        <v>45877</v>
      </c>
      <c r="D48" s="1" t="s">
        <v>130</v>
      </c>
      <c r="E48" s="1" t="s">
        <v>74</v>
      </c>
      <c r="F48" s="1">
        <v>2025</v>
      </c>
      <c r="G48" s="1" t="s">
        <v>184</v>
      </c>
      <c r="H48" s="1" t="s">
        <v>147</v>
      </c>
      <c r="I48" s="1">
        <v>30.5</v>
      </c>
      <c r="J48" s="1">
        <v>-119.5</v>
      </c>
      <c r="K48" s="1">
        <v>1951</v>
      </c>
      <c r="L48" s="1">
        <v>2022</v>
      </c>
      <c r="M48" s="1">
        <f t="shared" si="0"/>
        <v>72</v>
      </c>
      <c r="N48" s="1" t="s">
        <v>30</v>
      </c>
      <c r="O48" s="1" t="s">
        <v>205</v>
      </c>
      <c r="P48" s="1" t="s">
        <v>788</v>
      </c>
      <c r="Q48" s="1" t="s">
        <v>311</v>
      </c>
      <c r="R48" s="1" t="s">
        <v>1328</v>
      </c>
      <c r="V48" s="1">
        <v>1.1000000000000001</v>
      </c>
      <c r="Y48" s="1" t="s">
        <v>41</v>
      </c>
      <c r="Z48" s="1" t="s">
        <v>40</v>
      </c>
      <c r="AA48" s="1" t="s">
        <v>188</v>
      </c>
      <c r="AB48" s="1" t="s">
        <v>986</v>
      </c>
      <c r="AE48" s="1" t="s">
        <v>996</v>
      </c>
    </row>
    <row r="49" spans="1:31">
      <c r="A49" s="1" t="s">
        <v>182</v>
      </c>
      <c r="B49" s="1" t="s">
        <v>183</v>
      </c>
      <c r="C49" s="60">
        <v>45877</v>
      </c>
      <c r="D49" s="1" t="s">
        <v>130</v>
      </c>
      <c r="E49" s="1" t="s">
        <v>74</v>
      </c>
      <c r="F49" s="1">
        <v>2025</v>
      </c>
      <c r="G49" s="1" t="s">
        <v>184</v>
      </c>
      <c r="H49" s="1" t="s">
        <v>147</v>
      </c>
      <c r="I49" s="1">
        <v>30.5</v>
      </c>
      <c r="J49" s="1">
        <v>-119.5</v>
      </c>
      <c r="K49" s="1">
        <v>1951</v>
      </c>
      <c r="L49" s="1">
        <v>2022</v>
      </c>
      <c r="M49" s="1">
        <f t="shared" si="0"/>
        <v>72</v>
      </c>
      <c r="N49" s="1" t="s">
        <v>30</v>
      </c>
      <c r="O49" s="1" t="s">
        <v>205</v>
      </c>
      <c r="P49" s="1" t="s">
        <v>788</v>
      </c>
      <c r="Q49" s="1" t="s">
        <v>312</v>
      </c>
      <c r="R49" s="1" t="s">
        <v>1328</v>
      </c>
      <c r="V49" s="1">
        <v>-2.7</v>
      </c>
      <c r="Y49" s="1" t="s">
        <v>694</v>
      </c>
      <c r="Z49" s="1" t="s">
        <v>40</v>
      </c>
      <c r="AA49" s="1" t="s">
        <v>188</v>
      </c>
      <c r="AB49" s="1" t="s">
        <v>986</v>
      </c>
      <c r="AE49" s="1" t="s">
        <v>996</v>
      </c>
    </row>
    <row r="50" spans="1:31">
      <c r="A50" s="1" t="s">
        <v>182</v>
      </c>
      <c r="B50" s="1" t="s">
        <v>183</v>
      </c>
      <c r="C50" s="60">
        <v>45877</v>
      </c>
      <c r="D50" s="1" t="s">
        <v>130</v>
      </c>
      <c r="E50" s="1" t="s">
        <v>74</v>
      </c>
      <c r="F50" s="1">
        <v>2025</v>
      </c>
      <c r="G50" s="1" t="s">
        <v>184</v>
      </c>
      <c r="H50" s="1" t="s">
        <v>147</v>
      </c>
      <c r="I50" s="1">
        <v>30.5</v>
      </c>
      <c r="J50" s="1">
        <v>-119.5</v>
      </c>
      <c r="K50" s="1">
        <v>1951</v>
      </c>
      <c r="L50" s="1">
        <v>2022</v>
      </c>
      <c r="M50" s="1">
        <f t="shared" si="0"/>
        <v>72</v>
      </c>
      <c r="N50" s="1" t="s">
        <v>30</v>
      </c>
      <c r="O50" s="1" t="s">
        <v>205</v>
      </c>
      <c r="P50" s="1" t="s">
        <v>788</v>
      </c>
      <c r="Q50" s="1" t="s">
        <v>313</v>
      </c>
      <c r="R50" s="1" t="s">
        <v>1328</v>
      </c>
      <c r="V50" s="1">
        <v>-6.1</v>
      </c>
      <c r="Y50" s="1" t="s">
        <v>694</v>
      </c>
      <c r="Z50" s="1" t="s">
        <v>40</v>
      </c>
      <c r="AA50" s="1" t="s">
        <v>188</v>
      </c>
      <c r="AB50" s="1" t="s">
        <v>986</v>
      </c>
      <c r="AE50" s="1" t="s">
        <v>996</v>
      </c>
    </row>
    <row r="51" spans="1:31">
      <c r="A51" s="1" t="s">
        <v>182</v>
      </c>
      <c r="B51" s="1" t="s">
        <v>183</v>
      </c>
      <c r="C51" s="60">
        <v>45877</v>
      </c>
      <c r="D51" s="1" t="s">
        <v>130</v>
      </c>
      <c r="E51" s="1" t="s">
        <v>74</v>
      </c>
      <c r="F51" s="1">
        <v>2025</v>
      </c>
      <c r="G51" s="1" t="s">
        <v>184</v>
      </c>
      <c r="H51" s="1" t="s">
        <v>147</v>
      </c>
      <c r="I51" s="1">
        <v>30.5</v>
      </c>
      <c r="J51" s="1">
        <v>-119.5</v>
      </c>
      <c r="K51" s="1">
        <v>1951</v>
      </c>
      <c r="L51" s="1">
        <v>2022</v>
      </c>
      <c r="M51" s="1">
        <f t="shared" si="0"/>
        <v>72</v>
      </c>
      <c r="N51" s="1" t="s">
        <v>30</v>
      </c>
      <c r="O51" s="1" t="s">
        <v>205</v>
      </c>
      <c r="P51" s="1" t="s">
        <v>788</v>
      </c>
      <c r="Q51" s="1" t="s">
        <v>1002</v>
      </c>
      <c r="R51" s="1" t="s">
        <v>1328</v>
      </c>
      <c r="V51" s="1">
        <v>-4.5</v>
      </c>
      <c r="Y51" s="1" t="s">
        <v>694</v>
      </c>
      <c r="Z51" s="1" t="s">
        <v>40</v>
      </c>
      <c r="AA51" s="1" t="s">
        <v>188</v>
      </c>
      <c r="AB51" s="1" t="s">
        <v>986</v>
      </c>
      <c r="AE51" s="1" t="s">
        <v>996</v>
      </c>
    </row>
    <row r="52" spans="1:31">
      <c r="A52" s="1" t="s">
        <v>182</v>
      </c>
      <c r="B52" s="1" t="s">
        <v>183</v>
      </c>
      <c r="C52" s="60">
        <v>45877</v>
      </c>
      <c r="D52" s="1" t="s">
        <v>130</v>
      </c>
      <c r="E52" s="1" t="s">
        <v>74</v>
      </c>
      <c r="F52" s="1">
        <v>2025</v>
      </c>
      <c r="G52" s="1" t="s">
        <v>184</v>
      </c>
      <c r="H52" s="1" t="s">
        <v>147</v>
      </c>
      <c r="I52" s="1">
        <v>30.5</v>
      </c>
      <c r="J52" s="1">
        <v>-119.5</v>
      </c>
      <c r="K52" s="1">
        <v>1951</v>
      </c>
      <c r="L52" s="1">
        <v>2022</v>
      </c>
      <c r="M52" s="1">
        <f t="shared" si="0"/>
        <v>72</v>
      </c>
      <c r="N52" s="1" t="s">
        <v>30</v>
      </c>
      <c r="O52" s="1" t="s">
        <v>205</v>
      </c>
      <c r="P52" s="1" t="s">
        <v>788</v>
      </c>
      <c r="Q52" s="1" t="s">
        <v>314</v>
      </c>
      <c r="R52" s="1" t="s">
        <v>1328</v>
      </c>
      <c r="V52" s="1">
        <v>-3.2</v>
      </c>
      <c r="Y52" s="1" t="s">
        <v>694</v>
      </c>
      <c r="Z52" s="1" t="s">
        <v>40</v>
      </c>
      <c r="AA52" s="1" t="s">
        <v>188</v>
      </c>
      <c r="AB52" s="1" t="s">
        <v>986</v>
      </c>
      <c r="AE52" s="1" t="s">
        <v>996</v>
      </c>
    </row>
    <row r="53" spans="1:31">
      <c r="A53" s="1" t="s">
        <v>182</v>
      </c>
      <c r="B53" s="1" t="s">
        <v>183</v>
      </c>
      <c r="C53" s="60">
        <v>45877</v>
      </c>
      <c r="D53" s="1" t="s">
        <v>130</v>
      </c>
      <c r="E53" s="1" t="s">
        <v>74</v>
      </c>
      <c r="F53" s="1">
        <v>2025</v>
      </c>
      <c r="G53" s="1" t="s">
        <v>184</v>
      </c>
      <c r="H53" s="1" t="s">
        <v>147</v>
      </c>
      <c r="I53" s="1">
        <v>30.5</v>
      </c>
      <c r="J53" s="1">
        <v>-119.5</v>
      </c>
      <c r="K53" s="1">
        <v>1951</v>
      </c>
      <c r="L53" s="1">
        <v>2022</v>
      </c>
      <c r="M53" s="1">
        <f t="shared" si="0"/>
        <v>72</v>
      </c>
      <c r="N53" s="1" t="s">
        <v>30</v>
      </c>
      <c r="O53" s="1" t="s">
        <v>205</v>
      </c>
      <c r="P53" s="1" t="s">
        <v>788</v>
      </c>
      <c r="Q53" s="1" t="s">
        <v>1003</v>
      </c>
      <c r="R53" s="1" t="s">
        <v>1328</v>
      </c>
      <c r="V53" s="1">
        <v>4.4000000000000004</v>
      </c>
      <c r="Y53" s="1" t="s">
        <v>41</v>
      </c>
      <c r="Z53" s="1" t="s">
        <v>40</v>
      </c>
      <c r="AA53" s="1" t="s">
        <v>188</v>
      </c>
      <c r="AB53" s="1" t="s">
        <v>986</v>
      </c>
      <c r="AE53" s="1" t="s">
        <v>996</v>
      </c>
    </row>
    <row r="54" spans="1:31">
      <c r="A54" s="1" t="s">
        <v>182</v>
      </c>
      <c r="B54" s="1" t="s">
        <v>183</v>
      </c>
      <c r="C54" s="60">
        <v>45877</v>
      </c>
      <c r="D54" s="1" t="s">
        <v>130</v>
      </c>
      <c r="E54" s="1" t="s">
        <v>74</v>
      </c>
      <c r="F54" s="1">
        <v>2025</v>
      </c>
      <c r="G54" s="1" t="s">
        <v>184</v>
      </c>
      <c r="H54" s="1" t="s">
        <v>147</v>
      </c>
      <c r="I54" s="1">
        <v>30.5</v>
      </c>
      <c r="J54" s="1">
        <v>-119.5</v>
      </c>
      <c r="K54" s="1">
        <v>1951</v>
      </c>
      <c r="L54" s="1">
        <v>2022</v>
      </c>
      <c r="M54" s="1">
        <f t="shared" si="0"/>
        <v>72</v>
      </c>
      <c r="N54" s="1" t="s">
        <v>30</v>
      </c>
      <c r="O54" s="1" t="s">
        <v>205</v>
      </c>
      <c r="P54" s="1" t="s">
        <v>788</v>
      </c>
      <c r="Q54" s="1" t="s">
        <v>1004</v>
      </c>
      <c r="R54" s="1" t="s">
        <v>1328</v>
      </c>
      <c r="V54" s="1">
        <v>-2.6</v>
      </c>
      <c r="Y54" s="1" t="s">
        <v>694</v>
      </c>
      <c r="Z54" s="1" t="s">
        <v>40</v>
      </c>
      <c r="AA54" s="1" t="s">
        <v>188</v>
      </c>
      <c r="AB54" s="1" t="s">
        <v>986</v>
      </c>
      <c r="AE54" s="1" t="s">
        <v>996</v>
      </c>
    </row>
    <row r="55" spans="1:31">
      <c r="A55" s="1" t="s">
        <v>182</v>
      </c>
      <c r="B55" s="1" t="s">
        <v>183</v>
      </c>
      <c r="C55" s="60">
        <v>45877</v>
      </c>
      <c r="D55" s="1" t="s">
        <v>130</v>
      </c>
      <c r="E55" s="1" t="s">
        <v>74</v>
      </c>
      <c r="F55" s="1">
        <v>2025</v>
      </c>
      <c r="G55" s="1" t="s">
        <v>184</v>
      </c>
      <c r="H55" s="1" t="s">
        <v>147</v>
      </c>
      <c r="I55" s="1">
        <v>30.5</v>
      </c>
      <c r="J55" s="1">
        <v>-119.5</v>
      </c>
      <c r="K55" s="1">
        <v>1951</v>
      </c>
      <c r="L55" s="1">
        <v>2022</v>
      </c>
      <c r="M55" s="1">
        <f t="shared" si="0"/>
        <v>72</v>
      </c>
      <c r="N55" s="1" t="s">
        <v>30</v>
      </c>
      <c r="O55" s="1" t="s">
        <v>205</v>
      </c>
      <c r="P55" s="1" t="s">
        <v>788</v>
      </c>
      <c r="Q55" s="1" t="s">
        <v>1005</v>
      </c>
      <c r="R55" s="1" t="s">
        <v>1328</v>
      </c>
      <c r="V55" s="1">
        <v>-4.9000000000000004</v>
      </c>
      <c r="Y55" s="1" t="s">
        <v>694</v>
      </c>
      <c r="Z55" s="1" t="s">
        <v>40</v>
      </c>
      <c r="AA55" s="1" t="s">
        <v>188</v>
      </c>
      <c r="AB55" s="1" t="s">
        <v>986</v>
      </c>
      <c r="AE55" s="1" t="s">
        <v>996</v>
      </c>
    </row>
    <row r="56" spans="1:31">
      <c r="A56" s="1" t="s">
        <v>182</v>
      </c>
      <c r="B56" s="1" t="s">
        <v>183</v>
      </c>
      <c r="C56" s="60">
        <v>45877</v>
      </c>
      <c r="D56" s="1" t="s">
        <v>130</v>
      </c>
      <c r="E56" s="1" t="s">
        <v>74</v>
      </c>
      <c r="F56" s="1">
        <v>2025</v>
      </c>
      <c r="G56" s="1" t="s">
        <v>184</v>
      </c>
      <c r="H56" s="1" t="s">
        <v>147</v>
      </c>
      <c r="I56" s="1">
        <v>30.5</v>
      </c>
      <c r="J56" s="1">
        <v>-119.5</v>
      </c>
      <c r="K56" s="1">
        <v>1951</v>
      </c>
      <c r="L56" s="1">
        <v>2022</v>
      </c>
      <c r="M56" s="1">
        <f t="shared" si="0"/>
        <v>72</v>
      </c>
      <c r="N56" s="1" t="s">
        <v>30</v>
      </c>
      <c r="O56" s="1" t="s">
        <v>205</v>
      </c>
      <c r="P56" s="1" t="s">
        <v>788</v>
      </c>
      <c r="Q56" s="1" t="s">
        <v>1006</v>
      </c>
      <c r="R56" s="1" t="s">
        <v>1328</v>
      </c>
      <c r="V56" s="1">
        <v>-2.4</v>
      </c>
      <c r="Y56" s="1" t="s">
        <v>694</v>
      </c>
      <c r="Z56" s="1" t="s">
        <v>40</v>
      </c>
      <c r="AA56" s="1" t="s">
        <v>188</v>
      </c>
      <c r="AB56" s="1" t="s">
        <v>986</v>
      </c>
      <c r="AE56" s="1" t="s">
        <v>996</v>
      </c>
    </row>
    <row r="57" spans="1:31">
      <c r="A57" s="1" t="s">
        <v>182</v>
      </c>
      <c r="B57" s="1" t="s">
        <v>183</v>
      </c>
      <c r="C57" s="60">
        <v>45877</v>
      </c>
      <c r="D57" s="1" t="s">
        <v>130</v>
      </c>
      <c r="E57" s="1" t="s">
        <v>74</v>
      </c>
      <c r="F57" s="1">
        <v>2025</v>
      </c>
      <c r="G57" s="1" t="s">
        <v>184</v>
      </c>
      <c r="H57" s="1" t="s">
        <v>147</v>
      </c>
      <c r="I57" s="1">
        <v>30.5</v>
      </c>
      <c r="J57" s="1">
        <v>-119.5</v>
      </c>
      <c r="K57" s="1">
        <v>1951</v>
      </c>
      <c r="L57" s="1">
        <v>2022</v>
      </c>
      <c r="M57" s="1">
        <f t="shared" si="0"/>
        <v>72</v>
      </c>
      <c r="N57" s="1" t="s">
        <v>30</v>
      </c>
      <c r="O57" s="1" t="s">
        <v>205</v>
      </c>
      <c r="P57" s="1" t="s">
        <v>788</v>
      </c>
      <c r="Q57" s="1" t="s">
        <v>1007</v>
      </c>
      <c r="R57" s="1" t="s">
        <v>1328</v>
      </c>
      <c r="V57" s="1">
        <v>-4.5</v>
      </c>
      <c r="Y57" s="1" t="s">
        <v>694</v>
      </c>
      <c r="Z57" s="1" t="s">
        <v>40</v>
      </c>
      <c r="AA57" s="1" t="s">
        <v>188</v>
      </c>
      <c r="AB57" s="1" t="s">
        <v>986</v>
      </c>
      <c r="AE57" s="1" t="s">
        <v>996</v>
      </c>
    </row>
    <row r="58" spans="1:31">
      <c r="A58" s="1" t="s">
        <v>182</v>
      </c>
      <c r="B58" s="1" t="s">
        <v>183</v>
      </c>
      <c r="C58" s="60">
        <v>45877</v>
      </c>
      <c r="D58" s="1" t="s">
        <v>130</v>
      </c>
      <c r="E58" s="1" t="s">
        <v>74</v>
      </c>
      <c r="F58" s="1">
        <v>2025</v>
      </c>
      <c r="G58" s="1" t="s">
        <v>184</v>
      </c>
      <c r="H58" s="1" t="s">
        <v>147</v>
      </c>
      <c r="I58" s="1">
        <v>30.5</v>
      </c>
      <c r="J58" s="1">
        <v>-119.5</v>
      </c>
      <c r="K58" s="1">
        <v>1951</v>
      </c>
      <c r="L58" s="1">
        <v>2022</v>
      </c>
      <c r="M58" s="1">
        <f t="shared" si="0"/>
        <v>72</v>
      </c>
      <c r="N58" s="1" t="s">
        <v>30</v>
      </c>
      <c r="O58" s="1" t="s">
        <v>205</v>
      </c>
      <c r="P58" s="1" t="s">
        <v>788</v>
      </c>
      <c r="Q58" s="1" t="s">
        <v>1008</v>
      </c>
      <c r="R58" s="1" t="s">
        <v>1328</v>
      </c>
      <c r="V58" s="1">
        <v>-6.5</v>
      </c>
      <c r="Y58" s="1" t="s">
        <v>694</v>
      </c>
      <c r="Z58" s="1" t="s">
        <v>40</v>
      </c>
      <c r="AA58" s="1" t="s">
        <v>188</v>
      </c>
      <c r="AB58" s="1" t="s">
        <v>986</v>
      </c>
      <c r="AE58" s="1" t="s">
        <v>996</v>
      </c>
    </row>
    <row r="59" spans="1:31">
      <c r="A59" s="1" t="s">
        <v>182</v>
      </c>
      <c r="B59" s="1" t="s">
        <v>183</v>
      </c>
      <c r="C59" s="60">
        <v>45877</v>
      </c>
      <c r="D59" s="1" t="s">
        <v>130</v>
      </c>
      <c r="E59" s="1" t="s">
        <v>74</v>
      </c>
      <c r="F59" s="1">
        <v>2025</v>
      </c>
      <c r="G59" s="1" t="s">
        <v>184</v>
      </c>
      <c r="H59" s="1" t="s">
        <v>147</v>
      </c>
      <c r="I59" s="1">
        <v>30.5</v>
      </c>
      <c r="J59" s="1">
        <v>-119.5</v>
      </c>
      <c r="K59" s="1">
        <v>1951</v>
      </c>
      <c r="L59" s="1">
        <v>2022</v>
      </c>
      <c r="M59" s="1">
        <f t="shared" si="0"/>
        <v>72</v>
      </c>
      <c r="N59" s="1" t="s">
        <v>30</v>
      </c>
      <c r="O59" s="1" t="s">
        <v>205</v>
      </c>
      <c r="P59" s="1" t="s">
        <v>788</v>
      </c>
      <c r="Q59" s="1" t="s">
        <v>1009</v>
      </c>
      <c r="R59" s="1" t="s">
        <v>1328</v>
      </c>
      <c r="V59" s="1">
        <v>-4</v>
      </c>
      <c r="Y59" s="1" t="s">
        <v>694</v>
      </c>
      <c r="Z59" s="1" t="s">
        <v>40</v>
      </c>
      <c r="AA59" s="1" t="s">
        <v>188</v>
      </c>
      <c r="AB59" s="1" t="s">
        <v>986</v>
      </c>
      <c r="AE59" s="1" t="s">
        <v>996</v>
      </c>
    </row>
    <row r="60" spans="1:31">
      <c r="A60" s="1" t="s">
        <v>182</v>
      </c>
      <c r="B60" s="1" t="s">
        <v>183</v>
      </c>
      <c r="C60" s="60">
        <v>45877</v>
      </c>
      <c r="D60" s="1" t="s">
        <v>130</v>
      </c>
      <c r="E60" s="1" t="s">
        <v>74</v>
      </c>
      <c r="F60" s="1">
        <v>2025</v>
      </c>
      <c r="G60" s="1" t="s">
        <v>184</v>
      </c>
      <c r="H60" s="1" t="s">
        <v>147</v>
      </c>
      <c r="I60" s="1">
        <v>30.5</v>
      </c>
      <c r="J60" s="1">
        <v>-119.5</v>
      </c>
      <c r="K60" s="1">
        <v>1951</v>
      </c>
      <c r="L60" s="1">
        <v>2022</v>
      </c>
      <c r="M60" s="1">
        <f t="shared" si="0"/>
        <v>72</v>
      </c>
      <c r="N60" s="1" t="s">
        <v>30</v>
      </c>
      <c r="O60" s="1" t="s">
        <v>205</v>
      </c>
      <c r="P60" s="1" t="s">
        <v>788</v>
      </c>
      <c r="Q60" s="1" t="s">
        <v>1010</v>
      </c>
      <c r="R60" s="1" t="s">
        <v>1328</v>
      </c>
      <c r="V60" s="1">
        <v>10.7</v>
      </c>
      <c r="Y60" s="1" t="s">
        <v>41</v>
      </c>
      <c r="Z60" s="1" t="s">
        <v>40</v>
      </c>
      <c r="AA60" s="1" t="s">
        <v>188</v>
      </c>
      <c r="AB60" s="1" t="s">
        <v>986</v>
      </c>
      <c r="AE60" s="1" t="s">
        <v>996</v>
      </c>
    </row>
    <row r="61" spans="1:31">
      <c r="A61" s="1" t="s">
        <v>182</v>
      </c>
      <c r="B61" s="1" t="s">
        <v>183</v>
      </c>
      <c r="C61" s="60">
        <v>45877</v>
      </c>
      <c r="D61" s="1" t="s">
        <v>130</v>
      </c>
      <c r="E61" s="1" t="s">
        <v>74</v>
      </c>
      <c r="F61" s="1">
        <v>2025</v>
      </c>
      <c r="G61" s="1" t="s">
        <v>184</v>
      </c>
      <c r="H61" s="1" t="s">
        <v>147</v>
      </c>
      <c r="I61" s="1">
        <v>30.5</v>
      </c>
      <c r="J61" s="1">
        <v>-119.5</v>
      </c>
      <c r="K61" s="1">
        <v>1951</v>
      </c>
      <c r="L61" s="1">
        <v>2022</v>
      </c>
      <c r="M61" s="1">
        <f t="shared" si="0"/>
        <v>72</v>
      </c>
      <c r="N61" s="1" t="s">
        <v>30</v>
      </c>
      <c r="O61" s="1" t="s">
        <v>205</v>
      </c>
      <c r="P61" s="1" t="s">
        <v>788</v>
      </c>
      <c r="Q61" s="1" t="s">
        <v>1011</v>
      </c>
      <c r="R61" s="1" t="s">
        <v>1328</v>
      </c>
      <c r="V61" s="1">
        <v>0.4</v>
      </c>
      <c r="Y61" s="1" t="s">
        <v>41</v>
      </c>
      <c r="Z61" s="1" t="s">
        <v>40</v>
      </c>
      <c r="AA61" s="1" t="s">
        <v>188</v>
      </c>
      <c r="AB61" s="1" t="s">
        <v>986</v>
      </c>
      <c r="AE61" s="1" t="s">
        <v>996</v>
      </c>
    </row>
    <row r="62" spans="1:31">
      <c r="A62" s="1" t="s">
        <v>182</v>
      </c>
      <c r="B62" s="1" t="s">
        <v>183</v>
      </c>
      <c r="C62" s="60">
        <v>45877</v>
      </c>
      <c r="D62" s="1" t="s">
        <v>130</v>
      </c>
      <c r="E62" s="1" t="s">
        <v>74</v>
      </c>
      <c r="F62" s="1">
        <v>2025</v>
      </c>
      <c r="G62" s="1" t="s">
        <v>184</v>
      </c>
      <c r="H62" s="1" t="s">
        <v>147</v>
      </c>
      <c r="I62" s="1">
        <v>30.5</v>
      </c>
      <c r="J62" s="1">
        <v>-119.5</v>
      </c>
      <c r="K62" s="1">
        <v>1951</v>
      </c>
      <c r="L62" s="1">
        <v>2022</v>
      </c>
      <c r="M62" s="1">
        <f t="shared" si="0"/>
        <v>72</v>
      </c>
      <c r="N62" s="1" t="s">
        <v>30</v>
      </c>
      <c r="O62" s="1" t="s">
        <v>205</v>
      </c>
      <c r="P62" s="1" t="s">
        <v>788</v>
      </c>
      <c r="Q62" s="1" t="s">
        <v>1012</v>
      </c>
      <c r="R62" s="1" t="s">
        <v>1328</v>
      </c>
      <c r="V62" s="1">
        <v>-2.8</v>
      </c>
      <c r="Y62" s="1" t="s">
        <v>694</v>
      </c>
      <c r="Z62" s="1" t="s">
        <v>40</v>
      </c>
      <c r="AA62" s="1" t="s">
        <v>188</v>
      </c>
      <c r="AB62" s="1" t="s">
        <v>986</v>
      </c>
      <c r="AE62" s="1" t="s">
        <v>996</v>
      </c>
    </row>
    <row r="63" spans="1:31">
      <c r="A63" s="1" t="s">
        <v>182</v>
      </c>
      <c r="B63" s="47" t="s">
        <v>183</v>
      </c>
      <c r="C63" s="60">
        <v>45877</v>
      </c>
      <c r="D63" s="1" t="s">
        <v>130</v>
      </c>
      <c r="E63" s="1" t="s">
        <v>74</v>
      </c>
      <c r="F63" s="1">
        <v>2025</v>
      </c>
      <c r="G63" s="1" t="s">
        <v>185</v>
      </c>
      <c r="H63" s="1" t="s">
        <v>147</v>
      </c>
      <c r="I63" s="1">
        <v>42.9</v>
      </c>
      <c r="J63" s="1">
        <v>-125</v>
      </c>
      <c r="K63" s="1">
        <v>1996</v>
      </c>
      <c r="L63" s="1">
        <v>2023</v>
      </c>
      <c r="M63" s="1">
        <f t="shared" si="0"/>
        <v>28</v>
      </c>
      <c r="N63" s="1" t="s">
        <v>30</v>
      </c>
      <c r="O63" s="1" t="s">
        <v>205</v>
      </c>
      <c r="P63" s="1" t="s">
        <v>788</v>
      </c>
      <c r="Q63" s="1" t="s">
        <v>966</v>
      </c>
      <c r="R63" s="1" t="s">
        <v>1328</v>
      </c>
      <c r="V63" s="1">
        <v>4.7</v>
      </c>
      <c r="Y63" s="1" t="s">
        <v>41</v>
      </c>
      <c r="Z63" s="1" t="s">
        <v>40</v>
      </c>
      <c r="AA63" s="1" t="s">
        <v>188</v>
      </c>
      <c r="AB63" s="1" t="s">
        <v>986</v>
      </c>
    </row>
    <row r="64" spans="1:31">
      <c r="A64" s="1" t="s">
        <v>182</v>
      </c>
      <c r="B64" s="1" t="s">
        <v>183</v>
      </c>
      <c r="C64" s="60">
        <v>45877</v>
      </c>
      <c r="D64" s="1" t="s">
        <v>130</v>
      </c>
      <c r="E64" s="1" t="s">
        <v>74</v>
      </c>
      <c r="F64" s="1">
        <v>2025</v>
      </c>
      <c r="G64" s="1" t="s">
        <v>185</v>
      </c>
      <c r="H64" s="1" t="s">
        <v>147</v>
      </c>
      <c r="I64" s="1">
        <v>42.9</v>
      </c>
      <c r="J64" s="1">
        <v>-125</v>
      </c>
      <c r="K64" s="1">
        <v>1996</v>
      </c>
      <c r="L64" s="1">
        <v>2023</v>
      </c>
      <c r="M64" s="1">
        <f t="shared" si="0"/>
        <v>28</v>
      </c>
      <c r="N64" s="1" t="s">
        <v>30</v>
      </c>
      <c r="O64" s="1" t="s">
        <v>205</v>
      </c>
      <c r="P64" s="1" t="s">
        <v>788</v>
      </c>
      <c r="Q64" s="1" t="s">
        <v>968</v>
      </c>
      <c r="R64" s="1" t="s">
        <v>1328</v>
      </c>
      <c r="V64" s="1">
        <v>-59.2</v>
      </c>
      <c r="Y64" s="1" t="s">
        <v>694</v>
      </c>
      <c r="Z64" s="1" t="s">
        <v>40</v>
      </c>
      <c r="AA64" s="1" t="s">
        <v>188</v>
      </c>
      <c r="AB64" s="1" t="s">
        <v>986</v>
      </c>
    </row>
    <row r="65" spans="1:28">
      <c r="A65" s="1" t="s">
        <v>182</v>
      </c>
      <c r="B65" s="1" t="s">
        <v>183</v>
      </c>
      <c r="C65" s="60">
        <v>45877</v>
      </c>
      <c r="D65" s="1" t="s">
        <v>130</v>
      </c>
      <c r="E65" s="1" t="s">
        <v>74</v>
      </c>
      <c r="F65" s="1">
        <v>2025</v>
      </c>
      <c r="G65" s="1" t="s">
        <v>185</v>
      </c>
      <c r="H65" s="1" t="s">
        <v>147</v>
      </c>
      <c r="I65" s="1">
        <v>42.9</v>
      </c>
      <c r="J65" s="1">
        <v>-125</v>
      </c>
      <c r="K65" s="1">
        <v>1996</v>
      </c>
      <c r="L65" s="1">
        <v>2023</v>
      </c>
      <c r="M65" s="1">
        <f t="shared" si="0"/>
        <v>28</v>
      </c>
      <c r="N65" s="1" t="s">
        <v>30</v>
      </c>
      <c r="O65" s="1" t="s">
        <v>205</v>
      </c>
      <c r="P65" s="1" t="s">
        <v>788</v>
      </c>
      <c r="Q65" s="1" t="s">
        <v>969</v>
      </c>
      <c r="R65" s="1" t="s">
        <v>1328</v>
      </c>
      <c r="V65" s="1">
        <v>2</v>
      </c>
      <c r="Y65" s="1" t="s">
        <v>41</v>
      </c>
      <c r="Z65" s="1" t="s">
        <v>40</v>
      </c>
      <c r="AA65" s="1" t="s">
        <v>188</v>
      </c>
      <c r="AB65" s="1" t="s">
        <v>986</v>
      </c>
    </row>
    <row r="66" spans="1:28">
      <c r="A66" s="1" t="s">
        <v>182</v>
      </c>
      <c r="B66" s="1" t="s">
        <v>183</v>
      </c>
      <c r="C66" s="60">
        <v>45877</v>
      </c>
      <c r="D66" s="1" t="s">
        <v>130</v>
      </c>
      <c r="E66" s="1" t="s">
        <v>74</v>
      </c>
      <c r="F66" s="1">
        <v>2025</v>
      </c>
      <c r="G66" s="1" t="s">
        <v>185</v>
      </c>
      <c r="H66" s="1" t="s">
        <v>147</v>
      </c>
      <c r="I66" s="1">
        <v>42.9</v>
      </c>
      <c r="J66" s="1">
        <v>-125</v>
      </c>
      <c r="K66" s="1">
        <v>1996</v>
      </c>
      <c r="L66" s="1">
        <v>2023</v>
      </c>
      <c r="M66" s="1">
        <f t="shared" ref="M66:M129" si="1">L66-K66+1</f>
        <v>28</v>
      </c>
      <c r="N66" s="1" t="s">
        <v>30</v>
      </c>
      <c r="O66" s="1" t="s">
        <v>205</v>
      </c>
      <c r="P66" s="1" t="s">
        <v>788</v>
      </c>
      <c r="Q66" s="1" t="s">
        <v>284</v>
      </c>
      <c r="R66" s="1" t="s">
        <v>1328</v>
      </c>
      <c r="V66" s="1">
        <v>2.2000000000000002</v>
      </c>
      <c r="Y66" s="1" t="s">
        <v>41</v>
      </c>
      <c r="Z66" s="1" t="s">
        <v>40</v>
      </c>
      <c r="AA66" s="1" t="s">
        <v>188</v>
      </c>
      <c r="AB66" s="1" t="s">
        <v>986</v>
      </c>
    </row>
    <row r="67" spans="1:28">
      <c r="A67" s="1" t="s">
        <v>182</v>
      </c>
      <c r="B67" s="1" t="s">
        <v>183</v>
      </c>
      <c r="C67" s="60">
        <v>45877</v>
      </c>
      <c r="D67" s="1" t="s">
        <v>130</v>
      </c>
      <c r="E67" s="1" t="s">
        <v>74</v>
      </c>
      <c r="F67" s="1">
        <v>2025</v>
      </c>
      <c r="G67" s="1" t="s">
        <v>185</v>
      </c>
      <c r="H67" s="1" t="s">
        <v>147</v>
      </c>
      <c r="I67" s="1">
        <v>42.9</v>
      </c>
      <c r="J67" s="1">
        <v>-125</v>
      </c>
      <c r="K67" s="1">
        <v>1996</v>
      </c>
      <c r="L67" s="1">
        <v>2023</v>
      </c>
      <c r="M67" s="1">
        <f t="shared" si="1"/>
        <v>28</v>
      </c>
      <c r="N67" s="1" t="s">
        <v>30</v>
      </c>
      <c r="O67" s="1" t="s">
        <v>205</v>
      </c>
      <c r="P67" s="1" t="s">
        <v>788</v>
      </c>
      <c r="Q67" s="1" t="s">
        <v>977</v>
      </c>
      <c r="R67" s="1" t="s">
        <v>1328</v>
      </c>
      <c r="V67" s="1">
        <v>0.2</v>
      </c>
      <c r="Y67" s="1" t="s">
        <v>41</v>
      </c>
      <c r="Z67" s="1" t="s">
        <v>40</v>
      </c>
      <c r="AA67" s="1" t="s">
        <v>188</v>
      </c>
      <c r="AB67" s="1" t="s">
        <v>986</v>
      </c>
    </row>
    <row r="68" spans="1:28">
      <c r="A68" s="1" t="s">
        <v>182</v>
      </c>
      <c r="B68" s="1" t="s">
        <v>183</v>
      </c>
      <c r="C68" s="60">
        <v>45877</v>
      </c>
      <c r="D68" s="1" t="s">
        <v>130</v>
      </c>
      <c r="E68" s="1" t="s">
        <v>74</v>
      </c>
      <c r="F68" s="1">
        <v>2025</v>
      </c>
      <c r="G68" s="1" t="s">
        <v>185</v>
      </c>
      <c r="H68" s="1" t="s">
        <v>147</v>
      </c>
      <c r="I68" s="1">
        <v>42.9</v>
      </c>
      <c r="J68" s="1">
        <v>-125</v>
      </c>
      <c r="K68" s="1">
        <v>1996</v>
      </c>
      <c r="L68" s="1">
        <v>2023</v>
      </c>
      <c r="M68" s="1">
        <f t="shared" si="1"/>
        <v>28</v>
      </c>
      <c r="N68" s="1" t="s">
        <v>30</v>
      </c>
      <c r="O68" s="1" t="s">
        <v>205</v>
      </c>
      <c r="P68" s="1" t="s">
        <v>788</v>
      </c>
      <c r="Q68" s="1" t="s">
        <v>978</v>
      </c>
      <c r="R68" s="1" t="s">
        <v>1328</v>
      </c>
      <c r="V68" s="1">
        <v>-12.9</v>
      </c>
      <c r="Y68" s="1" t="s">
        <v>694</v>
      </c>
      <c r="Z68" s="1" t="s">
        <v>40</v>
      </c>
      <c r="AA68" s="1" t="s">
        <v>188</v>
      </c>
      <c r="AB68" s="1" t="s">
        <v>986</v>
      </c>
    </row>
    <row r="69" spans="1:28">
      <c r="A69" s="1" t="s">
        <v>182</v>
      </c>
      <c r="B69" s="1" t="s">
        <v>183</v>
      </c>
      <c r="C69" s="60">
        <v>45877</v>
      </c>
      <c r="D69" s="1" t="s">
        <v>130</v>
      </c>
      <c r="E69" s="1" t="s">
        <v>74</v>
      </c>
      <c r="F69" s="1">
        <v>2025</v>
      </c>
      <c r="G69" s="1" t="s">
        <v>185</v>
      </c>
      <c r="H69" s="1" t="s">
        <v>147</v>
      </c>
      <c r="I69" s="1">
        <v>42.9</v>
      </c>
      <c r="J69" s="1">
        <v>-125</v>
      </c>
      <c r="K69" s="1">
        <v>1996</v>
      </c>
      <c r="L69" s="1">
        <v>2023</v>
      </c>
      <c r="M69" s="1">
        <f t="shared" si="1"/>
        <v>28</v>
      </c>
      <c r="N69" s="1" t="s">
        <v>30</v>
      </c>
      <c r="O69" s="1" t="s">
        <v>205</v>
      </c>
      <c r="P69" s="1" t="s">
        <v>788</v>
      </c>
      <c r="Q69" s="1" t="s">
        <v>979</v>
      </c>
      <c r="R69" s="1" t="s">
        <v>1328</v>
      </c>
      <c r="V69" s="1">
        <v>-1.3</v>
      </c>
      <c r="Y69" s="1" t="s">
        <v>694</v>
      </c>
      <c r="Z69" s="1" t="s">
        <v>40</v>
      </c>
      <c r="AA69" s="1" t="s">
        <v>188</v>
      </c>
      <c r="AB69" s="1" t="s">
        <v>986</v>
      </c>
    </row>
    <row r="70" spans="1:28">
      <c r="A70" s="1" t="s">
        <v>182</v>
      </c>
      <c r="B70" s="1" t="s">
        <v>183</v>
      </c>
      <c r="C70" s="60">
        <v>45877</v>
      </c>
      <c r="D70" s="1" t="s">
        <v>130</v>
      </c>
      <c r="E70" s="1" t="s">
        <v>74</v>
      </c>
      <c r="F70" s="1">
        <v>2025</v>
      </c>
      <c r="G70" s="1" t="s">
        <v>185</v>
      </c>
      <c r="H70" s="1" t="s">
        <v>147</v>
      </c>
      <c r="I70" s="1">
        <v>42.9</v>
      </c>
      <c r="J70" s="1">
        <v>-125</v>
      </c>
      <c r="K70" s="1">
        <v>1996</v>
      </c>
      <c r="L70" s="1">
        <v>2023</v>
      </c>
      <c r="M70" s="1">
        <f t="shared" si="1"/>
        <v>28</v>
      </c>
      <c r="N70" s="1" t="s">
        <v>30</v>
      </c>
      <c r="O70" s="1" t="s">
        <v>205</v>
      </c>
      <c r="P70" s="1" t="s">
        <v>788</v>
      </c>
      <c r="Q70" s="1" t="s">
        <v>980</v>
      </c>
      <c r="R70" s="1" t="s">
        <v>1328</v>
      </c>
      <c r="V70" s="1">
        <v>-3.3</v>
      </c>
      <c r="Y70" s="1" t="s">
        <v>694</v>
      </c>
      <c r="Z70" s="1" t="s">
        <v>40</v>
      </c>
      <c r="AA70" s="1" t="s">
        <v>188</v>
      </c>
      <c r="AB70" s="1" t="s">
        <v>986</v>
      </c>
    </row>
    <row r="71" spans="1:28">
      <c r="A71" s="1" t="s">
        <v>182</v>
      </c>
      <c r="B71" s="1" t="s">
        <v>183</v>
      </c>
      <c r="C71" s="60">
        <v>45877</v>
      </c>
      <c r="D71" s="1" t="s">
        <v>130</v>
      </c>
      <c r="E71" s="1" t="s">
        <v>74</v>
      </c>
      <c r="F71" s="1">
        <v>2025</v>
      </c>
      <c r="G71" s="1" t="s">
        <v>185</v>
      </c>
      <c r="H71" s="1" t="s">
        <v>147</v>
      </c>
      <c r="I71" s="1">
        <v>42.9</v>
      </c>
      <c r="J71" s="1">
        <v>-125</v>
      </c>
      <c r="K71" s="1">
        <v>1996</v>
      </c>
      <c r="L71" s="1">
        <v>2023</v>
      </c>
      <c r="M71" s="1">
        <f t="shared" si="1"/>
        <v>28</v>
      </c>
      <c r="N71" s="1" t="s">
        <v>30</v>
      </c>
      <c r="O71" s="1" t="s">
        <v>205</v>
      </c>
      <c r="P71" s="1" t="s">
        <v>788</v>
      </c>
      <c r="Q71" s="1" t="s">
        <v>982</v>
      </c>
      <c r="R71" s="1" t="s">
        <v>1328</v>
      </c>
      <c r="V71" s="1">
        <v>-20.7</v>
      </c>
      <c r="Y71" s="1" t="s">
        <v>694</v>
      </c>
      <c r="Z71" s="1" t="s">
        <v>40</v>
      </c>
      <c r="AA71" s="1" t="s">
        <v>188</v>
      </c>
      <c r="AB71" s="1" t="s">
        <v>986</v>
      </c>
    </row>
    <row r="72" spans="1:28">
      <c r="A72" s="1" t="s">
        <v>182</v>
      </c>
      <c r="B72" s="1" t="s">
        <v>183</v>
      </c>
      <c r="C72" s="60">
        <v>45877</v>
      </c>
      <c r="D72" s="1" t="s">
        <v>130</v>
      </c>
      <c r="E72" s="1" t="s">
        <v>74</v>
      </c>
      <c r="F72" s="1">
        <v>2025</v>
      </c>
      <c r="G72" s="1" t="s">
        <v>185</v>
      </c>
      <c r="H72" s="1" t="s">
        <v>147</v>
      </c>
      <c r="I72" s="1">
        <v>42.9</v>
      </c>
      <c r="J72" s="1">
        <v>-125</v>
      </c>
      <c r="K72" s="1">
        <v>1996</v>
      </c>
      <c r="L72" s="1">
        <v>2023</v>
      </c>
      <c r="M72" s="1">
        <f t="shared" si="1"/>
        <v>28</v>
      </c>
      <c r="N72" s="1" t="s">
        <v>30</v>
      </c>
      <c r="O72" s="1" t="s">
        <v>205</v>
      </c>
      <c r="P72" s="1" t="s">
        <v>788</v>
      </c>
      <c r="Q72" s="1" t="s">
        <v>984</v>
      </c>
      <c r="R72" s="1" t="s">
        <v>1328</v>
      </c>
      <c r="V72" s="1">
        <v>23.6</v>
      </c>
      <c r="Y72" s="1" t="s">
        <v>41</v>
      </c>
      <c r="Z72" s="1" t="s">
        <v>40</v>
      </c>
      <c r="AA72" s="1" t="s">
        <v>188</v>
      </c>
      <c r="AB72" s="1" t="s">
        <v>986</v>
      </c>
    </row>
    <row r="73" spans="1:28">
      <c r="A73" s="1" t="s">
        <v>182</v>
      </c>
      <c r="B73" s="1" t="s">
        <v>183</v>
      </c>
      <c r="C73" s="60">
        <v>45877</v>
      </c>
      <c r="D73" s="1" t="s">
        <v>130</v>
      </c>
      <c r="E73" s="1" t="s">
        <v>74</v>
      </c>
      <c r="F73" s="1">
        <v>2025</v>
      </c>
      <c r="G73" s="1" t="s">
        <v>185</v>
      </c>
      <c r="H73" s="1" t="s">
        <v>147</v>
      </c>
      <c r="I73" s="1">
        <v>42.9</v>
      </c>
      <c r="J73" s="1">
        <v>-125</v>
      </c>
      <c r="K73" s="1">
        <v>1996</v>
      </c>
      <c r="L73" s="1">
        <v>2023</v>
      </c>
      <c r="M73" s="1">
        <f t="shared" si="1"/>
        <v>28</v>
      </c>
      <c r="N73" s="1" t="s">
        <v>30</v>
      </c>
      <c r="O73" s="1" t="s">
        <v>205</v>
      </c>
      <c r="P73" s="1" t="s">
        <v>788</v>
      </c>
      <c r="Q73" s="1" t="s">
        <v>985</v>
      </c>
      <c r="R73" s="1" t="s">
        <v>1328</v>
      </c>
      <c r="V73" s="1">
        <v>9.1999999999999993</v>
      </c>
      <c r="Y73" s="1" t="s">
        <v>41</v>
      </c>
      <c r="Z73" s="1" t="s">
        <v>40</v>
      </c>
      <c r="AA73" s="1" t="s">
        <v>188</v>
      </c>
      <c r="AB73" s="1" t="s">
        <v>986</v>
      </c>
    </row>
    <row r="74" spans="1:28">
      <c r="A74" s="1" t="s">
        <v>182</v>
      </c>
      <c r="B74" s="1" t="s">
        <v>183</v>
      </c>
      <c r="C74" s="60">
        <v>45877</v>
      </c>
      <c r="D74" s="1" t="s">
        <v>130</v>
      </c>
      <c r="E74" s="1" t="s">
        <v>74</v>
      </c>
      <c r="F74" s="1">
        <v>2025</v>
      </c>
      <c r="G74" s="1" t="s">
        <v>185</v>
      </c>
      <c r="H74" s="1" t="s">
        <v>147</v>
      </c>
      <c r="I74" s="1">
        <v>42.9</v>
      </c>
      <c r="J74" s="1">
        <v>-125</v>
      </c>
      <c r="K74" s="1">
        <v>1996</v>
      </c>
      <c r="L74" s="1">
        <v>2023</v>
      </c>
      <c r="M74" s="1">
        <f t="shared" si="1"/>
        <v>28</v>
      </c>
      <c r="N74" s="1" t="s">
        <v>30</v>
      </c>
      <c r="O74" s="1" t="s">
        <v>205</v>
      </c>
      <c r="P74" s="1" t="s">
        <v>788</v>
      </c>
      <c r="Q74" s="1" t="s">
        <v>799</v>
      </c>
      <c r="R74" s="1" t="s">
        <v>1328</v>
      </c>
      <c r="V74" s="1">
        <v>-6.8</v>
      </c>
      <c r="Y74" s="1" t="s">
        <v>694</v>
      </c>
      <c r="Z74" s="1" t="s">
        <v>40</v>
      </c>
      <c r="AA74" s="1" t="s">
        <v>188</v>
      </c>
      <c r="AB74" s="1" t="s">
        <v>986</v>
      </c>
    </row>
    <row r="75" spans="1:28">
      <c r="A75" s="1" t="s">
        <v>182</v>
      </c>
      <c r="B75" s="1" t="s">
        <v>183</v>
      </c>
      <c r="C75" s="60">
        <v>45877</v>
      </c>
      <c r="D75" s="1" t="s">
        <v>130</v>
      </c>
      <c r="E75" s="1" t="s">
        <v>74</v>
      </c>
      <c r="F75" s="1">
        <v>2025</v>
      </c>
      <c r="G75" s="1" t="s">
        <v>185</v>
      </c>
      <c r="H75" s="1" t="s">
        <v>147</v>
      </c>
      <c r="I75" s="1">
        <v>42.9</v>
      </c>
      <c r="J75" s="1">
        <v>-125</v>
      </c>
      <c r="K75" s="1">
        <v>1996</v>
      </c>
      <c r="L75" s="1">
        <v>2023</v>
      </c>
      <c r="M75" s="1">
        <f t="shared" si="1"/>
        <v>28</v>
      </c>
      <c r="N75" s="1" t="s">
        <v>30</v>
      </c>
      <c r="O75" s="1" t="s">
        <v>205</v>
      </c>
      <c r="P75" s="1" t="s">
        <v>788</v>
      </c>
      <c r="Q75" s="1" t="s">
        <v>324</v>
      </c>
      <c r="R75" s="1" t="s">
        <v>1328</v>
      </c>
      <c r="V75" s="1">
        <v>-28.6</v>
      </c>
      <c r="Y75" s="1" t="s">
        <v>694</v>
      </c>
      <c r="Z75" s="1" t="s">
        <v>40</v>
      </c>
      <c r="AA75" s="1" t="s">
        <v>188</v>
      </c>
      <c r="AB75" s="1" t="s">
        <v>986</v>
      </c>
    </row>
    <row r="76" spans="1:28">
      <c r="A76" s="1" t="s">
        <v>182</v>
      </c>
      <c r="B76" s="1" t="s">
        <v>183</v>
      </c>
      <c r="C76" s="60">
        <v>45877</v>
      </c>
      <c r="D76" s="1" t="s">
        <v>130</v>
      </c>
      <c r="E76" s="1" t="s">
        <v>74</v>
      </c>
      <c r="F76" s="1">
        <v>2025</v>
      </c>
      <c r="G76" s="1" t="s">
        <v>185</v>
      </c>
      <c r="H76" s="1" t="s">
        <v>147</v>
      </c>
      <c r="I76" s="1">
        <v>42.9</v>
      </c>
      <c r="J76" s="1">
        <v>-125</v>
      </c>
      <c r="K76" s="1">
        <v>1996</v>
      </c>
      <c r="L76" s="1">
        <v>2023</v>
      </c>
      <c r="M76" s="1">
        <f t="shared" si="1"/>
        <v>28</v>
      </c>
      <c r="N76" s="1" t="s">
        <v>30</v>
      </c>
      <c r="O76" s="1" t="s">
        <v>205</v>
      </c>
      <c r="P76" s="1" t="s">
        <v>788</v>
      </c>
      <c r="Q76" s="1" t="s">
        <v>988</v>
      </c>
      <c r="R76" s="1" t="s">
        <v>1328</v>
      </c>
      <c r="V76" s="1">
        <v>5.2</v>
      </c>
      <c r="Y76" s="1" t="s">
        <v>41</v>
      </c>
      <c r="Z76" s="1" t="s">
        <v>40</v>
      </c>
      <c r="AA76" s="1" t="s">
        <v>188</v>
      </c>
      <c r="AB76" s="1" t="s">
        <v>986</v>
      </c>
    </row>
    <row r="77" spans="1:28">
      <c r="A77" s="1" t="s">
        <v>182</v>
      </c>
      <c r="B77" s="1" t="s">
        <v>183</v>
      </c>
      <c r="C77" s="60">
        <v>45877</v>
      </c>
      <c r="D77" s="1" t="s">
        <v>130</v>
      </c>
      <c r="E77" s="1" t="s">
        <v>74</v>
      </c>
      <c r="F77" s="1">
        <v>2025</v>
      </c>
      <c r="G77" s="1" t="s">
        <v>185</v>
      </c>
      <c r="H77" s="1" t="s">
        <v>147</v>
      </c>
      <c r="I77" s="1">
        <v>42.9</v>
      </c>
      <c r="J77" s="1">
        <v>-125</v>
      </c>
      <c r="K77" s="1">
        <v>1996</v>
      </c>
      <c r="L77" s="1">
        <v>2023</v>
      </c>
      <c r="M77" s="1">
        <f t="shared" si="1"/>
        <v>28</v>
      </c>
      <c r="N77" s="1" t="s">
        <v>30</v>
      </c>
      <c r="O77" s="1" t="s">
        <v>205</v>
      </c>
      <c r="P77" s="1" t="s">
        <v>788</v>
      </c>
      <c r="Q77" s="1" t="s">
        <v>356</v>
      </c>
      <c r="R77" s="1" t="s">
        <v>1328</v>
      </c>
      <c r="V77" s="1">
        <v>-30.9</v>
      </c>
      <c r="Y77" s="1" t="s">
        <v>694</v>
      </c>
      <c r="Z77" s="1" t="s">
        <v>40</v>
      </c>
      <c r="AA77" s="1" t="s">
        <v>188</v>
      </c>
      <c r="AB77" s="1" t="s">
        <v>986</v>
      </c>
    </row>
    <row r="78" spans="1:28">
      <c r="A78" s="1" t="s">
        <v>182</v>
      </c>
      <c r="B78" s="1" t="s">
        <v>183</v>
      </c>
      <c r="C78" s="60">
        <v>45877</v>
      </c>
      <c r="D78" s="1" t="s">
        <v>130</v>
      </c>
      <c r="E78" s="1" t="s">
        <v>74</v>
      </c>
      <c r="F78" s="1">
        <v>2025</v>
      </c>
      <c r="G78" s="1" t="s">
        <v>185</v>
      </c>
      <c r="H78" s="1" t="s">
        <v>147</v>
      </c>
      <c r="I78" s="1">
        <v>42.9</v>
      </c>
      <c r="J78" s="1">
        <v>-125</v>
      </c>
      <c r="K78" s="1">
        <v>1996</v>
      </c>
      <c r="L78" s="1">
        <v>2023</v>
      </c>
      <c r="M78" s="1">
        <f t="shared" si="1"/>
        <v>28</v>
      </c>
      <c r="N78" s="1" t="s">
        <v>30</v>
      </c>
      <c r="O78" s="1" t="s">
        <v>205</v>
      </c>
      <c r="P78" s="1" t="s">
        <v>788</v>
      </c>
      <c r="Q78" s="1" t="s">
        <v>301</v>
      </c>
      <c r="R78" s="1" t="s">
        <v>1328</v>
      </c>
      <c r="V78" s="1">
        <v>10.6</v>
      </c>
      <c r="Y78" s="1" t="s">
        <v>41</v>
      </c>
      <c r="Z78" s="1" t="s">
        <v>40</v>
      </c>
      <c r="AA78" s="1" t="s">
        <v>188</v>
      </c>
      <c r="AB78" s="1" t="s">
        <v>986</v>
      </c>
    </row>
    <row r="79" spans="1:28">
      <c r="A79" s="1" t="s">
        <v>182</v>
      </c>
      <c r="B79" s="1" t="s">
        <v>183</v>
      </c>
      <c r="C79" s="60">
        <v>45877</v>
      </c>
      <c r="D79" s="1" t="s">
        <v>130</v>
      </c>
      <c r="E79" s="1" t="s">
        <v>74</v>
      </c>
      <c r="F79" s="1">
        <v>2025</v>
      </c>
      <c r="G79" s="1" t="s">
        <v>185</v>
      </c>
      <c r="H79" s="1" t="s">
        <v>147</v>
      </c>
      <c r="I79" s="1">
        <v>42.9</v>
      </c>
      <c r="J79" s="1">
        <v>-125</v>
      </c>
      <c r="K79" s="1">
        <v>1996</v>
      </c>
      <c r="L79" s="1">
        <v>2023</v>
      </c>
      <c r="M79" s="1">
        <f t="shared" si="1"/>
        <v>28</v>
      </c>
      <c r="N79" s="1" t="s">
        <v>30</v>
      </c>
      <c r="O79" s="1" t="s">
        <v>205</v>
      </c>
      <c r="P79" s="1" t="s">
        <v>788</v>
      </c>
      <c r="Q79" s="1" t="s">
        <v>992</v>
      </c>
      <c r="R79" s="1" t="s">
        <v>1328</v>
      </c>
      <c r="V79" s="1">
        <v>1.6</v>
      </c>
      <c r="Y79" s="1" t="s">
        <v>41</v>
      </c>
      <c r="Z79" s="1" t="s">
        <v>40</v>
      </c>
      <c r="AA79" s="1" t="s">
        <v>188</v>
      </c>
      <c r="AB79" s="1" t="s">
        <v>986</v>
      </c>
    </row>
    <row r="80" spans="1:28">
      <c r="A80" s="1" t="s">
        <v>182</v>
      </c>
      <c r="B80" s="1" t="s">
        <v>183</v>
      </c>
      <c r="C80" s="60">
        <v>45877</v>
      </c>
      <c r="D80" s="1" t="s">
        <v>130</v>
      </c>
      <c r="E80" s="1" t="s">
        <v>74</v>
      </c>
      <c r="F80" s="1">
        <v>2025</v>
      </c>
      <c r="G80" s="1" t="s">
        <v>185</v>
      </c>
      <c r="H80" s="1" t="s">
        <v>147</v>
      </c>
      <c r="I80" s="1">
        <v>42.9</v>
      </c>
      <c r="J80" s="1">
        <v>-125</v>
      </c>
      <c r="K80" s="1">
        <v>1996</v>
      </c>
      <c r="L80" s="1">
        <v>2023</v>
      </c>
      <c r="M80" s="1">
        <f t="shared" si="1"/>
        <v>28</v>
      </c>
      <c r="N80" s="1" t="s">
        <v>30</v>
      </c>
      <c r="O80" s="1" t="s">
        <v>205</v>
      </c>
      <c r="P80" s="1" t="s">
        <v>788</v>
      </c>
      <c r="Q80" s="1" t="s">
        <v>325</v>
      </c>
      <c r="R80" s="1" t="s">
        <v>1328</v>
      </c>
      <c r="V80" s="1">
        <v>3.5</v>
      </c>
      <c r="Y80" s="1" t="s">
        <v>41</v>
      </c>
      <c r="Z80" s="1" t="s">
        <v>40</v>
      </c>
      <c r="AA80" s="1" t="s">
        <v>188</v>
      </c>
      <c r="AB80" s="1" t="s">
        <v>986</v>
      </c>
    </row>
    <row r="81" spans="1:31">
      <c r="A81" s="1" t="s">
        <v>182</v>
      </c>
      <c r="B81" s="1" t="s">
        <v>183</v>
      </c>
      <c r="C81" s="60">
        <v>45877</v>
      </c>
      <c r="D81" s="1" t="s">
        <v>130</v>
      </c>
      <c r="E81" s="1" t="s">
        <v>74</v>
      </c>
      <c r="F81" s="1">
        <v>2025</v>
      </c>
      <c r="G81" s="1" t="s">
        <v>185</v>
      </c>
      <c r="H81" s="1" t="s">
        <v>147</v>
      </c>
      <c r="I81" s="1">
        <v>42.9</v>
      </c>
      <c r="J81" s="1">
        <v>-125</v>
      </c>
      <c r="K81" s="1">
        <v>1996</v>
      </c>
      <c r="L81" s="1">
        <v>2023</v>
      </c>
      <c r="M81" s="1">
        <f t="shared" si="1"/>
        <v>28</v>
      </c>
      <c r="N81" s="1" t="s">
        <v>30</v>
      </c>
      <c r="O81" s="1" t="s">
        <v>205</v>
      </c>
      <c r="P81" s="1" t="s">
        <v>788</v>
      </c>
      <c r="Q81" s="1" t="s">
        <v>994</v>
      </c>
      <c r="R81" s="1" t="s">
        <v>1328</v>
      </c>
      <c r="V81" s="1">
        <v>-1.4</v>
      </c>
      <c r="Y81" s="1" t="s">
        <v>694</v>
      </c>
      <c r="Z81" s="1" t="s">
        <v>40</v>
      </c>
      <c r="AA81" s="1" t="s">
        <v>188</v>
      </c>
      <c r="AB81" s="1" t="s">
        <v>986</v>
      </c>
    </row>
    <row r="82" spans="1:31">
      <c r="A82" s="1" t="s">
        <v>182</v>
      </c>
      <c r="B82" s="1" t="s">
        <v>183</v>
      </c>
      <c r="C82" s="60">
        <v>45877</v>
      </c>
      <c r="D82" s="1" t="s">
        <v>130</v>
      </c>
      <c r="E82" s="1" t="s">
        <v>74</v>
      </c>
      <c r="F82" s="1">
        <v>2025</v>
      </c>
      <c r="G82" s="1" t="s">
        <v>185</v>
      </c>
      <c r="H82" s="1" t="s">
        <v>147</v>
      </c>
      <c r="I82" s="1">
        <v>42.9</v>
      </c>
      <c r="J82" s="1">
        <v>-125</v>
      </c>
      <c r="K82" s="1">
        <v>1996</v>
      </c>
      <c r="L82" s="1">
        <v>2023</v>
      </c>
      <c r="M82" s="1">
        <f t="shared" si="1"/>
        <v>28</v>
      </c>
      <c r="N82" s="1" t="s">
        <v>30</v>
      </c>
      <c r="O82" s="1" t="s">
        <v>205</v>
      </c>
      <c r="P82" s="1" t="s">
        <v>788</v>
      </c>
      <c r="Q82" s="1" t="s">
        <v>998</v>
      </c>
      <c r="R82" s="1" t="s">
        <v>1328</v>
      </c>
      <c r="V82" s="1">
        <v>3.5</v>
      </c>
      <c r="Y82" s="1" t="s">
        <v>41</v>
      </c>
      <c r="Z82" s="1" t="s">
        <v>40</v>
      </c>
      <c r="AA82" s="1" t="s">
        <v>188</v>
      </c>
      <c r="AB82" s="1" t="s">
        <v>986</v>
      </c>
    </row>
    <row r="83" spans="1:31">
      <c r="A83" s="1" t="s">
        <v>182</v>
      </c>
      <c r="B83" s="1" t="s">
        <v>183</v>
      </c>
      <c r="C83" s="60">
        <v>45877</v>
      </c>
      <c r="D83" s="1" t="s">
        <v>130</v>
      </c>
      <c r="E83" s="1" t="s">
        <v>74</v>
      </c>
      <c r="F83" s="1">
        <v>2025</v>
      </c>
      <c r="G83" s="1" t="s">
        <v>185</v>
      </c>
      <c r="H83" s="1" t="s">
        <v>147</v>
      </c>
      <c r="I83" s="1">
        <v>42.9</v>
      </c>
      <c r="J83" s="1">
        <v>-125</v>
      </c>
      <c r="K83" s="1">
        <v>1996</v>
      </c>
      <c r="L83" s="1">
        <v>2023</v>
      </c>
      <c r="M83" s="1">
        <f t="shared" si="1"/>
        <v>28</v>
      </c>
      <c r="N83" s="1" t="s">
        <v>30</v>
      </c>
      <c r="O83" s="1" t="s">
        <v>205</v>
      </c>
      <c r="P83" s="1" t="s">
        <v>788</v>
      </c>
      <c r="Q83" s="1" t="s">
        <v>1000</v>
      </c>
      <c r="R83" s="1" t="s">
        <v>1328</v>
      </c>
      <c r="V83" s="1">
        <v>-4.0999999999999996</v>
      </c>
      <c r="Y83" s="1" t="s">
        <v>694</v>
      </c>
      <c r="Z83" s="1" t="s">
        <v>40</v>
      </c>
      <c r="AA83" s="1" t="s">
        <v>188</v>
      </c>
      <c r="AB83" s="1" t="s">
        <v>986</v>
      </c>
    </row>
    <row r="84" spans="1:31">
      <c r="A84" s="1" t="s">
        <v>182</v>
      </c>
      <c r="B84" s="1" t="s">
        <v>183</v>
      </c>
      <c r="C84" s="60">
        <v>45877</v>
      </c>
      <c r="D84" s="1" t="s">
        <v>130</v>
      </c>
      <c r="E84" s="1" t="s">
        <v>74</v>
      </c>
      <c r="F84" s="1">
        <v>2025</v>
      </c>
      <c r="G84" s="1" t="s">
        <v>185</v>
      </c>
      <c r="H84" s="1" t="s">
        <v>147</v>
      </c>
      <c r="I84" s="1">
        <v>42.9</v>
      </c>
      <c r="J84" s="1">
        <v>-125</v>
      </c>
      <c r="K84" s="1">
        <v>1996</v>
      </c>
      <c r="L84" s="1">
        <v>2023</v>
      </c>
      <c r="M84" s="1">
        <f t="shared" si="1"/>
        <v>28</v>
      </c>
      <c r="N84" s="1" t="s">
        <v>30</v>
      </c>
      <c r="O84" s="1" t="s">
        <v>205</v>
      </c>
      <c r="P84" s="1" t="s">
        <v>788</v>
      </c>
      <c r="Q84" s="1" t="s">
        <v>1001</v>
      </c>
      <c r="R84" s="1" t="s">
        <v>1328</v>
      </c>
      <c r="V84" s="1">
        <v>-6.9</v>
      </c>
      <c r="Y84" s="1" t="s">
        <v>694</v>
      </c>
      <c r="Z84" s="1" t="s">
        <v>40</v>
      </c>
      <c r="AA84" s="1" t="s">
        <v>188</v>
      </c>
      <c r="AB84" s="1" t="s">
        <v>986</v>
      </c>
    </row>
    <row r="85" spans="1:31">
      <c r="A85" s="1" t="s">
        <v>182</v>
      </c>
      <c r="B85" s="1" t="s">
        <v>183</v>
      </c>
      <c r="C85" s="60">
        <v>45877</v>
      </c>
      <c r="D85" s="1" t="s">
        <v>130</v>
      </c>
      <c r="E85" s="1" t="s">
        <v>74</v>
      </c>
      <c r="F85" s="1">
        <v>2025</v>
      </c>
      <c r="G85" s="1" t="s">
        <v>185</v>
      </c>
      <c r="H85" s="1" t="s">
        <v>147</v>
      </c>
      <c r="I85" s="1">
        <v>42.9</v>
      </c>
      <c r="J85" s="1">
        <v>-125</v>
      </c>
      <c r="K85" s="1">
        <v>1996</v>
      </c>
      <c r="L85" s="1">
        <v>2023</v>
      </c>
      <c r="M85" s="1">
        <f t="shared" si="1"/>
        <v>28</v>
      </c>
      <c r="N85" s="1" t="s">
        <v>30</v>
      </c>
      <c r="O85" s="1" t="s">
        <v>205</v>
      </c>
      <c r="P85" s="1" t="s">
        <v>788</v>
      </c>
      <c r="Q85" s="1" t="s">
        <v>367</v>
      </c>
      <c r="R85" s="1" t="s">
        <v>1328</v>
      </c>
      <c r="V85" s="1">
        <v>-10.7</v>
      </c>
      <c r="Y85" s="1" t="s">
        <v>694</v>
      </c>
      <c r="Z85" s="1" t="s">
        <v>40</v>
      </c>
      <c r="AA85" s="1" t="s">
        <v>188</v>
      </c>
      <c r="AB85" s="1" t="s">
        <v>986</v>
      </c>
    </row>
    <row r="86" spans="1:31">
      <c r="A86" s="1" t="s">
        <v>182</v>
      </c>
      <c r="B86" s="1" t="s">
        <v>183</v>
      </c>
      <c r="C86" s="60">
        <v>45877</v>
      </c>
      <c r="D86" s="1" t="s">
        <v>130</v>
      </c>
      <c r="E86" s="1" t="s">
        <v>74</v>
      </c>
      <c r="F86" s="1">
        <v>2025</v>
      </c>
      <c r="G86" s="1" t="s">
        <v>185</v>
      </c>
      <c r="H86" s="1" t="s">
        <v>147</v>
      </c>
      <c r="I86" s="1">
        <v>42.9</v>
      </c>
      <c r="J86" s="1">
        <v>-125</v>
      </c>
      <c r="K86" s="1">
        <v>1996</v>
      </c>
      <c r="L86" s="1">
        <v>2023</v>
      </c>
      <c r="M86" s="1">
        <f t="shared" si="1"/>
        <v>28</v>
      </c>
      <c r="N86" s="1" t="s">
        <v>30</v>
      </c>
      <c r="O86" s="1" t="s">
        <v>205</v>
      </c>
      <c r="P86" s="1" t="s">
        <v>788</v>
      </c>
      <c r="Q86" s="1" t="s">
        <v>1003</v>
      </c>
      <c r="R86" s="1" t="s">
        <v>1328</v>
      </c>
      <c r="V86" s="1">
        <v>-1.5</v>
      </c>
      <c r="Y86" s="1" t="s">
        <v>694</v>
      </c>
      <c r="Z86" s="1" t="s">
        <v>40</v>
      </c>
      <c r="AA86" s="1" t="s">
        <v>188</v>
      </c>
      <c r="AB86" s="1" t="s">
        <v>986</v>
      </c>
    </row>
    <row r="87" spans="1:31">
      <c r="A87" s="1" t="s">
        <v>182</v>
      </c>
      <c r="B87" s="1" t="s">
        <v>183</v>
      </c>
      <c r="C87" s="60">
        <v>45877</v>
      </c>
      <c r="D87" s="1" t="s">
        <v>130</v>
      </c>
      <c r="E87" s="1" t="s">
        <v>74</v>
      </c>
      <c r="F87" s="1">
        <v>2025</v>
      </c>
      <c r="G87" s="1" t="s">
        <v>185</v>
      </c>
      <c r="H87" s="1" t="s">
        <v>147</v>
      </c>
      <c r="I87" s="1">
        <v>42.9</v>
      </c>
      <c r="J87" s="1">
        <v>-125</v>
      </c>
      <c r="K87" s="1">
        <v>1996</v>
      </c>
      <c r="L87" s="1">
        <v>2023</v>
      </c>
      <c r="M87" s="1">
        <f t="shared" si="1"/>
        <v>28</v>
      </c>
      <c r="N87" s="1" t="s">
        <v>30</v>
      </c>
      <c r="O87" s="1" t="s">
        <v>205</v>
      </c>
      <c r="P87" s="1" t="s">
        <v>788</v>
      </c>
      <c r="Q87" s="1" t="s">
        <v>1009</v>
      </c>
      <c r="R87" s="1" t="s">
        <v>1328</v>
      </c>
      <c r="V87" s="1">
        <v>-2.7</v>
      </c>
      <c r="Y87" s="1" t="s">
        <v>694</v>
      </c>
      <c r="Z87" s="1" t="s">
        <v>40</v>
      </c>
      <c r="AA87" s="1" t="s">
        <v>188</v>
      </c>
      <c r="AB87" s="1" t="s">
        <v>986</v>
      </c>
    </row>
    <row r="88" spans="1:31">
      <c r="A88" s="1" t="s">
        <v>182</v>
      </c>
      <c r="B88" s="1" t="s">
        <v>183</v>
      </c>
      <c r="C88" s="60">
        <v>45877</v>
      </c>
      <c r="D88" s="1" t="s">
        <v>44</v>
      </c>
      <c r="E88" s="1" t="s">
        <v>74</v>
      </c>
      <c r="F88" s="1">
        <v>2025</v>
      </c>
      <c r="G88" s="1" t="s">
        <v>184</v>
      </c>
      <c r="H88" s="1" t="s">
        <v>147</v>
      </c>
      <c r="I88" s="1">
        <v>30.5</v>
      </c>
      <c r="J88" s="1">
        <v>-119.5</v>
      </c>
      <c r="K88" s="1">
        <v>1951</v>
      </c>
      <c r="L88" s="1">
        <v>2022</v>
      </c>
      <c r="M88" s="1">
        <f t="shared" si="1"/>
        <v>72</v>
      </c>
      <c r="N88" s="1" t="s">
        <v>30</v>
      </c>
      <c r="O88" s="1" t="s">
        <v>205</v>
      </c>
      <c r="P88" s="1" t="s">
        <v>788</v>
      </c>
      <c r="Q88" s="1" t="s">
        <v>968</v>
      </c>
      <c r="R88" s="1" t="s">
        <v>1328</v>
      </c>
      <c r="V88" s="1" t="s">
        <v>975</v>
      </c>
      <c r="W88"/>
      <c r="Y88" s="1" t="s">
        <v>40</v>
      </c>
      <c r="Z88" s="1" t="s">
        <v>40</v>
      </c>
      <c r="AA88" s="1" t="s">
        <v>188</v>
      </c>
      <c r="AB88" s="1" t="s">
        <v>986</v>
      </c>
      <c r="AE88" s="1" t="s">
        <v>996</v>
      </c>
    </row>
    <row r="89" spans="1:31">
      <c r="A89" s="1" t="s">
        <v>182</v>
      </c>
      <c r="B89" s="1" t="s">
        <v>183</v>
      </c>
      <c r="C89" s="60">
        <v>45877</v>
      </c>
      <c r="D89" s="1" t="s">
        <v>44</v>
      </c>
      <c r="E89" s="1" t="s">
        <v>74</v>
      </c>
      <c r="F89" s="1">
        <v>2025</v>
      </c>
      <c r="G89" s="1" t="s">
        <v>184</v>
      </c>
      <c r="H89" s="1" t="s">
        <v>147</v>
      </c>
      <c r="I89" s="1">
        <v>30.5</v>
      </c>
      <c r="J89" s="1">
        <v>-119.5</v>
      </c>
      <c r="K89" s="1">
        <v>1951</v>
      </c>
      <c r="L89" s="1">
        <v>2022</v>
      </c>
      <c r="M89" s="1">
        <f t="shared" si="1"/>
        <v>72</v>
      </c>
      <c r="N89" s="1" t="s">
        <v>30</v>
      </c>
      <c r="O89" s="1" t="s">
        <v>205</v>
      </c>
      <c r="P89" s="1" t="s">
        <v>788</v>
      </c>
      <c r="Q89" s="1" t="s">
        <v>969</v>
      </c>
      <c r="R89" s="1" t="s">
        <v>1328</v>
      </c>
      <c r="V89" s="1" t="s">
        <v>975</v>
      </c>
      <c r="W89"/>
      <c r="Y89" s="1" t="s">
        <v>40</v>
      </c>
      <c r="Z89" s="1" t="s">
        <v>40</v>
      </c>
      <c r="AA89" s="1" t="s">
        <v>188</v>
      </c>
      <c r="AB89" s="1" t="s">
        <v>986</v>
      </c>
      <c r="AE89" s="1" t="s">
        <v>996</v>
      </c>
    </row>
    <row r="90" spans="1:31">
      <c r="A90" s="1" t="s">
        <v>182</v>
      </c>
      <c r="B90" s="1" t="s">
        <v>183</v>
      </c>
      <c r="C90" s="60">
        <v>45877</v>
      </c>
      <c r="D90" s="1" t="s">
        <v>44</v>
      </c>
      <c r="E90" s="1" t="s">
        <v>74</v>
      </c>
      <c r="F90" s="1">
        <v>2025</v>
      </c>
      <c r="G90" s="1" t="s">
        <v>184</v>
      </c>
      <c r="H90" s="1" t="s">
        <v>147</v>
      </c>
      <c r="I90" s="1">
        <v>30.5</v>
      </c>
      <c r="J90" s="1">
        <v>-119.5</v>
      </c>
      <c r="K90" s="1">
        <v>1951</v>
      </c>
      <c r="L90" s="1">
        <v>2022</v>
      </c>
      <c r="M90" s="1">
        <f t="shared" si="1"/>
        <v>72</v>
      </c>
      <c r="N90" s="1" t="s">
        <v>30</v>
      </c>
      <c r="O90" s="1" t="s">
        <v>205</v>
      </c>
      <c r="P90" s="1" t="s">
        <v>788</v>
      </c>
      <c r="Q90" s="1" t="s">
        <v>978</v>
      </c>
      <c r="R90" s="1" t="s">
        <v>1328</v>
      </c>
      <c r="V90" s="1" t="s">
        <v>975</v>
      </c>
      <c r="Y90" s="1" t="s">
        <v>40</v>
      </c>
      <c r="Z90" s="1" t="s">
        <v>40</v>
      </c>
      <c r="AA90" s="1" t="s">
        <v>188</v>
      </c>
      <c r="AB90" s="1" t="s">
        <v>986</v>
      </c>
      <c r="AE90" s="1" t="s">
        <v>996</v>
      </c>
    </row>
    <row r="91" spans="1:31">
      <c r="A91" s="1" t="s">
        <v>182</v>
      </c>
      <c r="B91" s="1" t="s">
        <v>183</v>
      </c>
      <c r="C91" s="60">
        <v>45877</v>
      </c>
      <c r="D91" s="1" t="s">
        <v>44</v>
      </c>
      <c r="E91" s="1" t="s">
        <v>74</v>
      </c>
      <c r="F91" s="1">
        <v>2025</v>
      </c>
      <c r="G91" s="1" t="s">
        <v>184</v>
      </c>
      <c r="H91" s="1" t="s">
        <v>147</v>
      </c>
      <c r="I91" s="1">
        <v>30.5</v>
      </c>
      <c r="J91" s="1">
        <v>-119.5</v>
      </c>
      <c r="K91" s="1">
        <v>1951</v>
      </c>
      <c r="L91" s="1">
        <v>2022</v>
      </c>
      <c r="M91" s="1">
        <f t="shared" si="1"/>
        <v>72</v>
      </c>
      <c r="N91" s="1" t="s">
        <v>30</v>
      </c>
      <c r="O91" s="1" t="s">
        <v>205</v>
      </c>
      <c r="P91" s="1" t="s">
        <v>788</v>
      </c>
      <c r="Q91" s="1" t="s">
        <v>979</v>
      </c>
      <c r="R91" s="1" t="s">
        <v>1328</v>
      </c>
      <c r="V91" s="1" t="s">
        <v>975</v>
      </c>
      <c r="Y91" s="1" t="s">
        <v>40</v>
      </c>
      <c r="Z91" s="1" t="s">
        <v>40</v>
      </c>
      <c r="AA91" s="1" t="s">
        <v>188</v>
      </c>
      <c r="AB91" s="1" t="s">
        <v>986</v>
      </c>
      <c r="AE91" s="1" t="s">
        <v>996</v>
      </c>
    </row>
    <row r="92" spans="1:31">
      <c r="A92" s="1" t="s">
        <v>182</v>
      </c>
      <c r="B92" s="1" t="s">
        <v>183</v>
      </c>
      <c r="C92" s="60">
        <v>45877</v>
      </c>
      <c r="D92" s="1" t="s">
        <v>44</v>
      </c>
      <c r="E92" s="1" t="s">
        <v>74</v>
      </c>
      <c r="F92" s="1">
        <v>2025</v>
      </c>
      <c r="G92" s="1" t="s">
        <v>184</v>
      </c>
      <c r="H92" s="1" t="s">
        <v>147</v>
      </c>
      <c r="I92" s="1">
        <v>30.5</v>
      </c>
      <c r="J92" s="1">
        <v>-119.5</v>
      </c>
      <c r="K92" s="1">
        <v>1951</v>
      </c>
      <c r="L92" s="1">
        <v>2022</v>
      </c>
      <c r="M92" s="1">
        <f t="shared" si="1"/>
        <v>72</v>
      </c>
      <c r="N92" s="1" t="s">
        <v>30</v>
      </c>
      <c r="O92" s="1" t="s">
        <v>205</v>
      </c>
      <c r="P92" s="1" t="s">
        <v>788</v>
      </c>
      <c r="Q92" s="1" t="s">
        <v>980</v>
      </c>
      <c r="R92" s="1" t="s">
        <v>1328</v>
      </c>
      <c r="V92" s="1" t="s">
        <v>975</v>
      </c>
      <c r="Y92" s="1" t="s">
        <v>40</v>
      </c>
      <c r="Z92" s="1" t="s">
        <v>40</v>
      </c>
      <c r="AA92" s="1" t="s">
        <v>188</v>
      </c>
      <c r="AB92" s="1" t="s">
        <v>986</v>
      </c>
      <c r="AE92" s="1" t="s">
        <v>996</v>
      </c>
    </row>
    <row r="93" spans="1:31">
      <c r="A93" s="1" t="s">
        <v>182</v>
      </c>
      <c r="B93" s="1" t="s">
        <v>183</v>
      </c>
      <c r="C93" s="60">
        <v>45877</v>
      </c>
      <c r="D93" s="1" t="s">
        <v>44</v>
      </c>
      <c r="E93" s="1" t="s">
        <v>74</v>
      </c>
      <c r="F93" s="1">
        <v>2025</v>
      </c>
      <c r="G93" s="1" t="s">
        <v>184</v>
      </c>
      <c r="H93" s="1" t="s">
        <v>147</v>
      </c>
      <c r="I93" s="1">
        <v>30.5</v>
      </c>
      <c r="J93" s="1">
        <v>-119.5</v>
      </c>
      <c r="K93" s="1">
        <v>1951</v>
      </c>
      <c r="L93" s="1">
        <v>2022</v>
      </c>
      <c r="M93" s="1">
        <f t="shared" si="1"/>
        <v>72</v>
      </c>
      <c r="N93" s="1" t="s">
        <v>30</v>
      </c>
      <c r="O93" s="1" t="s">
        <v>205</v>
      </c>
      <c r="P93" s="1" t="s">
        <v>788</v>
      </c>
      <c r="Q93" s="1" t="s">
        <v>982</v>
      </c>
      <c r="R93" s="1" t="s">
        <v>1328</v>
      </c>
      <c r="V93" s="1" t="s">
        <v>975</v>
      </c>
      <c r="Y93" s="1" t="s">
        <v>40</v>
      </c>
      <c r="Z93" s="1" t="s">
        <v>40</v>
      </c>
      <c r="AA93" s="1" t="s">
        <v>188</v>
      </c>
      <c r="AB93" s="1" t="s">
        <v>986</v>
      </c>
      <c r="AE93" s="1" t="s">
        <v>996</v>
      </c>
    </row>
    <row r="94" spans="1:31">
      <c r="A94" s="1" t="s">
        <v>182</v>
      </c>
      <c r="B94" s="1" t="s">
        <v>183</v>
      </c>
      <c r="C94" s="60">
        <v>45877</v>
      </c>
      <c r="D94" s="1" t="s">
        <v>44</v>
      </c>
      <c r="E94" s="1" t="s">
        <v>74</v>
      </c>
      <c r="F94" s="1">
        <v>2025</v>
      </c>
      <c r="G94" s="1" t="s">
        <v>184</v>
      </c>
      <c r="H94" s="1" t="s">
        <v>147</v>
      </c>
      <c r="I94" s="1">
        <v>30.5</v>
      </c>
      <c r="J94" s="1">
        <v>-119.5</v>
      </c>
      <c r="K94" s="1">
        <v>1951</v>
      </c>
      <c r="L94" s="1">
        <v>2022</v>
      </c>
      <c r="M94" s="1">
        <f t="shared" si="1"/>
        <v>72</v>
      </c>
      <c r="N94" s="1" t="s">
        <v>30</v>
      </c>
      <c r="O94" s="1" t="s">
        <v>205</v>
      </c>
      <c r="P94" s="1" t="s">
        <v>788</v>
      </c>
      <c r="Q94" s="1" t="s">
        <v>984</v>
      </c>
      <c r="R94" s="1" t="s">
        <v>1328</v>
      </c>
      <c r="V94" s="1" t="s">
        <v>975</v>
      </c>
      <c r="Y94" s="1" t="s">
        <v>40</v>
      </c>
      <c r="Z94" s="1" t="s">
        <v>40</v>
      </c>
      <c r="AA94" s="1" t="s">
        <v>188</v>
      </c>
      <c r="AB94" s="1" t="s">
        <v>986</v>
      </c>
      <c r="AE94" s="1" t="s">
        <v>996</v>
      </c>
    </row>
    <row r="95" spans="1:31">
      <c r="A95" s="1" t="s">
        <v>182</v>
      </c>
      <c r="B95" s="1" t="s">
        <v>183</v>
      </c>
      <c r="C95" s="60">
        <v>45877</v>
      </c>
      <c r="D95" s="1" t="s">
        <v>44</v>
      </c>
      <c r="E95" s="1" t="s">
        <v>74</v>
      </c>
      <c r="F95" s="1">
        <v>2025</v>
      </c>
      <c r="G95" s="1" t="s">
        <v>184</v>
      </c>
      <c r="H95" s="1" t="s">
        <v>147</v>
      </c>
      <c r="I95" s="1">
        <v>30.5</v>
      </c>
      <c r="J95" s="1">
        <v>-119.5</v>
      </c>
      <c r="K95" s="1">
        <v>1951</v>
      </c>
      <c r="L95" s="1">
        <v>2022</v>
      </c>
      <c r="M95" s="1">
        <f t="shared" si="1"/>
        <v>72</v>
      </c>
      <c r="N95" s="1" t="s">
        <v>30</v>
      </c>
      <c r="O95" s="1" t="s">
        <v>205</v>
      </c>
      <c r="P95" s="1" t="s">
        <v>788</v>
      </c>
      <c r="Q95" s="1" t="s">
        <v>985</v>
      </c>
      <c r="R95" s="1" t="s">
        <v>1328</v>
      </c>
      <c r="V95" s="1" t="s">
        <v>975</v>
      </c>
      <c r="Y95" s="1" t="s">
        <v>40</v>
      </c>
      <c r="Z95" s="1" t="s">
        <v>40</v>
      </c>
      <c r="AA95" s="1" t="s">
        <v>188</v>
      </c>
      <c r="AB95" s="1" t="s">
        <v>986</v>
      </c>
      <c r="AE95" s="1" t="s">
        <v>996</v>
      </c>
    </row>
    <row r="96" spans="1:31">
      <c r="A96" s="1" t="s">
        <v>182</v>
      </c>
      <c r="B96" s="1" t="s">
        <v>183</v>
      </c>
      <c r="C96" s="60">
        <v>45877</v>
      </c>
      <c r="D96" s="1" t="s">
        <v>44</v>
      </c>
      <c r="E96" s="1" t="s">
        <v>74</v>
      </c>
      <c r="F96" s="1">
        <v>2025</v>
      </c>
      <c r="G96" s="1" t="s">
        <v>184</v>
      </c>
      <c r="H96" s="1" t="s">
        <v>147</v>
      </c>
      <c r="I96" s="1">
        <v>30.5</v>
      </c>
      <c r="J96" s="1">
        <v>-119.5</v>
      </c>
      <c r="K96" s="1">
        <v>1951</v>
      </c>
      <c r="L96" s="1">
        <v>2022</v>
      </c>
      <c r="M96" s="1">
        <f t="shared" si="1"/>
        <v>72</v>
      </c>
      <c r="N96" s="1" t="s">
        <v>30</v>
      </c>
      <c r="O96" s="1" t="s">
        <v>205</v>
      </c>
      <c r="P96" s="1" t="s">
        <v>788</v>
      </c>
      <c r="Q96" s="1" t="s">
        <v>988</v>
      </c>
      <c r="R96" s="1" t="s">
        <v>1328</v>
      </c>
      <c r="V96" s="1" t="s">
        <v>975</v>
      </c>
      <c r="Y96" s="1" t="s">
        <v>40</v>
      </c>
      <c r="Z96" s="1" t="s">
        <v>40</v>
      </c>
      <c r="AA96" s="1" t="s">
        <v>188</v>
      </c>
      <c r="AB96" s="1" t="s">
        <v>986</v>
      </c>
      <c r="AE96" s="1" t="s">
        <v>996</v>
      </c>
    </row>
    <row r="97" spans="1:31">
      <c r="A97" s="1" t="s">
        <v>182</v>
      </c>
      <c r="B97" s="1" t="s">
        <v>183</v>
      </c>
      <c r="C97" s="60">
        <v>45877</v>
      </c>
      <c r="D97" s="1" t="s">
        <v>44</v>
      </c>
      <c r="E97" s="1" t="s">
        <v>74</v>
      </c>
      <c r="F97" s="1">
        <v>2025</v>
      </c>
      <c r="G97" s="1" t="s">
        <v>184</v>
      </c>
      <c r="H97" s="1" t="s">
        <v>147</v>
      </c>
      <c r="I97" s="1">
        <v>30.5</v>
      </c>
      <c r="J97" s="1">
        <v>-119.5</v>
      </c>
      <c r="K97" s="1">
        <v>1951</v>
      </c>
      <c r="L97" s="1">
        <v>2022</v>
      </c>
      <c r="M97" s="1">
        <f t="shared" si="1"/>
        <v>72</v>
      </c>
      <c r="N97" s="1" t="s">
        <v>30</v>
      </c>
      <c r="O97" s="1" t="s">
        <v>205</v>
      </c>
      <c r="P97" s="1" t="s">
        <v>788</v>
      </c>
      <c r="Q97" s="1" t="s">
        <v>301</v>
      </c>
      <c r="R97" s="1" t="s">
        <v>1328</v>
      </c>
      <c r="V97" s="1" t="s">
        <v>975</v>
      </c>
      <c r="Y97" s="1" t="s">
        <v>40</v>
      </c>
      <c r="Z97" s="1" t="s">
        <v>40</v>
      </c>
      <c r="AA97" s="1" t="s">
        <v>188</v>
      </c>
      <c r="AB97" s="1" t="s">
        <v>986</v>
      </c>
      <c r="AE97" s="1" t="s">
        <v>996</v>
      </c>
    </row>
    <row r="98" spans="1:31">
      <c r="A98" s="1" t="s">
        <v>182</v>
      </c>
      <c r="B98" s="1" t="s">
        <v>183</v>
      </c>
      <c r="C98" s="60">
        <v>45877</v>
      </c>
      <c r="D98" s="1" t="s">
        <v>44</v>
      </c>
      <c r="E98" s="1" t="s">
        <v>74</v>
      </c>
      <c r="F98" s="1">
        <v>2025</v>
      </c>
      <c r="G98" s="1" t="s">
        <v>184</v>
      </c>
      <c r="H98" s="1" t="s">
        <v>147</v>
      </c>
      <c r="I98" s="1">
        <v>30.5</v>
      </c>
      <c r="J98" s="1">
        <v>-119.5</v>
      </c>
      <c r="K98" s="1">
        <v>1951</v>
      </c>
      <c r="L98" s="1">
        <v>2022</v>
      </c>
      <c r="M98" s="1">
        <f t="shared" si="1"/>
        <v>72</v>
      </c>
      <c r="N98" s="1" t="s">
        <v>30</v>
      </c>
      <c r="O98" s="1" t="s">
        <v>205</v>
      </c>
      <c r="P98" s="1" t="s">
        <v>788</v>
      </c>
      <c r="Q98" s="1" t="s">
        <v>992</v>
      </c>
      <c r="R98" s="1" t="s">
        <v>1328</v>
      </c>
      <c r="V98" s="1" t="s">
        <v>975</v>
      </c>
      <c r="Y98" s="1" t="s">
        <v>40</v>
      </c>
      <c r="Z98" s="1" t="s">
        <v>40</v>
      </c>
      <c r="AA98" s="1" t="s">
        <v>188</v>
      </c>
      <c r="AB98" s="1" t="s">
        <v>986</v>
      </c>
      <c r="AE98" s="1" t="s">
        <v>996</v>
      </c>
    </row>
    <row r="99" spans="1:31">
      <c r="A99" s="1" t="s">
        <v>182</v>
      </c>
      <c r="B99" s="1" t="s">
        <v>183</v>
      </c>
      <c r="C99" s="60">
        <v>45877</v>
      </c>
      <c r="D99" s="1" t="s">
        <v>44</v>
      </c>
      <c r="E99" s="1" t="s">
        <v>74</v>
      </c>
      <c r="F99" s="1">
        <v>2025</v>
      </c>
      <c r="G99" s="1" t="s">
        <v>184</v>
      </c>
      <c r="H99" s="1" t="s">
        <v>147</v>
      </c>
      <c r="I99" s="1">
        <v>30.5</v>
      </c>
      <c r="J99" s="1">
        <v>-119.5</v>
      </c>
      <c r="K99" s="1">
        <v>1951</v>
      </c>
      <c r="L99" s="1">
        <v>2022</v>
      </c>
      <c r="M99" s="1">
        <f t="shared" si="1"/>
        <v>72</v>
      </c>
      <c r="N99" s="1" t="s">
        <v>30</v>
      </c>
      <c r="O99" s="1" t="s">
        <v>205</v>
      </c>
      <c r="P99" s="1" t="s">
        <v>788</v>
      </c>
      <c r="Q99" s="1" t="s">
        <v>994</v>
      </c>
      <c r="R99" s="1" t="s">
        <v>1328</v>
      </c>
      <c r="V99" s="1" t="s">
        <v>975</v>
      </c>
      <c r="Y99" s="1" t="s">
        <v>40</v>
      </c>
      <c r="Z99" s="1" t="s">
        <v>40</v>
      </c>
      <c r="AA99" s="1" t="s">
        <v>188</v>
      </c>
      <c r="AB99" s="1" t="s">
        <v>986</v>
      </c>
      <c r="AE99" s="1" t="s">
        <v>996</v>
      </c>
    </row>
    <row r="100" spans="1:31">
      <c r="A100" s="1" t="s">
        <v>182</v>
      </c>
      <c r="B100" s="1" t="s">
        <v>183</v>
      </c>
      <c r="C100" s="60">
        <v>45877</v>
      </c>
      <c r="D100" s="1" t="s">
        <v>44</v>
      </c>
      <c r="E100" s="1" t="s">
        <v>74</v>
      </c>
      <c r="F100" s="1">
        <v>2025</v>
      </c>
      <c r="G100" s="1" t="s">
        <v>184</v>
      </c>
      <c r="H100" s="1" t="s">
        <v>147</v>
      </c>
      <c r="I100" s="1">
        <v>30.5</v>
      </c>
      <c r="J100" s="1">
        <v>-119.5</v>
      </c>
      <c r="K100" s="1">
        <v>1951</v>
      </c>
      <c r="L100" s="1">
        <v>2022</v>
      </c>
      <c r="M100" s="1">
        <f t="shared" si="1"/>
        <v>72</v>
      </c>
      <c r="N100" s="1" t="s">
        <v>30</v>
      </c>
      <c r="O100" s="1" t="s">
        <v>205</v>
      </c>
      <c r="P100" s="1" t="s">
        <v>788</v>
      </c>
      <c r="Q100" s="1" t="s">
        <v>998</v>
      </c>
      <c r="R100" s="1" t="s">
        <v>1328</v>
      </c>
      <c r="V100" s="1" t="s">
        <v>975</v>
      </c>
      <c r="Y100" s="1" t="s">
        <v>40</v>
      </c>
      <c r="Z100" s="1" t="s">
        <v>40</v>
      </c>
      <c r="AA100" s="1" t="s">
        <v>188</v>
      </c>
      <c r="AB100" s="1" t="s">
        <v>986</v>
      </c>
      <c r="AE100" s="1" t="s">
        <v>996</v>
      </c>
    </row>
    <row r="101" spans="1:31">
      <c r="A101" s="1" t="s">
        <v>182</v>
      </c>
      <c r="B101" s="1" t="s">
        <v>183</v>
      </c>
      <c r="C101" s="60">
        <v>45877</v>
      </c>
      <c r="D101" s="1" t="s">
        <v>44</v>
      </c>
      <c r="E101" s="1" t="s">
        <v>74</v>
      </c>
      <c r="F101" s="1">
        <v>2025</v>
      </c>
      <c r="G101" s="1" t="s">
        <v>184</v>
      </c>
      <c r="H101" s="1" t="s">
        <v>147</v>
      </c>
      <c r="I101" s="1">
        <v>30.5</v>
      </c>
      <c r="J101" s="1">
        <v>-119.5</v>
      </c>
      <c r="K101" s="1">
        <v>1951</v>
      </c>
      <c r="L101" s="1">
        <v>2022</v>
      </c>
      <c r="M101" s="1">
        <f t="shared" si="1"/>
        <v>72</v>
      </c>
      <c r="N101" s="1" t="s">
        <v>30</v>
      </c>
      <c r="O101" s="1" t="s">
        <v>205</v>
      </c>
      <c r="P101" s="1" t="s">
        <v>788</v>
      </c>
      <c r="Q101" s="1" t="s">
        <v>1000</v>
      </c>
      <c r="R101" s="1" t="s">
        <v>1328</v>
      </c>
      <c r="V101" s="1" t="s">
        <v>975</v>
      </c>
      <c r="Y101" s="1" t="s">
        <v>40</v>
      </c>
      <c r="Z101" s="1" t="s">
        <v>40</v>
      </c>
      <c r="AA101" s="1" t="s">
        <v>188</v>
      </c>
      <c r="AB101" s="1" t="s">
        <v>986</v>
      </c>
      <c r="AE101" s="1" t="s">
        <v>996</v>
      </c>
    </row>
    <row r="102" spans="1:31">
      <c r="A102" s="1" t="s">
        <v>182</v>
      </c>
      <c r="B102" s="1" t="s">
        <v>183</v>
      </c>
      <c r="C102" s="60">
        <v>45877</v>
      </c>
      <c r="D102" s="1" t="s">
        <v>44</v>
      </c>
      <c r="E102" s="1" t="s">
        <v>74</v>
      </c>
      <c r="F102" s="1">
        <v>2025</v>
      </c>
      <c r="G102" s="1" t="s">
        <v>184</v>
      </c>
      <c r="H102" s="1" t="s">
        <v>147</v>
      </c>
      <c r="I102" s="1">
        <v>30.5</v>
      </c>
      <c r="J102" s="1">
        <v>-119.5</v>
      </c>
      <c r="K102" s="1">
        <v>1951</v>
      </c>
      <c r="L102" s="1">
        <v>2022</v>
      </c>
      <c r="M102" s="1">
        <f t="shared" si="1"/>
        <v>72</v>
      </c>
      <c r="N102" s="1" t="s">
        <v>30</v>
      </c>
      <c r="O102" s="1" t="s">
        <v>205</v>
      </c>
      <c r="P102" s="1" t="s">
        <v>788</v>
      </c>
      <c r="Q102" s="1" t="s">
        <v>1001</v>
      </c>
      <c r="R102" s="1" t="s">
        <v>1328</v>
      </c>
      <c r="V102" s="1" t="s">
        <v>975</v>
      </c>
      <c r="Y102" s="1" t="s">
        <v>40</v>
      </c>
      <c r="Z102" s="1" t="s">
        <v>40</v>
      </c>
      <c r="AA102" s="1" t="s">
        <v>188</v>
      </c>
      <c r="AB102" s="1" t="s">
        <v>986</v>
      </c>
      <c r="AE102" s="1" t="s">
        <v>996</v>
      </c>
    </row>
    <row r="103" spans="1:31">
      <c r="A103" s="1" t="s">
        <v>182</v>
      </c>
      <c r="B103" s="1" t="s">
        <v>183</v>
      </c>
      <c r="C103" s="60">
        <v>45877</v>
      </c>
      <c r="D103" s="1" t="s">
        <v>44</v>
      </c>
      <c r="E103" s="1" t="s">
        <v>74</v>
      </c>
      <c r="F103" s="1">
        <v>2025</v>
      </c>
      <c r="G103" s="1" t="s">
        <v>185</v>
      </c>
      <c r="H103" s="1" t="s">
        <v>147</v>
      </c>
      <c r="I103" s="1">
        <v>42.9</v>
      </c>
      <c r="J103" s="1">
        <v>-125</v>
      </c>
      <c r="K103" s="1">
        <v>1996</v>
      </c>
      <c r="L103" s="1">
        <v>2023</v>
      </c>
      <c r="M103" s="1">
        <f t="shared" si="1"/>
        <v>28</v>
      </c>
      <c r="N103" s="1" t="s">
        <v>30</v>
      </c>
      <c r="O103" s="1" t="s">
        <v>205</v>
      </c>
      <c r="P103" s="1" t="s">
        <v>788</v>
      </c>
      <c r="Q103" s="1" t="s">
        <v>287</v>
      </c>
      <c r="R103" s="1" t="s">
        <v>1328</v>
      </c>
      <c r="V103" s="1" t="s">
        <v>1013</v>
      </c>
      <c r="Y103" s="1" t="s">
        <v>40</v>
      </c>
      <c r="Z103" s="1" t="s">
        <v>40</v>
      </c>
      <c r="AA103" s="1" t="s">
        <v>188</v>
      </c>
      <c r="AB103" s="1" t="s">
        <v>986</v>
      </c>
      <c r="AC103" s="1" t="s">
        <v>996</v>
      </c>
    </row>
    <row r="104" spans="1:31">
      <c r="A104" s="1" t="s">
        <v>182</v>
      </c>
      <c r="B104" s="1" t="s">
        <v>183</v>
      </c>
      <c r="C104" s="60">
        <v>45877</v>
      </c>
      <c r="D104" s="1" t="s">
        <v>44</v>
      </c>
      <c r="E104" s="1" t="s">
        <v>74</v>
      </c>
      <c r="F104" s="1">
        <v>2025</v>
      </c>
      <c r="G104" s="1" t="s">
        <v>185</v>
      </c>
      <c r="H104" s="1" t="s">
        <v>147</v>
      </c>
      <c r="I104" s="1">
        <v>42.9</v>
      </c>
      <c r="J104" s="1">
        <v>-125</v>
      </c>
      <c r="K104" s="1">
        <v>1996</v>
      </c>
      <c r="L104" s="1">
        <v>2023</v>
      </c>
      <c r="M104" s="1">
        <f t="shared" si="1"/>
        <v>28</v>
      </c>
      <c r="N104" s="1" t="s">
        <v>30</v>
      </c>
      <c r="O104" s="1" t="s">
        <v>205</v>
      </c>
      <c r="P104" s="1" t="s">
        <v>788</v>
      </c>
      <c r="Q104" s="1" t="s">
        <v>967</v>
      </c>
      <c r="R104" s="1" t="s">
        <v>1328</v>
      </c>
      <c r="V104" s="1" t="s">
        <v>1013</v>
      </c>
      <c r="Y104" s="1" t="s">
        <v>40</v>
      </c>
      <c r="Z104" s="1" t="s">
        <v>40</v>
      </c>
      <c r="AA104" s="1" t="s">
        <v>188</v>
      </c>
      <c r="AB104" s="1" t="s">
        <v>986</v>
      </c>
    </row>
    <row r="105" spans="1:31">
      <c r="A105" s="1" t="s">
        <v>182</v>
      </c>
      <c r="B105" s="1" t="s">
        <v>183</v>
      </c>
      <c r="C105" s="60">
        <v>45877</v>
      </c>
      <c r="D105" s="1" t="s">
        <v>44</v>
      </c>
      <c r="E105" s="1" t="s">
        <v>74</v>
      </c>
      <c r="F105" s="1">
        <v>2025</v>
      </c>
      <c r="G105" s="1" t="s">
        <v>185</v>
      </c>
      <c r="H105" s="1" t="s">
        <v>147</v>
      </c>
      <c r="I105" s="1">
        <v>42.9</v>
      </c>
      <c r="J105" s="1">
        <v>-125</v>
      </c>
      <c r="K105" s="1">
        <v>1996</v>
      </c>
      <c r="L105" s="1">
        <v>2023</v>
      </c>
      <c r="M105" s="1">
        <f t="shared" si="1"/>
        <v>28</v>
      </c>
      <c r="N105" s="1" t="s">
        <v>30</v>
      </c>
      <c r="O105" s="1" t="s">
        <v>205</v>
      </c>
      <c r="P105" s="1" t="s">
        <v>788</v>
      </c>
      <c r="Q105" s="1" t="s">
        <v>970</v>
      </c>
      <c r="R105" s="1" t="s">
        <v>1328</v>
      </c>
      <c r="V105" s="1" t="s">
        <v>1013</v>
      </c>
      <c r="Y105" s="1" t="s">
        <v>40</v>
      </c>
      <c r="Z105" s="1" t="s">
        <v>40</v>
      </c>
      <c r="AA105" s="1" t="s">
        <v>188</v>
      </c>
      <c r="AB105" s="1" t="s">
        <v>986</v>
      </c>
    </row>
    <row r="106" spans="1:31">
      <c r="A106" s="1" t="s">
        <v>182</v>
      </c>
      <c r="B106" s="1" t="s">
        <v>183</v>
      </c>
      <c r="C106" s="60">
        <v>45877</v>
      </c>
      <c r="D106" s="1" t="s">
        <v>44</v>
      </c>
      <c r="E106" s="1" t="s">
        <v>74</v>
      </c>
      <c r="F106" s="1">
        <v>2025</v>
      </c>
      <c r="G106" s="1" t="s">
        <v>185</v>
      </c>
      <c r="H106" s="1" t="s">
        <v>147</v>
      </c>
      <c r="I106" s="1">
        <v>42.9</v>
      </c>
      <c r="J106" s="1">
        <v>-125</v>
      </c>
      <c r="K106" s="1">
        <v>1996</v>
      </c>
      <c r="L106" s="1">
        <v>2023</v>
      </c>
      <c r="M106" s="1">
        <f t="shared" si="1"/>
        <v>28</v>
      </c>
      <c r="N106" s="1" t="s">
        <v>30</v>
      </c>
      <c r="O106" s="1" t="s">
        <v>205</v>
      </c>
      <c r="P106" s="1" t="s">
        <v>788</v>
      </c>
      <c r="Q106" s="1" t="s">
        <v>971</v>
      </c>
      <c r="R106" s="1" t="s">
        <v>1328</v>
      </c>
      <c r="V106" s="1" t="s">
        <v>1013</v>
      </c>
      <c r="Y106" s="1" t="s">
        <v>40</v>
      </c>
      <c r="Z106" s="1" t="s">
        <v>40</v>
      </c>
      <c r="AA106" s="1" t="s">
        <v>188</v>
      </c>
      <c r="AB106" s="1" t="s">
        <v>986</v>
      </c>
    </row>
    <row r="107" spans="1:31">
      <c r="A107" s="1" t="s">
        <v>182</v>
      </c>
      <c r="B107" s="1" t="s">
        <v>183</v>
      </c>
      <c r="C107" s="60">
        <v>45877</v>
      </c>
      <c r="D107" s="1" t="s">
        <v>44</v>
      </c>
      <c r="E107" s="1" t="s">
        <v>74</v>
      </c>
      <c r="F107" s="1">
        <v>2025</v>
      </c>
      <c r="G107" s="1" t="s">
        <v>185</v>
      </c>
      <c r="H107" s="1" t="s">
        <v>147</v>
      </c>
      <c r="I107" s="1">
        <v>42.9</v>
      </c>
      <c r="J107" s="1">
        <v>-125</v>
      </c>
      <c r="K107" s="1">
        <v>1996</v>
      </c>
      <c r="L107" s="1">
        <v>2023</v>
      </c>
      <c r="M107" s="1">
        <f t="shared" si="1"/>
        <v>28</v>
      </c>
      <c r="N107" s="1" t="s">
        <v>30</v>
      </c>
      <c r="O107" s="1" t="s">
        <v>205</v>
      </c>
      <c r="P107" s="1" t="s">
        <v>788</v>
      </c>
      <c r="Q107" s="1" t="s">
        <v>288</v>
      </c>
      <c r="R107" s="1" t="s">
        <v>1328</v>
      </c>
      <c r="V107" s="1" t="s">
        <v>1013</v>
      </c>
      <c r="Y107" s="1" t="s">
        <v>40</v>
      </c>
      <c r="Z107" s="1" t="s">
        <v>40</v>
      </c>
      <c r="AA107" s="1" t="s">
        <v>188</v>
      </c>
      <c r="AB107" s="1" t="s">
        <v>986</v>
      </c>
    </row>
    <row r="108" spans="1:31">
      <c r="A108" s="1" t="s">
        <v>182</v>
      </c>
      <c r="B108" s="1" t="s">
        <v>183</v>
      </c>
      <c r="C108" s="60">
        <v>45877</v>
      </c>
      <c r="D108" s="1" t="s">
        <v>44</v>
      </c>
      <c r="E108" s="1" t="s">
        <v>74</v>
      </c>
      <c r="F108" s="1">
        <v>2025</v>
      </c>
      <c r="G108" s="1" t="s">
        <v>185</v>
      </c>
      <c r="H108" s="1" t="s">
        <v>147</v>
      </c>
      <c r="I108" s="1">
        <v>42.9</v>
      </c>
      <c r="J108" s="1">
        <v>-125</v>
      </c>
      <c r="K108" s="1">
        <v>1996</v>
      </c>
      <c r="L108" s="1">
        <v>2023</v>
      </c>
      <c r="M108" s="1">
        <f t="shared" si="1"/>
        <v>28</v>
      </c>
      <c r="N108" s="1" t="s">
        <v>30</v>
      </c>
      <c r="O108" s="1" t="s">
        <v>205</v>
      </c>
      <c r="P108" s="1" t="s">
        <v>788</v>
      </c>
      <c r="Q108" s="1" t="s">
        <v>972</v>
      </c>
      <c r="R108" s="1" t="s">
        <v>1328</v>
      </c>
      <c r="V108" s="1" t="s">
        <v>1013</v>
      </c>
      <c r="Y108" s="1" t="s">
        <v>40</v>
      </c>
      <c r="Z108" s="1" t="s">
        <v>40</v>
      </c>
      <c r="AA108" s="1" t="s">
        <v>188</v>
      </c>
      <c r="AB108" s="1" t="s">
        <v>986</v>
      </c>
    </row>
    <row r="109" spans="1:31">
      <c r="A109" s="1" t="s">
        <v>182</v>
      </c>
      <c r="B109" s="1" t="s">
        <v>183</v>
      </c>
      <c r="C109" s="60">
        <v>45877</v>
      </c>
      <c r="D109" s="1" t="s">
        <v>44</v>
      </c>
      <c r="E109" s="1" t="s">
        <v>74</v>
      </c>
      <c r="F109" s="1">
        <v>2025</v>
      </c>
      <c r="G109" s="1" t="s">
        <v>185</v>
      </c>
      <c r="H109" s="1" t="s">
        <v>147</v>
      </c>
      <c r="I109" s="1">
        <v>42.9</v>
      </c>
      <c r="J109" s="1">
        <v>-125</v>
      </c>
      <c r="K109" s="1">
        <v>1996</v>
      </c>
      <c r="L109" s="1">
        <v>2023</v>
      </c>
      <c r="M109" s="1">
        <f t="shared" si="1"/>
        <v>28</v>
      </c>
      <c r="N109" s="1" t="s">
        <v>30</v>
      </c>
      <c r="O109" s="1" t="s">
        <v>205</v>
      </c>
      <c r="P109" s="1" t="s">
        <v>788</v>
      </c>
      <c r="Q109" s="1" t="s">
        <v>299</v>
      </c>
      <c r="R109" s="1" t="s">
        <v>1328</v>
      </c>
      <c r="V109" s="1" t="s">
        <v>1013</v>
      </c>
      <c r="Y109" s="1" t="s">
        <v>40</v>
      </c>
      <c r="Z109" s="1" t="s">
        <v>40</v>
      </c>
      <c r="AA109" s="1" t="s">
        <v>188</v>
      </c>
      <c r="AB109" s="1" t="s">
        <v>986</v>
      </c>
    </row>
    <row r="110" spans="1:31">
      <c r="A110" s="1" t="s">
        <v>182</v>
      </c>
      <c r="B110" s="1" t="s">
        <v>183</v>
      </c>
      <c r="C110" s="60">
        <v>45877</v>
      </c>
      <c r="D110" s="1" t="s">
        <v>44</v>
      </c>
      <c r="E110" s="1" t="s">
        <v>74</v>
      </c>
      <c r="F110" s="1">
        <v>2025</v>
      </c>
      <c r="G110" s="1" t="s">
        <v>185</v>
      </c>
      <c r="H110" s="1" t="s">
        <v>147</v>
      </c>
      <c r="I110" s="1">
        <v>42.9</v>
      </c>
      <c r="J110" s="1">
        <v>-125</v>
      </c>
      <c r="K110" s="1">
        <v>1996</v>
      </c>
      <c r="L110" s="1">
        <v>2023</v>
      </c>
      <c r="M110" s="1">
        <f t="shared" si="1"/>
        <v>28</v>
      </c>
      <c r="N110" s="1" t="s">
        <v>30</v>
      </c>
      <c r="O110" s="1" t="s">
        <v>205</v>
      </c>
      <c r="P110" s="1" t="s">
        <v>788</v>
      </c>
      <c r="Q110" s="1" t="s">
        <v>295</v>
      </c>
      <c r="R110" s="1" t="s">
        <v>1328</v>
      </c>
      <c r="V110" s="1" t="s">
        <v>1013</v>
      </c>
      <c r="Y110" s="1" t="s">
        <v>40</v>
      </c>
      <c r="Z110" s="1" t="s">
        <v>40</v>
      </c>
      <c r="AA110" s="1" t="s">
        <v>188</v>
      </c>
      <c r="AB110" s="1" t="s">
        <v>986</v>
      </c>
    </row>
    <row r="111" spans="1:31">
      <c r="A111" s="1" t="s">
        <v>182</v>
      </c>
      <c r="B111" s="1" t="s">
        <v>183</v>
      </c>
      <c r="C111" s="60">
        <v>45877</v>
      </c>
      <c r="D111" s="1" t="s">
        <v>44</v>
      </c>
      <c r="E111" s="1" t="s">
        <v>74</v>
      </c>
      <c r="F111" s="1">
        <v>2025</v>
      </c>
      <c r="G111" s="1" t="s">
        <v>185</v>
      </c>
      <c r="H111" s="1" t="s">
        <v>147</v>
      </c>
      <c r="I111" s="1">
        <v>42.9</v>
      </c>
      <c r="J111" s="1">
        <v>-125</v>
      </c>
      <c r="K111" s="1">
        <v>1996</v>
      </c>
      <c r="L111" s="1">
        <v>2023</v>
      </c>
      <c r="M111" s="1">
        <f t="shared" si="1"/>
        <v>28</v>
      </c>
      <c r="N111" s="1" t="s">
        <v>30</v>
      </c>
      <c r="O111" s="1" t="s">
        <v>205</v>
      </c>
      <c r="P111" s="1" t="s">
        <v>788</v>
      </c>
      <c r="Q111" s="1" t="s">
        <v>316</v>
      </c>
      <c r="R111" s="1" t="s">
        <v>1328</v>
      </c>
      <c r="V111" s="1" t="s">
        <v>1013</v>
      </c>
      <c r="Y111" s="1" t="s">
        <v>40</v>
      </c>
      <c r="Z111" s="1" t="s">
        <v>40</v>
      </c>
      <c r="AA111" s="1" t="s">
        <v>188</v>
      </c>
      <c r="AB111" s="1" t="s">
        <v>986</v>
      </c>
    </row>
    <row r="112" spans="1:31">
      <c r="A112" s="1" t="s">
        <v>182</v>
      </c>
      <c r="B112" s="1" t="s">
        <v>183</v>
      </c>
      <c r="C112" s="60">
        <v>45877</v>
      </c>
      <c r="D112" s="1" t="s">
        <v>44</v>
      </c>
      <c r="E112" s="1" t="s">
        <v>74</v>
      </c>
      <c r="F112" s="1">
        <v>2025</v>
      </c>
      <c r="G112" s="1" t="s">
        <v>185</v>
      </c>
      <c r="H112" s="1" t="s">
        <v>147</v>
      </c>
      <c r="I112" s="1">
        <v>42.9</v>
      </c>
      <c r="J112" s="1">
        <v>-125</v>
      </c>
      <c r="K112" s="1">
        <v>1996</v>
      </c>
      <c r="L112" s="1">
        <v>2023</v>
      </c>
      <c r="M112" s="1">
        <f t="shared" si="1"/>
        <v>28</v>
      </c>
      <c r="N112" s="1" t="s">
        <v>30</v>
      </c>
      <c r="O112" s="1" t="s">
        <v>205</v>
      </c>
      <c r="P112" s="1" t="s">
        <v>788</v>
      </c>
      <c r="Q112" s="1" t="s">
        <v>357</v>
      </c>
      <c r="R112" s="1" t="s">
        <v>1328</v>
      </c>
      <c r="V112" s="1" t="s">
        <v>1013</v>
      </c>
      <c r="Y112" s="1" t="s">
        <v>40</v>
      </c>
      <c r="Z112" s="1" t="s">
        <v>40</v>
      </c>
      <c r="AA112" s="1" t="s">
        <v>188</v>
      </c>
      <c r="AB112" s="1" t="s">
        <v>986</v>
      </c>
    </row>
    <row r="113" spans="1:28">
      <c r="A113" s="1" t="s">
        <v>182</v>
      </c>
      <c r="B113" s="1" t="s">
        <v>183</v>
      </c>
      <c r="C113" s="60">
        <v>45877</v>
      </c>
      <c r="D113" s="1" t="s">
        <v>44</v>
      </c>
      <c r="E113" s="1" t="s">
        <v>74</v>
      </c>
      <c r="F113" s="1">
        <v>2025</v>
      </c>
      <c r="G113" s="1" t="s">
        <v>185</v>
      </c>
      <c r="H113" s="1" t="s">
        <v>147</v>
      </c>
      <c r="I113" s="1">
        <v>42.9</v>
      </c>
      <c r="J113" s="1">
        <v>-125</v>
      </c>
      <c r="K113" s="1">
        <v>1996</v>
      </c>
      <c r="L113" s="1">
        <v>2023</v>
      </c>
      <c r="M113" s="1">
        <f t="shared" si="1"/>
        <v>28</v>
      </c>
      <c r="N113" s="1" t="s">
        <v>30</v>
      </c>
      <c r="O113" s="1" t="s">
        <v>205</v>
      </c>
      <c r="P113" s="1" t="s">
        <v>788</v>
      </c>
      <c r="Q113" s="1" t="s">
        <v>973</v>
      </c>
      <c r="R113" s="1" t="s">
        <v>1328</v>
      </c>
      <c r="V113" s="1" t="s">
        <v>1013</v>
      </c>
      <c r="Y113" s="1" t="s">
        <v>40</v>
      </c>
      <c r="Z113" s="1" t="s">
        <v>40</v>
      </c>
      <c r="AA113" s="1" t="s">
        <v>188</v>
      </c>
      <c r="AB113" s="1" t="s">
        <v>986</v>
      </c>
    </row>
    <row r="114" spans="1:28">
      <c r="A114" s="1" t="s">
        <v>182</v>
      </c>
      <c r="B114" s="1" t="s">
        <v>183</v>
      </c>
      <c r="C114" s="60">
        <v>45877</v>
      </c>
      <c r="D114" s="1" t="s">
        <v>44</v>
      </c>
      <c r="E114" s="1" t="s">
        <v>74</v>
      </c>
      <c r="F114" s="1">
        <v>2025</v>
      </c>
      <c r="G114" s="1" t="s">
        <v>185</v>
      </c>
      <c r="H114" s="1" t="s">
        <v>147</v>
      </c>
      <c r="I114" s="1">
        <v>42.9</v>
      </c>
      <c r="J114" s="1">
        <v>-125</v>
      </c>
      <c r="K114" s="1">
        <v>1996</v>
      </c>
      <c r="L114" s="1">
        <v>2023</v>
      </c>
      <c r="M114" s="1">
        <f t="shared" si="1"/>
        <v>28</v>
      </c>
      <c r="N114" s="1" t="s">
        <v>30</v>
      </c>
      <c r="O114" s="1" t="s">
        <v>205</v>
      </c>
      <c r="P114" s="1" t="s">
        <v>788</v>
      </c>
      <c r="Q114" s="1" t="s">
        <v>974</v>
      </c>
      <c r="R114" s="1" t="s">
        <v>1328</v>
      </c>
      <c r="V114" s="1" t="s">
        <v>1013</v>
      </c>
      <c r="Y114" s="1" t="s">
        <v>40</v>
      </c>
      <c r="Z114" s="1" t="s">
        <v>40</v>
      </c>
      <c r="AA114" s="1" t="s">
        <v>188</v>
      </c>
      <c r="AB114" s="1" t="s">
        <v>986</v>
      </c>
    </row>
    <row r="115" spans="1:28">
      <c r="A115" s="1" t="s">
        <v>182</v>
      </c>
      <c r="B115" s="1" t="s">
        <v>183</v>
      </c>
      <c r="C115" s="60">
        <v>45877</v>
      </c>
      <c r="D115" s="1" t="s">
        <v>44</v>
      </c>
      <c r="E115" s="1" t="s">
        <v>74</v>
      </c>
      <c r="F115" s="1">
        <v>2025</v>
      </c>
      <c r="G115" s="1" t="s">
        <v>185</v>
      </c>
      <c r="H115" s="1" t="s">
        <v>147</v>
      </c>
      <c r="I115" s="1">
        <v>42.9</v>
      </c>
      <c r="J115" s="1">
        <v>-125</v>
      </c>
      <c r="K115" s="1">
        <v>1996</v>
      </c>
      <c r="L115" s="1">
        <v>2023</v>
      </c>
      <c r="M115" s="1">
        <f t="shared" si="1"/>
        <v>28</v>
      </c>
      <c r="N115" s="1" t="s">
        <v>30</v>
      </c>
      <c r="O115" s="1" t="s">
        <v>205</v>
      </c>
      <c r="P115" s="1" t="s">
        <v>788</v>
      </c>
      <c r="Q115" s="1" t="s">
        <v>976</v>
      </c>
      <c r="R115" s="1" t="s">
        <v>1328</v>
      </c>
      <c r="V115" s="1" t="s">
        <v>1013</v>
      </c>
      <c r="Y115" s="1" t="s">
        <v>40</v>
      </c>
      <c r="Z115" s="1" t="s">
        <v>40</v>
      </c>
      <c r="AA115" s="1" t="s">
        <v>188</v>
      </c>
      <c r="AB115" s="1" t="s">
        <v>986</v>
      </c>
    </row>
    <row r="116" spans="1:28">
      <c r="A116" s="1" t="s">
        <v>182</v>
      </c>
      <c r="B116" s="1" t="s">
        <v>183</v>
      </c>
      <c r="C116" s="60">
        <v>45877</v>
      </c>
      <c r="D116" s="1" t="s">
        <v>44</v>
      </c>
      <c r="E116" s="1" t="s">
        <v>74</v>
      </c>
      <c r="F116" s="1">
        <v>2025</v>
      </c>
      <c r="G116" s="1" t="s">
        <v>185</v>
      </c>
      <c r="H116" s="1" t="s">
        <v>147</v>
      </c>
      <c r="I116" s="1">
        <v>42.9</v>
      </c>
      <c r="J116" s="1">
        <v>-125</v>
      </c>
      <c r="K116" s="1">
        <v>1996</v>
      </c>
      <c r="L116" s="1">
        <v>2023</v>
      </c>
      <c r="M116" s="1">
        <f t="shared" si="1"/>
        <v>28</v>
      </c>
      <c r="N116" s="1" t="s">
        <v>30</v>
      </c>
      <c r="O116" s="1" t="s">
        <v>205</v>
      </c>
      <c r="P116" s="1" t="s">
        <v>788</v>
      </c>
      <c r="Q116" s="1" t="s">
        <v>354</v>
      </c>
      <c r="R116" s="1" t="s">
        <v>1328</v>
      </c>
      <c r="V116" s="1" t="s">
        <v>1013</v>
      </c>
      <c r="Y116" s="1" t="s">
        <v>40</v>
      </c>
      <c r="Z116" s="1" t="s">
        <v>40</v>
      </c>
      <c r="AA116" s="1" t="s">
        <v>188</v>
      </c>
      <c r="AB116" s="1" t="s">
        <v>986</v>
      </c>
    </row>
    <row r="117" spans="1:28">
      <c r="A117" s="1" t="s">
        <v>182</v>
      </c>
      <c r="B117" s="1" t="s">
        <v>183</v>
      </c>
      <c r="C117" s="60">
        <v>45877</v>
      </c>
      <c r="D117" s="1" t="s">
        <v>44</v>
      </c>
      <c r="E117" s="1" t="s">
        <v>74</v>
      </c>
      <c r="F117" s="1">
        <v>2025</v>
      </c>
      <c r="G117" s="1" t="s">
        <v>185</v>
      </c>
      <c r="H117" s="1" t="s">
        <v>147</v>
      </c>
      <c r="I117" s="1">
        <v>42.9</v>
      </c>
      <c r="J117" s="1">
        <v>-125</v>
      </c>
      <c r="K117" s="1">
        <v>1996</v>
      </c>
      <c r="L117" s="1">
        <v>2023</v>
      </c>
      <c r="M117" s="1">
        <f t="shared" si="1"/>
        <v>28</v>
      </c>
      <c r="N117" s="1" t="s">
        <v>30</v>
      </c>
      <c r="O117" s="1" t="s">
        <v>205</v>
      </c>
      <c r="P117" s="1" t="s">
        <v>788</v>
      </c>
      <c r="Q117" s="1" t="s">
        <v>981</v>
      </c>
      <c r="R117" s="1" t="s">
        <v>1328</v>
      </c>
      <c r="V117" s="1" t="s">
        <v>1013</v>
      </c>
      <c r="Y117" s="1" t="s">
        <v>40</v>
      </c>
      <c r="Z117" s="1" t="s">
        <v>40</v>
      </c>
      <c r="AA117" s="1" t="s">
        <v>188</v>
      </c>
      <c r="AB117" s="1" t="s">
        <v>986</v>
      </c>
    </row>
    <row r="118" spans="1:28">
      <c r="A118" s="1" t="s">
        <v>182</v>
      </c>
      <c r="B118" s="1" t="s">
        <v>183</v>
      </c>
      <c r="C118" s="60">
        <v>45877</v>
      </c>
      <c r="D118" s="1" t="s">
        <v>44</v>
      </c>
      <c r="E118" s="1" t="s">
        <v>74</v>
      </c>
      <c r="F118" s="1">
        <v>2025</v>
      </c>
      <c r="G118" s="1" t="s">
        <v>185</v>
      </c>
      <c r="H118" s="1" t="s">
        <v>147</v>
      </c>
      <c r="I118" s="1">
        <v>42.9</v>
      </c>
      <c r="J118" s="1">
        <v>-125</v>
      </c>
      <c r="K118" s="1">
        <v>1996</v>
      </c>
      <c r="L118" s="1">
        <v>2023</v>
      </c>
      <c r="M118" s="1">
        <f t="shared" si="1"/>
        <v>28</v>
      </c>
      <c r="N118" s="1" t="s">
        <v>30</v>
      </c>
      <c r="O118" s="1" t="s">
        <v>205</v>
      </c>
      <c r="P118" s="1" t="s">
        <v>788</v>
      </c>
      <c r="Q118" s="1" t="s">
        <v>319</v>
      </c>
      <c r="R118" s="1" t="s">
        <v>1328</v>
      </c>
      <c r="V118" s="1" t="s">
        <v>1013</v>
      </c>
      <c r="Y118" s="1" t="s">
        <v>40</v>
      </c>
      <c r="Z118" s="1" t="s">
        <v>40</v>
      </c>
      <c r="AA118" s="1" t="s">
        <v>188</v>
      </c>
      <c r="AB118" s="1" t="s">
        <v>986</v>
      </c>
    </row>
    <row r="119" spans="1:28">
      <c r="A119" s="1" t="s">
        <v>182</v>
      </c>
      <c r="B119" s="1" t="s">
        <v>183</v>
      </c>
      <c r="C119" s="60">
        <v>45877</v>
      </c>
      <c r="D119" s="1" t="s">
        <v>44</v>
      </c>
      <c r="E119" s="1" t="s">
        <v>74</v>
      </c>
      <c r="F119" s="1">
        <v>2025</v>
      </c>
      <c r="G119" s="1" t="s">
        <v>185</v>
      </c>
      <c r="H119" s="1" t="s">
        <v>147</v>
      </c>
      <c r="I119" s="1">
        <v>42.9</v>
      </c>
      <c r="J119" s="1">
        <v>-125</v>
      </c>
      <c r="K119" s="1">
        <v>1996</v>
      </c>
      <c r="L119" s="1">
        <v>2023</v>
      </c>
      <c r="M119" s="1">
        <f t="shared" si="1"/>
        <v>28</v>
      </c>
      <c r="N119" s="1" t="s">
        <v>30</v>
      </c>
      <c r="O119" s="1" t="s">
        <v>205</v>
      </c>
      <c r="P119" s="1" t="s">
        <v>788</v>
      </c>
      <c r="Q119" s="1" t="s">
        <v>296</v>
      </c>
      <c r="R119" s="1" t="s">
        <v>1328</v>
      </c>
      <c r="V119" s="1" t="s">
        <v>1013</v>
      </c>
      <c r="Y119" s="1" t="s">
        <v>40</v>
      </c>
      <c r="Z119" s="1" t="s">
        <v>40</v>
      </c>
      <c r="AA119" s="1" t="s">
        <v>188</v>
      </c>
      <c r="AB119" s="1" t="s">
        <v>986</v>
      </c>
    </row>
    <row r="120" spans="1:28">
      <c r="A120" s="1" t="s">
        <v>182</v>
      </c>
      <c r="B120" s="1" t="s">
        <v>183</v>
      </c>
      <c r="C120" s="60">
        <v>45877</v>
      </c>
      <c r="D120" s="1" t="s">
        <v>44</v>
      </c>
      <c r="E120" s="1" t="s">
        <v>74</v>
      </c>
      <c r="F120" s="1">
        <v>2025</v>
      </c>
      <c r="G120" s="1" t="s">
        <v>185</v>
      </c>
      <c r="H120" s="1" t="s">
        <v>147</v>
      </c>
      <c r="I120" s="1">
        <v>42.9</v>
      </c>
      <c r="J120" s="1">
        <v>-125</v>
      </c>
      <c r="K120" s="1">
        <v>1996</v>
      </c>
      <c r="L120" s="1">
        <v>2023</v>
      </c>
      <c r="M120" s="1">
        <f t="shared" si="1"/>
        <v>28</v>
      </c>
      <c r="N120" s="1" t="s">
        <v>30</v>
      </c>
      <c r="O120" s="1" t="s">
        <v>205</v>
      </c>
      <c r="P120" s="1" t="s">
        <v>788</v>
      </c>
      <c r="Q120" s="1" t="s">
        <v>983</v>
      </c>
      <c r="R120" s="1" t="s">
        <v>1328</v>
      </c>
      <c r="V120" s="1" t="s">
        <v>1013</v>
      </c>
      <c r="Y120" s="1" t="s">
        <v>40</v>
      </c>
      <c r="Z120" s="1" t="s">
        <v>40</v>
      </c>
      <c r="AA120" s="1" t="s">
        <v>188</v>
      </c>
      <c r="AB120" s="1" t="s">
        <v>986</v>
      </c>
    </row>
    <row r="121" spans="1:28">
      <c r="A121" s="1" t="s">
        <v>182</v>
      </c>
      <c r="B121" s="1" t="s">
        <v>183</v>
      </c>
      <c r="C121" s="60">
        <v>45877</v>
      </c>
      <c r="D121" s="1" t="s">
        <v>44</v>
      </c>
      <c r="E121" s="1" t="s">
        <v>74</v>
      </c>
      <c r="F121" s="1">
        <v>2025</v>
      </c>
      <c r="G121" s="1" t="s">
        <v>185</v>
      </c>
      <c r="H121" s="1" t="s">
        <v>147</v>
      </c>
      <c r="I121" s="1">
        <v>42.9</v>
      </c>
      <c r="J121" s="1">
        <v>-125</v>
      </c>
      <c r="K121" s="1">
        <v>1996</v>
      </c>
      <c r="L121" s="1">
        <v>2023</v>
      </c>
      <c r="M121" s="1">
        <f t="shared" si="1"/>
        <v>28</v>
      </c>
      <c r="N121" s="1" t="s">
        <v>30</v>
      </c>
      <c r="O121" s="1" t="s">
        <v>205</v>
      </c>
      <c r="P121" s="1" t="s">
        <v>788</v>
      </c>
      <c r="Q121" s="1" t="s">
        <v>290</v>
      </c>
      <c r="R121" s="1" t="s">
        <v>1328</v>
      </c>
      <c r="V121" s="1" t="s">
        <v>1013</v>
      </c>
      <c r="Y121" s="1" t="s">
        <v>40</v>
      </c>
      <c r="Z121" s="1" t="s">
        <v>40</v>
      </c>
      <c r="AA121" s="1" t="s">
        <v>188</v>
      </c>
      <c r="AB121" s="1" t="s">
        <v>986</v>
      </c>
    </row>
    <row r="122" spans="1:28">
      <c r="A122" s="1" t="s">
        <v>182</v>
      </c>
      <c r="B122" s="1" t="s">
        <v>183</v>
      </c>
      <c r="C122" s="60">
        <v>45877</v>
      </c>
      <c r="D122" s="1" t="s">
        <v>44</v>
      </c>
      <c r="E122" s="1" t="s">
        <v>74</v>
      </c>
      <c r="F122" s="1">
        <v>2025</v>
      </c>
      <c r="G122" s="1" t="s">
        <v>185</v>
      </c>
      <c r="H122" s="1" t="s">
        <v>147</v>
      </c>
      <c r="I122" s="1">
        <v>42.9</v>
      </c>
      <c r="J122" s="1">
        <v>-125</v>
      </c>
      <c r="K122" s="1">
        <v>1996</v>
      </c>
      <c r="L122" s="1">
        <v>2023</v>
      </c>
      <c r="M122" s="1">
        <f t="shared" si="1"/>
        <v>28</v>
      </c>
      <c r="N122" s="1" t="s">
        <v>30</v>
      </c>
      <c r="O122" s="1" t="s">
        <v>205</v>
      </c>
      <c r="P122" s="1" t="s">
        <v>788</v>
      </c>
      <c r="Q122" s="1" t="s">
        <v>987</v>
      </c>
      <c r="R122" s="1" t="s">
        <v>1328</v>
      </c>
      <c r="V122" s="1" t="s">
        <v>1013</v>
      </c>
      <c r="Y122" s="1" t="s">
        <v>40</v>
      </c>
      <c r="Z122" s="1" t="s">
        <v>40</v>
      </c>
      <c r="AA122" s="1" t="s">
        <v>188</v>
      </c>
      <c r="AB122" s="1" t="s">
        <v>986</v>
      </c>
    </row>
    <row r="123" spans="1:28">
      <c r="A123" s="1" t="s">
        <v>182</v>
      </c>
      <c r="B123" s="1" t="s">
        <v>183</v>
      </c>
      <c r="C123" s="60">
        <v>45877</v>
      </c>
      <c r="D123" s="1" t="s">
        <v>44</v>
      </c>
      <c r="E123" s="1" t="s">
        <v>74</v>
      </c>
      <c r="F123" s="1">
        <v>2025</v>
      </c>
      <c r="G123" s="1" t="s">
        <v>185</v>
      </c>
      <c r="H123" s="1" t="s">
        <v>147</v>
      </c>
      <c r="I123" s="1">
        <v>42.9</v>
      </c>
      <c r="J123" s="1">
        <v>-125</v>
      </c>
      <c r="K123" s="1">
        <v>1996</v>
      </c>
      <c r="L123" s="1">
        <v>2023</v>
      </c>
      <c r="M123" s="1">
        <f t="shared" si="1"/>
        <v>28</v>
      </c>
      <c r="N123" s="1" t="s">
        <v>30</v>
      </c>
      <c r="O123" s="1" t="s">
        <v>205</v>
      </c>
      <c r="P123" s="1" t="s">
        <v>788</v>
      </c>
      <c r="Q123" s="1" t="s">
        <v>308</v>
      </c>
      <c r="R123" s="1" t="s">
        <v>1328</v>
      </c>
      <c r="V123" s="1" t="s">
        <v>1013</v>
      </c>
      <c r="Y123" s="1" t="s">
        <v>40</v>
      </c>
      <c r="Z123" s="1" t="s">
        <v>40</v>
      </c>
      <c r="AA123" s="1" t="s">
        <v>188</v>
      </c>
      <c r="AB123" s="1" t="s">
        <v>986</v>
      </c>
    </row>
    <row r="124" spans="1:28">
      <c r="A124" s="1" t="s">
        <v>182</v>
      </c>
      <c r="B124" s="1" t="s">
        <v>183</v>
      </c>
      <c r="C124" s="60">
        <v>45877</v>
      </c>
      <c r="D124" s="1" t="s">
        <v>44</v>
      </c>
      <c r="E124" s="1" t="s">
        <v>74</v>
      </c>
      <c r="F124" s="1">
        <v>2025</v>
      </c>
      <c r="G124" s="1" t="s">
        <v>185</v>
      </c>
      <c r="H124" s="1" t="s">
        <v>147</v>
      </c>
      <c r="I124" s="1">
        <v>42.9</v>
      </c>
      <c r="J124" s="1">
        <v>-125</v>
      </c>
      <c r="K124" s="1">
        <v>1996</v>
      </c>
      <c r="L124" s="1">
        <v>2023</v>
      </c>
      <c r="M124" s="1">
        <f t="shared" si="1"/>
        <v>28</v>
      </c>
      <c r="N124" s="1" t="s">
        <v>30</v>
      </c>
      <c r="O124" s="1" t="s">
        <v>205</v>
      </c>
      <c r="P124" s="1" t="s">
        <v>788</v>
      </c>
      <c r="Q124" s="1" t="s">
        <v>989</v>
      </c>
      <c r="R124" s="1" t="s">
        <v>1328</v>
      </c>
      <c r="V124" s="1" t="s">
        <v>1013</v>
      </c>
      <c r="Y124" s="1" t="s">
        <v>40</v>
      </c>
      <c r="Z124" s="1" t="s">
        <v>40</v>
      </c>
      <c r="AA124" s="1" t="s">
        <v>188</v>
      </c>
      <c r="AB124" s="1" t="s">
        <v>986</v>
      </c>
    </row>
    <row r="125" spans="1:28">
      <c r="A125" s="1" t="s">
        <v>182</v>
      </c>
      <c r="B125" s="1" t="s">
        <v>183</v>
      </c>
      <c r="C125" s="60">
        <v>45877</v>
      </c>
      <c r="D125" s="1" t="s">
        <v>44</v>
      </c>
      <c r="E125" s="1" t="s">
        <v>74</v>
      </c>
      <c r="F125" s="1">
        <v>2025</v>
      </c>
      <c r="G125" s="1" t="s">
        <v>185</v>
      </c>
      <c r="H125" s="1" t="s">
        <v>147</v>
      </c>
      <c r="I125" s="1">
        <v>42.9</v>
      </c>
      <c r="J125" s="1">
        <v>-125</v>
      </c>
      <c r="K125" s="1">
        <v>1996</v>
      </c>
      <c r="L125" s="1">
        <v>2023</v>
      </c>
      <c r="M125" s="1">
        <f t="shared" si="1"/>
        <v>28</v>
      </c>
      <c r="N125" s="1" t="s">
        <v>30</v>
      </c>
      <c r="O125" s="1" t="s">
        <v>205</v>
      </c>
      <c r="P125" s="1" t="s">
        <v>788</v>
      </c>
      <c r="Q125" s="1" t="s">
        <v>990</v>
      </c>
      <c r="R125" s="1" t="s">
        <v>1328</v>
      </c>
      <c r="V125" s="1" t="s">
        <v>1013</v>
      </c>
      <c r="Y125" s="1" t="s">
        <v>40</v>
      </c>
      <c r="Z125" s="1" t="s">
        <v>40</v>
      </c>
      <c r="AA125" s="1" t="s">
        <v>188</v>
      </c>
      <c r="AB125" s="1" t="s">
        <v>986</v>
      </c>
    </row>
    <row r="126" spans="1:28">
      <c r="A126" s="1" t="s">
        <v>182</v>
      </c>
      <c r="B126" s="1" t="s">
        <v>183</v>
      </c>
      <c r="C126" s="60">
        <v>45877</v>
      </c>
      <c r="D126" s="1" t="s">
        <v>44</v>
      </c>
      <c r="E126" s="1" t="s">
        <v>74</v>
      </c>
      <c r="F126" s="1">
        <v>2025</v>
      </c>
      <c r="G126" s="1" t="s">
        <v>185</v>
      </c>
      <c r="H126" s="1" t="s">
        <v>147</v>
      </c>
      <c r="I126" s="1">
        <v>42.9</v>
      </c>
      <c r="J126" s="1">
        <v>-125</v>
      </c>
      <c r="K126" s="1">
        <v>1996</v>
      </c>
      <c r="L126" s="1">
        <v>2023</v>
      </c>
      <c r="M126" s="1">
        <f t="shared" si="1"/>
        <v>28</v>
      </c>
      <c r="N126" s="1" t="s">
        <v>30</v>
      </c>
      <c r="O126" s="1" t="s">
        <v>205</v>
      </c>
      <c r="P126" s="1" t="s">
        <v>788</v>
      </c>
      <c r="Q126" s="1" t="s">
        <v>991</v>
      </c>
      <c r="R126" s="1" t="s">
        <v>1328</v>
      </c>
      <c r="V126" s="1" t="s">
        <v>1013</v>
      </c>
      <c r="Y126" s="1" t="s">
        <v>40</v>
      </c>
      <c r="Z126" s="1" t="s">
        <v>40</v>
      </c>
      <c r="AA126" s="1" t="s">
        <v>188</v>
      </c>
      <c r="AB126" s="1" t="s">
        <v>986</v>
      </c>
    </row>
    <row r="127" spans="1:28">
      <c r="A127" s="1" t="s">
        <v>182</v>
      </c>
      <c r="B127" s="1" t="s">
        <v>183</v>
      </c>
      <c r="C127" s="60">
        <v>45877</v>
      </c>
      <c r="D127" s="1" t="s">
        <v>44</v>
      </c>
      <c r="E127" s="1" t="s">
        <v>74</v>
      </c>
      <c r="F127" s="1">
        <v>2025</v>
      </c>
      <c r="G127" s="1" t="s">
        <v>185</v>
      </c>
      <c r="H127" s="1" t="s">
        <v>147</v>
      </c>
      <c r="I127" s="1">
        <v>42.9</v>
      </c>
      <c r="J127" s="1">
        <v>-125</v>
      </c>
      <c r="K127" s="1">
        <v>1996</v>
      </c>
      <c r="L127" s="1">
        <v>2023</v>
      </c>
      <c r="M127" s="1">
        <f t="shared" si="1"/>
        <v>28</v>
      </c>
      <c r="N127" s="1" t="s">
        <v>30</v>
      </c>
      <c r="O127" s="1" t="s">
        <v>205</v>
      </c>
      <c r="P127" s="1" t="s">
        <v>788</v>
      </c>
      <c r="Q127" s="1" t="s">
        <v>366</v>
      </c>
      <c r="R127" s="1" t="s">
        <v>1328</v>
      </c>
      <c r="V127" s="1" t="s">
        <v>1013</v>
      </c>
      <c r="Y127" s="1" t="s">
        <v>40</v>
      </c>
      <c r="Z127" s="1" t="s">
        <v>40</v>
      </c>
      <c r="AA127" s="1" t="s">
        <v>188</v>
      </c>
      <c r="AB127" s="1" t="s">
        <v>986</v>
      </c>
    </row>
    <row r="128" spans="1:28">
      <c r="A128" s="1" t="s">
        <v>182</v>
      </c>
      <c r="B128" s="1" t="s">
        <v>183</v>
      </c>
      <c r="C128" s="60">
        <v>45877</v>
      </c>
      <c r="D128" s="1" t="s">
        <v>44</v>
      </c>
      <c r="E128" s="1" t="s">
        <v>74</v>
      </c>
      <c r="F128" s="1">
        <v>2025</v>
      </c>
      <c r="G128" s="1" t="s">
        <v>185</v>
      </c>
      <c r="H128" s="1" t="s">
        <v>147</v>
      </c>
      <c r="I128" s="1">
        <v>42.9</v>
      </c>
      <c r="J128" s="1">
        <v>-125</v>
      </c>
      <c r="K128" s="1">
        <v>1996</v>
      </c>
      <c r="L128" s="1">
        <v>2023</v>
      </c>
      <c r="M128" s="1">
        <f t="shared" si="1"/>
        <v>28</v>
      </c>
      <c r="N128" s="1" t="s">
        <v>30</v>
      </c>
      <c r="O128" s="1" t="s">
        <v>205</v>
      </c>
      <c r="P128" s="1" t="s">
        <v>788</v>
      </c>
      <c r="Q128" s="1" t="s">
        <v>323</v>
      </c>
      <c r="R128" s="1" t="s">
        <v>1328</v>
      </c>
      <c r="V128" s="1" t="s">
        <v>1013</v>
      </c>
      <c r="Y128" s="1" t="s">
        <v>40</v>
      </c>
      <c r="Z128" s="1" t="s">
        <v>40</v>
      </c>
      <c r="AA128" s="1" t="s">
        <v>188</v>
      </c>
      <c r="AB128" s="1" t="s">
        <v>986</v>
      </c>
    </row>
    <row r="129" spans="1:28">
      <c r="A129" s="1" t="s">
        <v>182</v>
      </c>
      <c r="B129" s="1" t="s">
        <v>183</v>
      </c>
      <c r="C129" s="60">
        <v>45877</v>
      </c>
      <c r="D129" s="1" t="s">
        <v>44</v>
      </c>
      <c r="E129" s="1" t="s">
        <v>74</v>
      </c>
      <c r="F129" s="1">
        <v>2025</v>
      </c>
      <c r="G129" s="1" t="s">
        <v>185</v>
      </c>
      <c r="H129" s="1" t="s">
        <v>147</v>
      </c>
      <c r="I129" s="1">
        <v>42.9</v>
      </c>
      <c r="J129" s="1">
        <v>-125</v>
      </c>
      <c r="K129" s="1">
        <v>1996</v>
      </c>
      <c r="L129" s="1">
        <v>2023</v>
      </c>
      <c r="M129" s="1">
        <f t="shared" si="1"/>
        <v>28</v>
      </c>
      <c r="N129" s="1" t="s">
        <v>30</v>
      </c>
      <c r="O129" s="1" t="s">
        <v>205</v>
      </c>
      <c r="P129" s="1" t="s">
        <v>788</v>
      </c>
      <c r="Q129" s="1" t="s">
        <v>993</v>
      </c>
      <c r="R129" s="1" t="s">
        <v>1328</v>
      </c>
      <c r="V129" s="1" t="s">
        <v>1013</v>
      </c>
      <c r="Y129" s="1" t="s">
        <v>40</v>
      </c>
      <c r="Z129" s="1" t="s">
        <v>40</v>
      </c>
      <c r="AA129" s="1" t="s">
        <v>188</v>
      </c>
      <c r="AB129" s="1" t="s">
        <v>986</v>
      </c>
    </row>
    <row r="130" spans="1:28">
      <c r="A130" s="1" t="s">
        <v>182</v>
      </c>
      <c r="B130" s="1" t="s">
        <v>183</v>
      </c>
      <c r="C130" s="60">
        <v>45877</v>
      </c>
      <c r="D130" s="1" t="s">
        <v>44</v>
      </c>
      <c r="E130" s="1" t="s">
        <v>74</v>
      </c>
      <c r="F130" s="1">
        <v>2025</v>
      </c>
      <c r="G130" s="1" t="s">
        <v>185</v>
      </c>
      <c r="H130" s="1" t="s">
        <v>147</v>
      </c>
      <c r="I130" s="1">
        <v>42.9</v>
      </c>
      <c r="J130" s="1">
        <v>-125</v>
      </c>
      <c r="K130" s="1">
        <v>1996</v>
      </c>
      <c r="L130" s="1">
        <v>2023</v>
      </c>
      <c r="M130" s="1">
        <f t="shared" ref="M130:M193" si="2">L130-K130+1</f>
        <v>28</v>
      </c>
      <c r="N130" s="1" t="s">
        <v>30</v>
      </c>
      <c r="O130" s="1" t="s">
        <v>205</v>
      </c>
      <c r="P130" s="1" t="s">
        <v>788</v>
      </c>
      <c r="Q130" s="1" t="s">
        <v>995</v>
      </c>
      <c r="R130" s="1" t="s">
        <v>1328</v>
      </c>
      <c r="V130" s="1" t="s">
        <v>1013</v>
      </c>
      <c r="Y130" s="1" t="s">
        <v>40</v>
      </c>
      <c r="Z130" s="1" t="s">
        <v>40</v>
      </c>
      <c r="AA130" s="1" t="s">
        <v>188</v>
      </c>
      <c r="AB130" s="1" t="s">
        <v>986</v>
      </c>
    </row>
    <row r="131" spans="1:28">
      <c r="A131" s="1" t="s">
        <v>182</v>
      </c>
      <c r="B131" s="1" t="s">
        <v>183</v>
      </c>
      <c r="C131" s="60">
        <v>45877</v>
      </c>
      <c r="D131" s="1" t="s">
        <v>44</v>
      </c>
      <c r="E131" s="1" t="s">
        <v>74</v>
      </c>
      <c r="F131" s="1">
        <v>2025</v>
      </c>
      <c r="G131" s="1" t="s">
        <v>185</v>
      </c>
      <c r="H131" s="1" t="s">
        <v>147</v>
      </c>
      <c r="I131" s="1">
        <v>42.9</v>
      </c>
      <c r="J131" s="1">
        <v>-125</v>
      </c>
      <c r="K131" s="1">
        <v>1996</v>
      </c>
      <c r="L131" s="1">
        <v>2023</v>
      </c>
      <c r="M131" s="1">
        <f t="shared" si="2"/>
        <v>28</v>
      </c>
      <c r="N131" s="1" t="s">
        <v>30</v>
      </c>
      <c r="O131" s="1" t="s">
        <v>205</v>
      </c>
      <c r="P131" s="1" t="s">
        <v>788</v>
      </c>
      <c r="Q131" s="1" t="s">
        <v>997</v>
      </c>
      <c r="R131" s="1" t="s">
        <v>1328</v>
      </c>
      <c r="V131" s="1" t="s">
        <v>1013</v>
      </c>
      <c r="Y131" s="1" t="s">
        <v>40</v>
      </c>
      <c r="Z131" s="1" t="s">
        <v>40</v>
      </c>
      <c r="AA131" s="1" t="s">
        <v>188</v>
      </c>
      <c r="AB131" s="1" t="s">
        <v>986</v>
      </c>
    </row>
    <row r="132" spans="1:28">
      <c r="A132" s="1" t="s">
        <v>182</v>
      </c>
      <c r="B132" s="1" t="s">
        <v>183</v>
      </c>
      <c r="C132" s="60">
        <v>45877</v>
      </c>
      <c r="D132" s="1" t="s">
        <v>44</v>
      </c>
      <c r="E132" s="1" t="s">
        <v>74</v>
      </c>
      <c r="F132" s="1">
        <v>2025</v>
      </c>
      <c r="G132" s="1" t="s">
        <v>185</v>
      </c>
      <c r="H132" s="1" t="s">
        <v>147</v>
      </c>
      <c r="I132" s="1">
        <v>42.9</v>
      </c>
      <c r="J132" s="1">
        <v>-125</v>
      </c>
      <c r="K132" s="1">
        <v>1996</v>
      </c>
      <c r="L132" s="1">
        <v>2023</v>
      </c>
      <c r="M132" s="1">
        <f t="shared" si="2"/>
        <v>28</v>
      </c>
      <c r="N132" s="1" t="s">
        <v>30</v>
      </c>
      <c r="O132" s="1" t="s">
        <v>205</v>
      </c>
      <c r="P132" s="1" t="s">
        <v>788</v>
      </c>
      <c r="Q132" s="1" t="s">
        <v>326</v>
      </c>
      <c r="R132" s="1" t="s">
        <v>1328</v>
      </c>
      <c r="V132" s="1" t="s">
        <v>1013</v>
      </c>
      <c r="Y132" s="1" t="s">
        <v>40</v>
      </c>
      <c r="Z132" s="1" t="s">
        <v>40</v>
      </c>
      <c r="AA132" s="1" t="s">
        <v>188</v>
      </c>
      <c r="AB132" s="1" t="s">
        <v>986</v>
      </c>
    </row>
    <row r="133" spans="1:28">
      <c r="A133" s="1" t="s">
        <v>182</v>
      </c>
      <c r="B133" s="1" t="s">
        <v>183</v>
      </c>
      <c r="C133" s="60">
        <v>45877</v>
      </c>
      <c r="D133" s="1" t="s">
        <v>44</v>
      </c>
      <c r="E133" s="1" t="s">
        <v>74</v>
      </c>
      <c r="F133" s="1">
        <v>2025</v>
      </c>
      <c r="G133" s="1" t="s">
        <v>185</v>
      </c>
      <c r="H133" s="1" t="s">
        <v>147</v>
      </c>
      <c r="I133" s="1">
        <v>42.9</v>
      </c>
      <c r="J133" s="1">
        <v>-125</v>
      </c>
      <c r="K133" s="1">
        <v>1996</v>
      </c>
      <c r="L133" s="1">
        <v>2023</v>
      </c>
      <c r="M133" s="1">
        <f t="shared" si="2"/>
        <v>28</v>
      </c>
      <c r="N133" s="1" t="s">
        <v>30</v>
      </c>
      <c r="O133" s="1" t="s">
        <v>205</v>
      </c>
      <c r="P133" s="1" t="s">
        <v>788</v>
      </c>
      <c r="Q133" s="1" t="s">
        <v>303</v>
      </c>
      <c r="R133" s="1" t="s">
        <v>1328</v>
      </c>
      <c r="V133" s="1" t="s">
        <v>1013</v>
      </c>
      <c r="Y133" s="1" t="s">
        <v>40</v>
      </c>
      <c r="Z133" s="1" t="s">
        <v>40</v>
      </c>
      <c r="AA133" s="1" t="s">
        <v>188</v>
      </c>
      <c r="AB133" s="1" t="s">
        <v>986</v>
      </c>
    </row>
    <row r="134" spans="1:28">
      <c r="A134" s="1" t="s">
        <v>182</v>
      </c>
      <c r="B134" s="1" t="s">
        <v>183</v>
      </c>
      <c r="C134" s="60">
        <v>45877</v>
      </c>
      <c r="D134" s="1" t="s">
        <v>44</v>
      </c>
      <c r="E134" s="1" t="s">
        <v>74</v>
      </c>
      <c r="F134" s="1">
        <v>2025</v>
      </c>
      <c r="G134" s="1" t="s">
        <v>185</v>
      </c>
      <c r="H134" s="1" t="s">
        <v>147</v>
      </c>
      <c r="I134" s="1">
        <v>42.9</v>
      </c>
      <c r="J134" s="1">
        <v>-125</v>
      </c>
      <c r="K134" s="1">
        <v>1996</v>
      </c>
      <c r="L134" s="1">
        <v>2023</v>
      </c>
      <c r="M134" s="1">
        <f t="shared" si="2"/>
        <v>28</v>
      </c>
      <c r="N134" s="1" t="s">
        <v>30</v>
      </c>
      <c r="O134" s="1" t="s">
        <v>205</v>
      </c>
      <c r="P134" s="1" t="s">
        <v>788</v>
      </c>
      <c r="Q134" s="1" t="s">
        <v>999</v>
      </c>
      <c r="R134" s="1" t="s">
        <v>1328</v>
      </c>
      <c r="V134" s="1" t="s">
        <v>1013</v>
      </c>
      <c r="Y134" s="1" t="s">
        <v>40</v>
      </c>
      <c r="Z134" s="1" t="s">
        <v>40</v>
      </c>
      <c r="AA134" s="1" t="s">
        <v>188</v>
      </c>
      <c r="AB134" s="1" t="s">
        <v>986</v>
      </c>
    </row>
    <row r="135" spans="1:28">
      <c r="A135" s="1" t="s">
        <v>182</v>
      </c>
      <c r="B135" s="1" t="s">
        <v>183</v>
      </c>
      <c r="C135" s="60">
        <v>45877</v>
      </c>
      <c r="D135" s="1" t="s">
        <v>44</v>
      </c>
      <c r="E135" s="1" t="s">
        <v>74</v>
      </c>
      <c r="F135" s="1">
        <v>2025</v>
      </c>
      <c r="G135" s="1" t="s">
        <v>185</v>
      </c>
      <c r="H135" s="1" t="s">
        <v>147</v>
      </c>
      <c r="I135" s="1">
        <v>42.9</v>
      </c>
      <c r="J135" s="1">
        <v>-125</v>
      </c>
      <c r="K135" s="1">
        <v>1996</v>
      </c>
      <c r="L135" s="1">
        <v>2023</v>
      </c>
      <c r="M135" s="1">
        <f t="shared" si="2"/>
        <v>28</v>
      </c>
      <c r="N135" s="1" t="s">
        <v>30</v>
      </c>
      <c r="O135" s="1" t="s">
        <v>205</v>
      </c>
      <c r="P135" s="1" t="s">
        <v>788</v>
      </c>
      <c r="Q135" s="1" t="s">
        <v>286</v>
      </c>
      <c r="R135" s="1" t="s">
        <v>1328</v>
      </c>
      <c r="V135" s="1" t="s">
        <v>1013</v>
      </c>
      <c r="Y135" s="1" t="s">
        <v>40</v>
      </c>
      <c r="Z135" s="1" t="s">
        <v>40</v>
      </c>
      <c r="AA135" s="1" t="s">
        <v>188</v>
      </c>
      <c r="AB135" s="1" t="s">
        <v>986</v>
      </c>
    </row>
    <row r="136" spans="1:28">
      <c r="A136" s="1" t="s">
        <v>182</v>
      </c>
      <c r="B136" s="1" t="s">
        <v>183</v>
      </c>
      <c r="C136" s="60">
        <v>45877</v>
      </c>
      <c r="D136" s="1" t="s">
        <v>44</v>
      </c>
      <c r="E136" s="1" t="s">
        <v>74</v>
      </c>
      <c r="F136" s="1">
        <v>2025</v>
      </c>
      <c r="G136" s="1" t="s">
        <v>185</v>
      </c>
      <c r="H136" s="1" t="s">
        <v>147</v>
      </c>
      <c r="I136" s="1">
        <v>42.9</v>
      </c>
      <c r="J136" s="1">
        <v>-125</v>
      </c>
      <c r="K136" s="1">
        <v>1996</v>
      </c>
      <c r="L136" s="1">
        <v>2023</v>
      </c>
      <c r="M136" s="1">
        <f t="shared" si="2"/>
        <v>28</v>
      </c>
      <c r="N136" s="1" t="s">
        <v>30</v>
      </c>
      <c r="O136" s="1" t="s">
        <v>205</v>
      </c>
      <c r="P136" s="1" t="s">
        <v>788</v>
      </c>
      <c r="Q136" s="1" t="s">
        <v>318</v>
      </c>
      <c r="R136" s="1" t="s">
        <v>1328</v>
      </c>
      <c r="V136" s="1" t="s">
        <v>1013</v>
      </c>
      <c r="Y136" s="1" t="s">
        <v>40</v>
      </c>
      <c r="Z136" s="1" t="s">
        <v>40</v>
      </c>
      <c r="AA136" s="1" t="s">
        <v>188</v>
      </c>
      <c r="AB136" s="1" t="s">
        <v>986</v>
      </c>
    </row>
    <row r="137" spans="1:28">
      <c r="A137" s="1" t="s">
        <v>182</v>
      </c>
      <c r="B137" s="1" t="s">
        <v>183</v>
      </c>
      <c r="C137" s="60">
        <v>45877</v>
      </c>
      <c r="D137" s="1" t="s">
        <v>44</v>
      </c>
      <c r="E137" s="1" t="s">
        <v>74</v>
      </c>
      <c r="F137" s="1">
        <v>2025</v>
      </c>
      <c r="G137" s="1" t="s">
        <v>185</v>
      </c>
      <c r="H137" s="1" t="s">
        <v>147</v>
      </c>
      <c r="I137" s="1">
        <v>42.9</v>
      </c>
      <c r="J137" s="1">
        <v>-125</v>
      </c>
      <c r="K137" s="1">
        <v>1996</v>
      </c>
      <c r="L137" s="1">
        <v>2023</v>
      </c>
      <c r="M137" s="1">
        <f t="shared" si="2"/>
        <v>28</v>
      </c>
      <c r="N137" s="1" t="s">
        <v>30</v>
      </c>
      <c r="O137" s="1" t="s">
        <v>205</v>
      </c>
      <c r="P137" s="1" t="s">
        <v>788</v>
      </c>
      <c r="Q137" s="1" t="s">
        <v>310</v>
      </c>
      <c r="R137" s="1" t="s">
        <v>1328</v>
      </c>
      <c r="V137" s="1" t="s">
        <v>1013</v>
      </c>
      <c r="Y137" s="1" t="s">
        <v>40</v>
      </c>
      <c r="Z137" s="1" t="s">
        <v>40</v>
      </c>
      <c r="AA137" s="1" t="s">
        <v>188</v>
      </c>
      <c r="AB137" s="1" t="s">
        <v>986</v>
      </c>
    </row>
    <row r="138" spans="1:28">
      <c r="A138" s="1" t="s">
        <v>182</v>
      </c>
      <c r="B138" s="1" t="s">
        <v>183</v>
      </c>
      <c r="C138" s="60">
        <v>45877</v>
      </c>
      <c r="D138" s="1" t="s">
        <v>44</v>
      </c>
      <c r="E138" s="1" t="s">
        <v>74</v>
      </c>
      <c r="F138" s="1">
        <v>2025</v>
      </c>
      <c r="G138" s="1" t="s">
        <v>185</v>
      </c>
      <c r="H138" s="1" t="s">
        <v>147</v>
      </c>
      <c r="I138" s="1">
        <v>42.9</v>
      </c>
      <c r="J138" s="1">
        <v>-125</v>
      </c>
      <c r="K138" s="1">
        <v>1996</v>
      </c>
      <c r="L138" s="1">
        <v>2023</v>
      </c>
      <c r="M138" s="1">
        <f t="shared" si="2"/>
        <v>28</v>
      </c>
      <c r="N138" s="1" t="s">
        <v>30</v>
      </c>
      <c r="O138" s="1" t="s">
        <v>205</v>
      </c>
      <c r="P138" s="1" t="s">
        <v>788</v>
      </c>
      <c r="Q138" s="1" t="s">
        <v>311</v>
      </c>
      <c r="R138" s="1" t="s">
        <v>1328</v>
      </c>
      <c r="V138" s="1" t="s">
        <v>1013</v>
      </c>
      <c r="Y138" s="1" t="s">
        <v>40</v>
      </c>
      <c r="Z138" s="1" t="s">
        <v>40</v>
      </c>
      <c r="AA138" s="1" t="s">
        <v>188</v>
      </c>
      <c r="AB138" s="1" t="s">
        <v>986</v>
      </c>
    </row>
    <row r="139" spans="1:28">
      <c r="A139" s="1" t="s">
        <v>182</v>
      </c>
      <c r="B139" s="1" t="s">
        <v>183</v>
      </c>
      <c r="C139" s="60">
        <v>45877</v>
      </c>
      <c r="D139" s="1" t="s">
        <v>44</v>
      </c>
      <c r="E139" s="1" t="s">
        <v>74</v>
      </c>
      <c r="F139" s="1">
        <v>2025</v>
      </c>
      <c r="G139" s="1" t="s">
        <v>185</v>
      </c>
      <c r="H139" s="1" t="s">
        <v>147</v>
      </c>
      <c r="I139" s="1">
        <v>42.9</v>
      </c>
      <c r="J139" s="1">
        <v>-125</v>
      </c>
      <c r="K139" s="1">
        <v>1996</v>
      </c>
      <c r="L139" s="1">
        <v>2023</v>
      </c>
      <c r="M139" s="1">
        <f t="shared" si="2"/>
        <v>28</v>
      </c>
      <c r="N139" s="1" t="s">
        <v>30</v>
      </c>
      <c r="O139" s="1" t="s">
        <v>205</v>
      </c>
      <c r="P139" s="1" t="s">
        <v>788</v>
      </c>
      <c r="Q139" s="1" t="s">
        <v>312</v>
      </c>
      <c r="R139" s="1" t="s">
        <v>1328</v>
      </c>
      <c r="V139" s="1" t="s">
        <v>1013</v>
      </c>
      <c r="Y139" s="1" t="s">
        <v>40</v>
      </c>
      <c r="Z139" s="1" t="s">
        <v>40</v>
      </c>
      <c r="AA139" s="1" t="s">
        <v>188</v>
      </c>
      <c r="AB139" s="1" t="s">
        <v>986</v>
      </c>
    </row>
    <row r="140" spans="1:28">
      <c r="A140" s="1" t="s">
        <v>182</v>
      </c>
      <c r="B140" s="1" t="s">
        <v>183</v>
      </c>
      <c r="C140" s="60">
        <v>45877</v>
      </c>
      <c r="D140" s="1" t="s">
        <v>44</v>
      </c>
      <c r="E140" s="1" t="s">
        <v>74</v>
      </c>
      <c r="F140" s="1">
        <v>2025</v>
      </c>
      <c r="G140" s="1" t="s">
        <v>185</v>
      </c>
      <c r="H140" s="1" t="s">
        <v>147</v>
      </c>
      <c r="I140" s="1">
        <v>42.9</v>
      </c>
      <c r="J140" s="1">
        <v>-125</v>
      </c>
      <c r="K140" s="1">
        <v>1996</v>
      </c>
      <c r="L140" s="1">
        <v>2023</v>
      </c>
      <c r="M140" s="1">
        <f t="shared" si="2"/>
        <v>28</v>
      </c>
      <c r="N140" s="1" t="s">
        <v>30</v>
      </c>
      <c r="O140" s="1" t="s">
        <v>205</v>
      </c>
      <c r="P140" s="1" t="s">
        <v>788</v>
      </c>
      <c r="Q140" s="1" t="s">
        <v>313</v>
      </c>
      <c r="R140" s="1" t="s">
        <v>1328</v>
      </c>
      <c r="V140" s="1" t="s">
        <v>1013</v>
      </c>
      <c r="Y140" s="1" t="s">
        <v>40</v>
      </c>
      <c r="Z140" s="1" t="s">
        <v>40</v>
      </c>
      <c r="AA140" s="1" t="s">
        <v>188</v>
      </c>
      <c r="AB140" s="1" t="s">
        <v>986</v>
      </c>
    </row>
    <row r="141" spans="1:28">
      <c r="A141" s="1" t="s">
        <v>182</v>
      </c>
      <c r="B141" s="1" t="s">
        <v>183</v>
      </c>
      <c r="C141" s="60">
        <v>45877</v>
      </c>
      <c r="D141" s="1" t="s">
        <v>44</v>
      </c>
      <c r="E141" s="1" t="s">
        <v>74</v>
      </c>
      <c r="F141" s="1">
        <v>2025</v>
      </c>
      <c r="G141" s="1" t="s">
        <v>185</v>
      </c>
      <c r="H141" s="1" t="s">
        <v>147</v>
      </c>
      <c r="I141" s="1">
        <v>42.9</v>
      </c>
      <c r="J141" s="1">
        <v>-125</v>
      </c>
      <c r="K141" s="1">
        <v>1996</v>
      </c>
      <c r="L141" s="1">
        <v>2023</v>
      </c>
      <c r="M141" s="1">
        <f t="shared" si="2"/>
        <v>28</v>
      </c>
      <c r="N141" s="1" t="s">
        <v>30</v>
      </c>
      <c r="O141" s="1" t="s">
        <v>205</v>
      </c>
      <c r="P141" s="1" t="s">
        <v>788</v>
      </c>
      <c r="Q141" s="1" t="s">
        <v>1002</v>
      </c>
      <c r="R141" s="1" t="s">
        <v>1328</v>
      </c>
      <c r="V141" s="1" t="s">
        <v>1013</v>
      </c>
      <c r="Y141" s="1" t="s">
        <v>40</v>
      </c>
      <c r="Z141" s="1" t="s">
        <v>40</v>
      </c>
      <c r="AA141" s="1" t="s">
        <v>188</v>
      </c>
      <c r="AB141" s="1" t="s">
        <v>986</v>
      </c>
    </row>
    <row r="142" spans="1:28">
      <c r="A142" s="1" t="s">
        <v>182</v>
      </c>
      <c r="B142" s="1" t="s">
        <v>183</v>
      </c>
      <c r="C142" s="60">
        <v>45877</v>
      </c>
      <c r="D142" s="1" t="s">
        <v>44</v>
      </c>
      <c r="E142" s="1" t="s">
        <v>74</v>
      </c>
      <c r="F142" s="1">
        <v>2025</v>
      </c>
      <c r="G142" s="1" t="s">
        <v>185</v>
      </c>
      <c r="H142" s="1" t="s">
        <v>147</v>
      </c>
      <c r="I142" s="1">
        <v>42.9</v>
      </c>
      <c r="J142" s="1">
        <v>-125</v>
      </c>
      <c r="K142" s="1">
        <v>1996</v>
      </c>
      <c r="L142" s="1">
        <v>2023</v>
      </c>
      <c r="M142" s="1">
        <f t="shared" si="2"/>
        <v>28</v>
      </c>
      <c r="N142" s="1" t="s">
        <v>30</v>
      </c>
      <c r="O142" s="1" t="s">
        <v>205</v>
      </c>
      <c r="P142" s="1" t="s">
        <v>788</v>
      </c>
      <c r="Q142" s="1" t="s">
        <v>314</v>
      </c>
      <c r="R142" s="1" t="s">
        <v>1328</v>
      </c>
      <c r="V142" s="1" t="s">
        <v>1013</v>
      </c>
      <c r="Y142" s="1" t="s">
        <v>40</v>
      </c>
      <c r="Z142" s="1" t="s">
        <v>40</v>
      </c>
      <c r="AA142" s="1" t="s">
        <v>188</v>
      </c>
      <c r="AB142" s="1" t="s">
        <v>986</v>
      </c>
    </row>
    <row r="143" spans="1:28">
      <c r="A143" s="1" t="s">
        <v>182</v>
      </c>
      <c r="B143" s="1" t="s">
        <v>183</v>
      </c>
      <c r="C143" s="60">
        <v>45877</v>
      </c>
      <c r="D143" s="1" t="s">
        <v>44</v>
      </c>
      <c r="E143" s="1" t="s">
        <v>74</v>
      </c>
      <c r="F143" s="1">
        <v>2025</v>
      </c>
      <c r="G143" s="1" t="s">
        <v>185</v>
      </c>
      <c r="H143" s="1" t="s">
        <v>147</v>
      </c>
      <c r="I143" s="1">
        <v>42.9</v>
      </c>
      <c r="J143" s="1">
        <v>-125</v>
      </c>
      <c r="K143" s="1">
        <v>1996</v>
      </c>
      <c r="L143" s="1">
        <v>2023</v>
      </c>
      <c r="M143" s="1">
        <f t="shared" si="2"/>
        <v>28</v>
      </c>
      <c r="N143" s="1" t="s">
        <v>30</v>
      </c>
      <c r="O143" s="1" t="s">
        <v>205</v>
      </c>
      <c r="P143" s="1" t="s">
        <v>788</v>
      </c>
      <c r="Q143" s="1" t="s">
        <v>1004</v>
      </c>
      <c r="R143" s="1" t="s">
        <v>1328</v>
      </c>
      <c r="V143" s="1" t="s">
        <v>1013</v>
      </c>
      <c r="Y143" s="1" t="s">
        <v>40</v>
      </c>
      <c r="Z143" s="1" t="s">
        <v>40</v>
      </c>
      <c r="AA143" s="1" t="s">
        <v>188</v>
      </c>
      <c r="AB143" s="1" t="s">
        <v>986</v>
      </c>
    </row>
    <row r="144" spans="1:28">
      <c r="A144" s="1" t="s">
        <v>182</v>
      </c>
      <c r="B144" s="1" t="s">
        <v>183</v>
      </c>
      <c r="C144" s="60">
        <v>45877</v>
      </c>
      <c r="D144" s="1" t="s">
        <v>44</v>
      </c>
      <c r="E144" s="1" t="s">
        <v>74</v>
      </c>
      <c r="F144" s="1">
        <v>2025</v>
      </c>
      <c r="G144" s="1" t="s">
        <v>185</v>
      </c>
      <c r="H144" s="1" t="s">
        <v>147</v>
      </c>
      <c r="I144" s="1">
        <v>42.9</v>
      </c>
      <c r="J144" s="1">
        <v>-125</v>
      </c>
      <c r="K144" s="1">
        <v>1996</v>
      </c>
      <c r="L144" s="1">
        <v>2023</v>
      </c>
      <c r="M144" s="1">
        <f t="shared" si="2"/>
        <v>28</v>
      </c>
      <c r="N144" s="1" t="s">
        <v>30</v>
      </c>
      <c r="O144" s="1" t="s">
        <v>205</v>
      </c>
      <c r="P144" s="1" t="s">
        <v>788</v>
      </c>
      <c r="Q144" s="1" t="s">
        <v>1005</v>
      </c>
      <c r="R144" s="1" t="s">
        <v>1328</v>
      </c>
      <c r="V144" s="1" t="s">
        <v>1013</v>
      </c>
      <c r="Y144" s="1" t="s">
        <v>40</v>
      </c>
      <c r="Z144" s="1" t="s">
        <v>40</v>
      </c>
      <c r="AA144" s="1" t="s">
        <v>188</v>
      </c>
      <c r="AB144" s="1" t="s">
        <v>986</v>
      </c>
    </row>
    <row r="145" spans="1:31">
      <c r="A145" s="1" t="s">
        <v>182</v>
      </c>
      <c r="B145" s="1" t="s">
        <v>183</v>
      </c>
      <c r="C145" s="60">
        <v>45877</v>
      </c>
      <c r="D145" s="1" t="s">
        <v>44</v>
      </c>
      <c r="E145" s="1" t="s">
        <v>74</v>
      </c>
      <c r="F145" s="1">
        <v>2025</v>
      </c>
      <c r="G145" s="1" t="s">
        <v>185</v>
      </c>
      <c r="H145" s="1" t="s">
        <v>147</v>
      </c>
      <c r="I145" s="1">
        <v>42.9</v>
      </c>
      <c r="J145" s="1">
        <v>-125</v>
      </c>
      <c r="K145" s="1">
        <v>1996</v>
      </c>
      <c r="L145" s="1">
        <v>2023</v>
      </c>
      <c r="M145" s="1">
        <f t="shared" si="2"/>
        <v>28</v>
      </c>
      <c r="N145" s="1" t="s">
        <v>30</v>
      </c>
      <c r="O145" s="1" t="s">
        <v>205</v>
      </c>
      <c r="P145" s="1" t="s">
        <v>788</v>
      </c>
      <c r="Q145" s="1" t="s">
        <v>1006</v>
      </c>
      <c r="R145" s="1" t="s">
        <v>1328</v>
      </c>
      <c r="V145" s="1" t="s">
        <v>1013</v>
      </c>
      <c r="Y145" s="1" t="s">
        <v>40</v>
      </c>
      <c r="Z145" s="1" t="s">
        <v>40</v>
      </c>
      <c r="AA145" s="1" t="s">
        <v>188</v>
      </c>
      <c r="AB145" s="1" t="s">
        <v>986</v>
      </c>
    </row>
    <row r="146" spans="1:31">
      <c r="A146" s="1" t="s">
        <v>182</v>
      </c>
      <c r="B146" s="1" t="s">
        <v>183</v>
      </c>
      <c r="C146" s="60">
        <v>45877</v>
      </c>
      <c r="D146" s="1" t="s">
        <v>44</v>
      </c>
      <c r="E146" s="1" t="s">
        <v>74</v>
      </c>
      <c r="F146" s="1">
        <v>2025</v>
      </c>
      <c r="G146" s="1" t="s">
        <v>185</v>
      </c>
      <c r="H146" s="1" t="s">
        <v>147</v>
      </c>
      <c r="I146" s="1">
        <v>42.9</v>
      </c>
      <c r="J146" s="1">
        <v>-125</v>
      </c>
      <c r="K146" s="1">
        <v>1996</v>
      </c>
      <c r="L146" s="1">
        <v>2023</v>
      </c>
      <c r="M146" s="1">
        <f t="shared" si="2"/>
        <v>28</v>
      </c>
      <c r="N146" s="1" t="s">
        <v>30</v>
      </c>
      <c r="O146" s="1" t="s">
        <v>205</v>
      </c>
      <c r="P146" s="1" t="s">
        <v>788</v>
      </c>
      <c r="Q146" s="1" t="s">
        <v>1007</v>
      </c>
      <c r="R146" s="1" t="s">
        <v>1328</v>
      </c>
      <c r="V146" s="1" t="s">
        <v>1013</v>
      </c>
      <c r="Y146" s="1" t="s">
        <v>40</v>
      </c>
      <c r="Z146" s="1" t="s">
        <v>40</v>
      </c>
      <c r="AA146" s="1" t="s">
        <v>188</v>
      </c>
      <c r="AB146" s="1" t="s">
        <v>986</v>
      </c>
    </row>
    <row r="147" spans="1:31">
      <c r="A147" s="1" t="s">
        <v>182</v>
      </c>
      <c r="B147" s="1" t="s">
        <v>183</v>
      </c>
      <c r="C147" s="60">
        <v>45877</v>
      </c>
      <c r="D147" s="1" t="s">
        <v>44</v>
      </c>
      <c r="E147" s="1" t="s">
        <v>74</v>
      </c>
      <c r="F147" s="1">
        <v>2025</v>
      </c>
      <c r="G147" s="1" t="s">
        <v>185</v>
      </c>
      <c r="H147" s="1" t="s">
        <v>147</v>
      </c>
      <c r="I147" s="1">
        <v>42.9</v>
      </c>
      <c r="J147" s="1">
        <v>-125</v>
      </c>
      <c r="K147" s="1">
        <v>1996</v>
      </c>
      <c r="L147" s="1">
        <v>2023</v>
      </c>
      <c r="M147" s="1">
        <f t="shared" si="2"/>
        <v>28</v>
      </c>
      <c r="N147" s="1" t="s">
        <v>30</v>
      </c>
      <c r="O147" s="1" t="s">
        <v>205</v>
      </c>
      <c r="P147" s="1" t="s">
        <v>788</v>
      </c>
      <c r="Q147" s="1" t="s">
        <v>1008</v>
      </c>
      <c r="R147" s="1" t="s">
        <v>1328</v>
      </c>
      <c r="V147" s="1" t="s">
        <v>1013</v>
      </c>
      <c r="Y147" s="1" t="s">
        <v>40</v>
      </c>
      <c r="Z147" s="1" t="s">
        <v>40</v>
      </c>
      <c r="AA147" s="1" t="s">
        <v>188</v>
      </c>
      <c r="AB147" s="1" t="s">
        <v>986</v>
      </c>
    </row>
    <row r="148" spans="1:31">
      <c r="A148" s="1" t="s">
        <v>182</v>
      </c>
      <c r="B148" s="1" t="s">
        <v>183</v>
      </c>
      <c r="C148" s="60">
        <v>45877</v>
      </c>
      <c r="D148" s="1" t="s">
        <v>44</v>
      </c>
      <c r="E148" s="1" t="s">
        <v>74</v>
      </c>
      <c r="F148" s="1">
        <v>2025</v>
      </c>
      <c r="G148" s="1" t="s">
        <v>185</v>
      </c>
      <c r="H148" s="1" t="s">
        <v>147</v>
      </c>
      <c r="I148" s="1">
        <v>42.9</v>
      </c>
      <c r="J148" s="1">
        <v>-125</v>
      </c>
      <c r="K148" s="1">
        <v>1996</v>
      </c>
      <c r="L148" s="1">
        <v>2023</v>
      </c>
      <c r="M148" s="1">
        <f t="shared" si="2"/>
        <v>28</v>
      </c>
      <c r="N148" s="1" t="s">
        <v>30</v>
      </c>
      <c r="O148" s="1" t="s">
        <v>205</v>
      </c>
      <c r="P148" s="1" t="s">
        <v>788</v>
      </c>
      <c r="Q148" s="1" t="s">
        <v>1010</v>
      </c>
      <c r="R148" s="1" t="s">
        <v>1328</v>
      </c>
      <c r="V148" s="1" t="s">
        <v>1013</v>
      </c>
      <c r="Y148" s="1" t="s">
        <v>40</v>
      </c>
      <c r="Z148" s="1" t="s">
        <v>40</v>
      </c>
      <c r="AA148" s="1" t="s">
        <v>188</v>
      </c>
      <c r="AB148" s="1" t="s">
        <v>986</v>
      </c>
    </row>
    <row r="149" spans="1:31">
      <c r="A149" s="1" t="s">
        <v>182</v>
      </c>
      <c r="B149" s="1" t="s">
        <v>183</v>
      </c>
      <c r="C149" s="60">
        <v>45877</v>
      </c>
      <c r="D149" s="1" t="s">
        <v>44</v>
      </c>
      <c r="E149" s="1" t="s">
        <v>74</v>
      </c>
      <c r="F149" s="1">
        <v>2025</v>
      </c>
      <c r="G149" s="1" t="s">
        <v>185</v>
      </c>
      <c r="H149" s="1" t="s">
        <v>147</v>
      </c>
      <c r="I149" s="1">
        <v>42.9</v>
      </c>
      <c r="J149" s="1">
        <v>-125</v>
      </c>
      <c r="K149" s="1">
        <v>1996</v>
      </c>
      <c r="L149" s="1">
        <v>2023</v>
      </c>
      <c r="M149" s="1">
        <f t="shared" si="2"/>
        <v>28</v>
      </c>
      <c r="N149" s="1" t="s">
        <v>30</v>
      </c>
      <c r="O149" s="1" t="s">
        <v>205</v>
      </c>
      <c r="P149" s="1" t="s">
        <v>788</v>
      </c>
      <c r="Q149" s="1" t="s">
        <v>1011</v>
      </c>
      <c r="R149" s="1" t="s">
        <v>1328</v>
      </c>
      <c r="V149" s="1" t="s">
        <v>1013</v>
      </c>
      <c r="Y149" s="1" t="s">
        <v>40</v>
      </c>
      <c r="Z149" s="1" t="s">
        <v>40</v>
      </c>
      <c r="AA149" s="1" t="s">
        <v>188</v>
      </c>
      <c r="AB149" s="1" t="s">
        <v>986</v>
      </c>
    </row>
    <row r="150" spans="1:31">
      <c r="A150" s="1" t="s">
        <v>182</v>
      </c>
      <c r="B150" s="26" t="s">
        <v>183</v>
      </c>
      <c r="C150" s="60">
        <v>45877</v>
      </c>
      <c r="D150" s="1" t="s">
        <v>44</v>
      </c>
      <c r="E150" s="1" t="s">
        <v>74</v>
      </c>
      <c r="F150" s="1">
        <v>2025</v>
      </c>
      <c r="G150" s="1" t="s">
        <v>185</v>
      </c>
      <c r="H150" s="1" t="s">
        <v>147</v>
      </c>
      <c r="I150" s="1">
        <v>42.9</v>
      </c>
      <c r="J150" s="1">
        <v>-125</v>
      </c>
      <c r="K150" s="1">
        <v>1996</v>
      </c>
      <c r="L150" s="1">
        <v>2023</v>
      </c>
      <c r="M150" s="1">
        <f t="shared" si="2"/>
        <v>28</v>
      </c>
      <c r="N150" s="1" t="s">
        <v>30</v>
      </c>
      <c r="O150" s="1" t="s">
        <v>205</v>
      </c>
      <c r="P150" s="1" t="s">
        <v>788</v>
      </c>
      <c r="Q150" s="1" t="s">
        <v>1012</v>
      </c>
      <c r="R150" s="1" t="s">
        <v>1328</v>
      </c>
      <c r="V150" s="1" t="s">
        <v>1013</v>
      </c>
      <c r="Y150" s="1" t="s">
        <v>40</v>
      </c>
      <c r="Z150" s="1" t="s">
        <v>40</v>
      </c>
      <c r="AA150" s="1" t="s">
        <v>188</v>
      </c>
      <c r="AB150" s="1" t="s">
        <v>986</v>
      </c>
    </row>
    <row r="151" spans="1:31">
      <c r="A151" s="1" t="s">
        <v>1729</v>
      </c>
      <c r="B151" s="1" t="s">
        <v>1730</v>
      </c>
      <c r="C151" s="60">
        <v>45909</v>
      </c>
      <c r="D151" s="1" t="s">
        <v>130</v>
      </c>
      <c r="E151" s="1" t="s">
        <v>137</v>
      </c>
      <c r="F151" s="1">
        <v>2025</v>
      </c>
      <c r="G151" s="1" t="s">
        <v>1731</v>
      </c>
      <c r="H151" s="1" t="s">
        <v>147</v>
      </c>
      <c r="I151" s="61">
        <v>33.35</v>
      </c>
      <c r="J151" s="61">
        <v>-79.19</v>
      </c>
      <c r="K151" s="61">
        <v>1981</v>
      </c>
      <c r="L151" s="61">
        <v>2017</v>
      </c>
      <c r="M151" s="1">
        <f t="shared" si="2"/>
        <v>37</v>
      </c>
      <c r="N151" s="1" t="s">
        <v>30</v>
      </c>
      <c r="O151" s="1" t="s">
        <v>205</v>
      </c>
      <c r="P151" s="1" t="s">
        <v>964</v>
      </c>
      <c r="Q151" s="1" t="s">
        <v>1737</v>
      </c>
      <c r="R151" s="1" t="s">
        <v>1735</v>
      </c>
      <c r="S151" s="1" t="s">
        <v>624</v>
      </c>
      <c r="T151" s="62"/>
      <c r="U151" s="62"/>
      <c r="V151" s="1">
        <f>-14.2325*0.03095*10</f>
        <v>-4.4049587499999996</v>
      </c>
      <c r="W151" s="62"/>
      <c r="X151" s="62"/>
      <c r="Y151" s="1" t="s">
        <v>694</v>
      </c>
      <c r="Z151" s="1" t="s">
        <v>1739</v>
      </c>
      <c r="AA151" s="1" t="s">
        <v>1740</v>
      </c>
      <c r="AB151" s="1" t="s">
        <v>1738</v>
      </c>
      <c r="AC151" s="62"/>
      <c r="AD151" s="62"/>
    </row>
    <row r="152" spans="1:31">
      <c r="A152" s="1" t="s">
        <v>1729</v>
      </c>
      <c r="B152" s="1" t="s">
        <v>1730</v>
      </c>
      <c r="C152" s="60">
        <v>45909</v>
      </c>
      <c r="D152" s="1" t="s">
        <v>130</v>
      </c>
      <c r="E152" s="1" t="s">
        <v>137</v>
      </c>
      <c r="F152" s="1">
        <v>2025</v>
      </c>
      <c r="G152" s="1" t="s">
        <v>1731</v>
      </c>
      <c r="H152" s="1" t="s">
        <v>147</v>
      </c>
      <c r="I152" s="61">
        <v>33.35</v>
      </c>
      <c r="J152" s="61">
        <v>-79.19</v>
      </c>
      <c r="K152" s="61">
        <v>1981</v>
      </c>
      <c r="L152" s="61">
        <v>2017</v>
      </c>
      <c r="M152" s="1">
        <f t="shared" si="2"/>
        <v>37</v>
      </c>
      <c r="N152" s="1" t="s">
        <v>30</v>
      </c>
      <c r="O152" s="1" t="s">
        <v>205</v>
      </c>
      <c r="P152" s="1" t="s">
        <v>964</v>
      </c>
      <c r="Q152" s="1" t="s">
        <v>1732</v>
      </c>
      <c r="R152" s="1" t="s">
        <v>1735</v>
      </c>
      <c r="S152" s="1" t="s">
        <v>624</v>
      </c>
      <c r="T152"/>
      <c r="U152"/>
      <c r="V152" s="1">
        <f>-18.40184*0.03095*10</f>
        <v>-5.6953694800000001</v>
      </c>
      <c r="W152"/>
      <c r="X152"/>
      <c r="Y152" s="1" t="s">
        <v>694</v>
      </c>
      <c r="Z152" s="1" t="s">
        <v>1739</v>
      </c>
      <c r="AA152" s="1" t="s">
        <v>1740</v>
      </c>
      <c r="AB152" s="1" t="s">
        <v>1738</v>
      </c>
      <c r="AC152"/>
      <c r="AD152"/>
    </row>
    <row r="153" spans="1:31">
      <c r="A153" s="1" t="s">
        <v>1729</v>
      </c>
      <c r="B153" s="26" t="s">
        <v>1730</v>
      </c>
      <c r="C153" s="60">
        <v>45909</v>
      </c>
      <c r="D153" s="1" t="s">
        <v>130</v>
      </c>
      <c r="E153" s="1" t="s">
        <v>74</v>
      </c>
      <c r="F153" s="1">
        <v>2025</v>
      </c>
      <c r="G153" s="1" t="s">
        <v>1731</v>
      </c>
      <c r="H153" s="1" t="s">
        <v>147</v>
      </c>
      <c r="I153" s="61">
        <v>33.35</v>
      </c>
      <c r="J153" s="61">
        <v>-79.19</v>
      </c>
      <c r="K153" s="61">
        <v>1981</v>
      </c>
      <c r="L153" s="61">
        <v>2017</v>
      </c>
      <c r="M153" s="1">
        <f t="shared" si="2"/>
        <v>37</v>
      </c>
      <c r="N153" s="1" t="s">
        <v>30</v>
      </c>
      <c r="O153" s="1" t="s">
        <v>205</v>
      </c>
      <c r="P153" s="1" t="s">
        <v>964</v>
      </c>
      <c r="Q153" s="1" t="s">
        <v>1736</v>
      </c>
      <c r="R153" s="1" t="s">
        <v>1735</v>
      </c>
      <c r="S153" s="1" t="s">
        <v>624</v>
      </c>
      <c r="T153"/>
      <c r="U153"/>
      <c r="V153" s="1">
        <f>-10.9607*0.03095*10</f>
        <v>-3.3923366499999998</v>
      </c>
      <c r="W153"/>
      <c r="X153"/>
      <c r="Y153" s="1" t="s">
        <v>694</v>
      </c>
      <c r="Z153" s="1" t="s">
        <v>1739</v>
      </c>
      <c r="AA153" s="1" t="s">
        <v>1740</v>
      </c>
      <c r="AB153" s="1" t="s">
        <v>1738</v>
      </c>
      <c r="AC153"/>
      <c r="AD153"/>
    </row>
    <row r="154" spans="1:31">
      <c r="A154" s="1" t="s">
        <v>1729</v>
      </c>
      <c r="B154" s="26" t="s">
        <v>1733</v>
      </c>
      <c r="C154" s="60">
        <v>45909</v>
      </c>
      <c r="D154" s="1" t="s">
        <v>130</v>
      </c>
      <c r="E154" s="1" t="s">
        <v>74</v>
      </c>
      <c r="F154" s="1">
        <v>2025</v>
      </c>
      <c r="G154" s="1" t="s">
        <v>1731</v>
      </c>
      <c r="H154" s="1" t="s">
        <v>147</v>
      </c>
      <c r="I154" s="61">
        <v>33.35</v>
      </c>
      <c r="J154" s="61">
        <v>-79.19</v>
      </c>
      <c r="K154" s="61">
        <v>1981</v>
      </c>
      <c r="L154" s="61">
        <v>2017</v>
      </c>
      <c r="M154" s="1">
        <f t="shared" si="2"/>
        <v>37</v>
      </c>
      <c r="N154" s="1" t="s">
        <v>30</v>
      </c>
      <c r="O154" s="1" t="s">
        <v>205</v>
      </c>
      <c r="P154" s="1" t="s">
        <v>964</v>
      </c>
      <c r="Q154" s="1" t="s">
        <v>1734</v>
      </c>
      <c r="R154" s="1" t="s">
        <v>1735</v>
      </c>
      <c r="S154" s="1" t="s">
        <v>624</v>
      </c>
      <c r="T154"/>
      <c r="U154"/>
      <c r="V154" s="1">
        <f>-15.231484*0.03095*10</f>
        <v>-4.7141442979999999</v>
      </c>
      <c r="W154"/>
      <c r="X154"/>
      <c r="Y154" s="1" t="s">
        <v>694</v>
      </c>
      <c r="Z154" s="1" t="s">
        <v>1739</v>
      </c>
      <c r="AA154" s="1" t="s">
        <v>1740</v>
      </c>
      <c r="AB154" s="1" t="s">
        <v>1738</v>
      </c>
      <c r="AC154"/>
      <c r="AD154"/>
    </row>
    <row r="155" spans="1:31">
      <c r="A155" s="1" t="s">
        <v>1982</v>
      </c>
      <c r="B155" s="26" t="s">
        <v>1892</v>
      </c>
      <c r="D155" s="1" t="s">
        <v>130</v>
      </c>
      <c r="E155" s="1" t="s">
        <v>74</v>
      </c>
      <c r="F155" s="1">
        <v>2025</v>
      </c>
      <c r="G155" s="1" t="s">
        <v>880</v>
      </c>
      <c r="H155" s="1" t="s">
        <v>147</v>
      </c>
      <c r="I155" s="61"/>
      <c r="J155" s="61"/>
      <c r="K155" s="61">
        <v>1998</v>
      </c>
      <c r="L155" s="61">
        <v>2022</v>
      </c>
      <c r="M155" s="61">
        <f t="shared" si="2"/>
        <v>25</v>
      </c>
      <c r="N155" s="1" t="s">
        <v>623</v>
      </c>
      <c r="O155" s="1" t="s">
        <v>152</v>
      </c>
      <c r="Q155" s="1" t="s">
        <v>1345</v>
      </c>
      <c r="R155" s="1" t="s">
        <v>1987</v>
      </c>
      <c r="V155" s="1" t="s">
        <v>40</v>
      </c>
      <c r="Y155" s="1" t="s">
        <v>41</v>
      </c>
      <c r="AA155" s="1" t="s">
        <v>69</v>
      </c>
      <c r="AB155" s="1" t="s">
        <v>1988</v>
      </c>
    </row>
    <row r="156" spans="1:31">
      <c r="A156" s="1" t="s">
        <v>1982</v>
      </c>
      <c r="B156" s="26" t="s">
        <v>1892</v>
      </c>
      <c r="D156" s="1" t="s">
        <v>130</v>
      </c>
      <c r="E156" s="1" t="s">
        <v>74</v>
      </c>
      <c r="F156" s="1">
        <v>2025</v>
      </c>
      <c r="G156" s="1" t="s">
        <v>1983</v>
      </c>
      <c r="H156" s="1" t="s">
        <v>147</v>
      </c>
      <c r="I156" s="61"/>
      <c r="J156" s="61"/>
      <c r="K156" s="61">
        <v>1998</v>
      </c>
      <c r="L156" s="61">
        <v>2022</v>
      </c>
      <c r="M156" s="61">
        <f t="shared" si="2"/>
        <v>25</v>
      </c>
      <c r="N156" s="1" t="s">
        <v>623</v>
      </c>
      <c r="O156" s="1" t="s">
        <v>152</v>
      </c>
      <c r="Q156" s="1" t="s">
        <v>1345</v>
      </c>
      <c r="R156" s="1" t="s">
        <v>1987</v>
      </c>
      <c r="V156" s="1" t="s">
        <v>40</v>
      </c>
      <c r="Y156" s="1" t="s">
        <v>41</v>
      </c>
      <c r="AA156" s="1" t="s">
        <v>69</v>
      </c>
      <c r="AB156" s="1" t="s">
        <v>1988</v>
      </c>
    </row>
    <row r="157" spans="1:31">
      <c r="A157" s="1" t="s">
        <v>1982</v>
      </c>
      <c r="B157" s="26" t="s">
        <v>1892</v>
      </c>
      <c r="D157" s="1" t="s">
        <v>130</v>
      </c>
      <c r="E157" s="1" t="s">
        <v>74</v>
      </c>
      <c r="F157" s="1">
        <v>2025</v>
      </c>
      <c r="G157" s="1" t="s">
        <v>1984</v>
      </c>
      <c r="H157" s="1" t="s">
        <v>147</v>
      </c>
      <c r="I157" s="61"/>
      <c r="J157" s="61"/>
      <c r="K157" s="61">
        <v>1998</v>
      </c>
      <c r="L157" s="61">
        <v>2022</v>
      </c>
      <c r="M157" s="61">
        <f t="shared" si="2"/>
        <v>25</v>
      </c>
      <c r="N157" s="1" t="s">
        <v>623</v>
      </c>
      <c r="O157" s="1" t="s">
        <v>152</v>
      </c>
      <c r="Q157" s="1" t="s">
        <v>1345</v>
      </c>
      <c r="R157" s="1" t="s">
        <v>1987</v>
      </c>
      <c r="V157" s="1" t="s">
        <v>40</v>
      </c>
      <c r="Y157" s="1" t="s">
        <v>41</v>
      </c>
      <c r="AA157" s="1" t="s">
        <v>69</v>
      </c>
      <c r="AB157" s="1" t="s">
        <v>1988</v>
      </c>
    </row>
    <row r="158" spans="1:31">
      <c r="A158" s="1" t="s">
        <v>1982</v>
      </c>
      <c r="B158" s="26" t="s">
        <v>1892</v>
      </c>
      <c r="D158" s="1" t="s">
        <v>130</v>
      </c>
      <c r="E158" s="1" t="s">
        <v>74</v>
      </c>
      <c r="F158" s="1">
        <v>2025</v>
      </c>
      <c r="G158" s="1" t="s">
        <v>1985</v>
      </c>
      <c r="H158" s="1" t="s">
        <v>723</v>
      </c>
      <c r="I158" s="61"/>
      <c r="J158" s="61"/>
      <c r="K158" s="61">
        <v>1998</v>
      </c>
      <c r="L158" s="61">
        <v>2022</v>
      </c>
      <c r="M158" s="61">
        <f t="shared" si="2"/>
        <v>25</v>
      </c>
      <c r="N158" s="1" t="s">
        <v>623</v>
      </c>
      <c r="O158" s="1" t="s">
        <v>152</v>
      </c>
      <c r="Q158" s="1" t="s">
        <v>1345</v>
      </c>
      <c r="R158" s="1" t="s">
        <v>1987</v>
      </c>
      <c r="V158" s="1" t="s">
        <v>40</v>
      </c>
      <c r="Y158" s="1" t="s">
        <v>694</v>
      </c>
      <c r="AA158" s="1" t="s">
        <v>69</v>
      </c>
      <c r="AB158" s="1" t="s">
        <v>1988</v>
      </c>
    </row>
    <row r="159" spans="1:31">
      <c r="A159" s="1" t="s">
        <v>1982</v>
      </c>
      <c r="B159" s="26" t="s">
        <v>1892</v>
      </c>
      <c r="D159" s="1" t="s">
        <v>130</v>
      </c>
      <c r="E159" s="1" t="s">
        <v>74</v>
      </c>
      <c r="F159" s="1">
        <v>2025</v>
      </c>
      <c r="G159" s="1" t="s">
        <v>1986</v>
      </c>
      <c r="H159" s="1" t="s">
        <v>147</v>
      </c>
      <c r="I159" s="61"/>
      <c r="J159" s="61"/>
      <c r="K159" s="61">
        <v>1998</v>
      </c>
      <c r="L159" s="61">
        <v>2022</v>
      </c>
      <c r="M159" s="61">
        <f t="shared" si="2"/>
        <v>25</v>
      </c>
      <c r="N159" s="1" t="s">
        <v>623</v>
      </c>
      <c r="O159" s="1" t="s">
        <v>152</v>
      </c>
      <c r="Q159" s="1" t="s">
        <v>1345</v>
      </c>
      <c r="R159" s="1" t="s">
        <v>1987</v>
      </c>
      <c r="V159" s="1" t="s">
        <v>40</v>
      </c>
      <c r="Y159" s="1" t="s">
        <v>41</v>
      </c>
      <c r="AA159" s="1" t="s">
        <v>69</v>
      </c>
      <c r="AB159" s="1" t="s">
        <v>1988</v>
      </c>
    </row>
    <row r="160" spans="1:31">
      <c r="A160" s="1" t="s">
        <v>748</v>
      </c>
      <c r="B160" s="26" t="s">
        <v>76</v>
      </c>
      <c r="C160" s="54">
        <v>45867</v>
      </c>
      <c r="D160" s="1" t="s">
        <v>130</v>
      </c>
      <c r="E160" s="1" t="s">
        <v>74</v>
      </c>
      <c r="F160" s="1">
        <v>2025</v>
      </c>
      <c r="G160" s="1" t="s">
        <v>107</v>
      </c>
      <c r="H160" s="1" t="s">
        <v>27</v>
      </c>
      <c r="I160" s="1">
        <v>42.39</v>
      </c>
      <c r="J160" s="1">
        <v>-70.760000000000005</v>
      </c>
      <c r="K160" s="1">
        <v>1992</v>
      </c>
      <c r="L160" s="1">
        <v>2022</v>
      </c>
      <c r="M160" s="1">
        <f t="shared" si="2"/>
        <v>31</v>
      </c>
      <c r="N160" s="1" t="s">
        <v>30</v>
      </c>
      <c r="O160" s="1" t="s">
        <v>199</v>
      </c>
      <c r="P160" s="1" t="s">
        <v>1016</v>
      </c>
      <c r="Q160" s="1" t="s">
        <v>117</v>
      </c>
      <c r="R160" s="1" t="s">
        <v>29</v>
      </c>
      <c r="S160" s="1" t="s">
        <v>38</v>
      </c>
      <c r="T160" s="1" t="s">
        <v>40</v>
      </c>
      <c r="U160" s="1" t="s">
        <v>40</v>
      </c>
      <c r="V160" s="1">
        <v>-3.02</v>
      </c>
      <c r="X160" s="1" t="s">
        <v>40</v>
      </c>
      <c r="Y160" s="1" t="s">
        <v>694</v>
      </c>
      <c r="Z160" s="1" t="s">
        <v>40</v>
      </c>
      <c r="AA160" s="1" t="s">
        <v>100</v>
      </c>
      <c r="AB160" s="1" t="s">
        <v>106</v>
      </c>
      <c r="AC160" s="1" t="s">
        <v>44</v>
      </c>
      <c r="AD160" s="1" t="s">
        <v>101</v>
      </c>
      <c r="AE160" s="1" t="s">
        <v>40</v>
      </c>
    </row>
    <row r="161" spans="1:31">
      <c r="A161" s="1" t="s">
        <v>748</v>
      </c>
      <c r="B161" s="26" t="s">
        <v>76</v>
      </c>
      <c r="C161" s="54">
        <v>45867</v>
      </c>
      <c r="D161" s="1" t="s">
        <v>130</v>
      </c>
      <c r="E161" s="1" t="s">
        <v>74</v>
      </c>
      <c r="F161" s="1">
        <v>2025</v>
      </c>
      <c r="G161" s="1" t="s">
        <v>80</v>
      </c>
      <c r="H161" s="1" t="s">
        <v>27</v>
      </c>
      <c r="I161" s="1">
        <v>38.04</v>
      </c>
      <c r="J161" s="1">
        <v>-121.84</v>
      </c>
      <c r="K161" s="1">
        <v>1972</v>
      </c>
      <c r="L161" s="1">
        <v>2021</v>
      </c>
      <c r="M161" s="1">
        <f t="shared" si="2"/>
        <v>50</v>
      </c>
      <c r="N161" s="1" t="s">
        <v>30</v>
      </c>
      <c r="O161" s="1" t="s">
        <v>199</v>
      </c>
      <c r="P161" s="1" t="s">
        <v>1014</v>
      </c>
      <c r="Q161" s="1" t="s">
        <v>86</v>
      </c>
      <c r="R161" s="1" t="s">
        <v>29</v>
      </c>
      <c r="S161" s="1" t="s">
        <v>38</v>
      </c>
      <c r="T161" s="1" t="s">
        <v>40</v>
      </c>
      <c r="U161" s="1" t="s">
        <v>40</v>
      </c>
      <c r="V161" s="1">
        <v>-0.28999999999999998</v>
      </c>
      <c r="X161" s="1" t="s">
        <v>40</v>
      </c>
      <c r="Y161" s="1" t="s">
        <v>694</v>
      </c>
      <c r="Z161" s="1" t="s">
        <v>40</v>
      </c>
      <c r="AA161" s="1" t="s">
        <v>100</v>
      </c>
      <c r="AB161" s="1" t="s">
        <v>106</v>
      </c>
      <c r="AC161" s="1" t="s">
        <v>44</v>
      </c>
      <c r="AD161" s="1" t="s">
        <v>101</v>
      </c>
      <c r="AE161" s="1" t="s">
        <v>40</v>
      </c>
    </row>
    <row r="162" spans="1:31">
      <c r="A162" s="1" t="s">
        <v>748</v>
      </c>
      <c r="B162" s="26" t="s">
        <v>76</v>
      </c>
      <c r="C162" s="54">
        <v>45867</v>
      </c>
      <c r="D162" s="1" t="s">
        <v>130</v>
      </c>
      <c r="E162" s="1" t="s">
        <v>74</v>
      </c>
      <c r="F162" s="1">
        <v>2025</v>
      </c>
      <c r="G162" s="1" t="s">
        <v>80</v>
      </c>
      <c r="H162" s="1" t="s">
        <v>27</v>
      </c>
      <c r="I162" s="1">
        <v>38.04</v>
      </c>
      <c r="J162" s="1">
        <v>-121.84</v>
      </c>
      <c r="K162" s="1">
        <v>1972</v>
      </c>
      <c r="L162" s="1">
        <v>2021</v>
      </c>
      <c r="M162" s="1">
        <f t="shared" si="2"/>
        <v>50</v>
      </c>
      <c r="N162" s="1" t="s">
        <v>30</v>
      </c>
      <c r="O162" s="1" t="s">
        <v>199</v>
      </c>
      <c r="P162" s="1" t="s">
        <v>1014</v>
      </c>
      <c r="Q162" s="1" t="s">
        <v>90</v>
      </c>
      <c r="R162" s="1" t="s">
        <v>29</v>
      </c>
      <c r="S162" s="1" t="s">
        <v>38</v>
      </c>
      <c r="T162" s="1" t="s">
        <v>40</v>
      </c>
      <c r="U162" s="1" t="s">
        <v>40</v>
      </c>
      <c r="V162" s="1">
        <v>-2.89</v>
      </c>
      <c r="X162" s="1" t="s">
        <v>40</v>
      </c>
      <c r="Y162" s="1" t="s">
        <v>694</v>
      </c>
      <c r="Z162" s="1" t="s">
        <v>40</v>
      </c>
      <c r="AA162" s="1" t="s">
        <v>100</v>
      </c>
      <c r="AB162" s="1" t="s">
        <v>106</v>
      </c>
      <c r="AC162" s="1" t="s">
        <v>44</v>
      </c>
      <c r="AD162" s="1" t="s">
        <v>101</v>
      </c>
      <c r="AE162" s="1" t="s">
        <v>40</v>
      </c>
    </row>
    <row r="163" spans="1:31">
      <c r="A163" s="1" t="s">
        <v>748</v>
      </c>
      <c r="B163" s="26" t="s">
        <v>76</v>
      </c>
      <c r="C163" s="54">
        <v>45867</v>
      </c>
      <c r="D163" s="1" t="s">
        <v>130</v>
      </c>
      <c r="E163" s="1" t="s">
        <v>74</v>
      </c>
      <c r="F163" s="1">
        <v>2025</v>
      </c>
      <c r="G163" s="1" t="s">
        <v>80</v>
      </c>
      <c r="H163" s="1" t="s">
        <v>27</v>
      </c>
      <c r="I163" s="1">
        <v>38.04</v>
      </c>
      <c r="J163" s="1">
        <v>-121.84</v>
      </c>
      <c r="K163" s="1">
        <v>1972</v>
      </c>
      <c r="L163" s="1">
        <v>2021</v>
      </c>
      <c r="M163" s="1">
        <f t="shared" si="2"/>
        <v>50</v>
      </c>
      <c r="N163" s="1" t="s">
        <v>30</v>
      </c>
      <c r="O163" s="1" t="s">
        <v>199</v>
      </c>
      <c r="P163" s="1" t="s">
        <v>1014</v>
      </c>
      <c r="Q163" s="1" t="s">
        <v>91</v>
      </c>
      <c r="R163" s="1" t="s">
        <v>29</v>
      </c>
      <c r="S163" s="1" t="s">
        <v>38</v>
      </c>
      <c r="T163" s="1" t="s">
        <v>40</v>
      </c>
      <c r="U163" s="1" t="s">
        <v>40</v>
      </c>
      <c r="V163" s="1">
        <v>-2.4700000000000002</v>
      </c>
      <c r="X163" s="1" t="s">
        <v>40</v>
      </c>
      <c r="Y163" s="1" t="s">
        <v>694</v>
      </c>
      <c r="Z163" s="1" t="s">
        <v>40</v>
      </c>
      <c r="AA163" s="1" t="s">
        <v>100</v>
      </c>
      <c r="AB163" s="1" t="s">
        <v>106</v>
      </c>
      <c r="AC163" s="1" t="s">
        <v>44</v>
      </c>
      <c r="AD163" s="1" t="s">
        <v>101</v>
      </c>
      <c r="AE163" s="1" t="s">
        <v>40</v>
      </c>
    </row>
    <row r="164" spans="1:31">
      <c r="A164" s="1" t="s">
        <v>748</v>
      </c>
      <c r="B164" s="26" t="s">
        <v>76</v>
      </c>
      <c r="C164" s="54">
        <v>45867</v>
      </c>
      <c r="D164" s="1" t="s">
        <v>130</v>
      </c>
      <c r="E164" s="1" t="s">
        <v>74</v>
      </c>
      <c r="F164" s="1">
        <v>2025</v>
      </c>
      <c r="G164" s="1" t="s">
        <v>81</v>
      </c>
      <c r="H164" s="1" t="s">
        <v>27</v>
      </c>
      <c r="I164" s="1">
        <v>38.07</v>
      </c>
      <c r="J164" s="1">
        <v>-122.06</v>
      </c>
      <c r="K164" s="1">
        <v>1972</v>
      </c>
      <c r="L164" s="1">
        <v>2021</v>
      </c>
      <c r="M164" s="1">
        <f t="shared" si="2"/>
        <v>50</v>
      </c>
      <c r="N164" s="1" t="s">
        <v>30</v>
      </c>
      <c r="O164" s="1" t="s">
        <v>199</v>
      </c>
      <c r="P164" s="1" t="s">
        <v>1014</v>
      </c>
      <c r="Q164" s="1" t="s">
        <v>103</v>
      </c>
      <c r="R164" s="1" t="s">
        <v>29</v>
      </c>
      <c r="S164" s="1" t="s">
        <v>38</v>
      </c>
      <c r="T164" s="1" t="s">
        <v>40</v>
      </c>
      <c r="U164" s="1" t="s">
        <v>40</v>
      </c>
      <c r="V164" s="1">
        <v>-3.22</v>
      </c>
      <c r="X164" s="1" t="s">
        <v>40</v>
      </c>
      <c r="Y164" s="1" t="s">
        <v>694</v>
      </c>
      <c r="Z164" s="1" t="s">
        <v>40</v>
      </c>
      <c r="AA164" s="1" t="s">
        <v>100</v>
      </c>
      <c r="AB164" s="1" t="s">
        <v>106</v>
      </c>
      <c r="AC164" s="1" t="s">
        <v>44</v>
      </c>
      <c r="AD164" s="1" t="s">
        <v>101</v>
      </c>
      <c r="AE164" s="1" t="s">
        <v>40</v>
      </c>
    </row>
    <row r="165" spans="1:31">
      <c r="A165" s="1" t="s">
        <v>748</v>
      </c>
      <c r="B165" s="26" t="s">
        <v>76</v>
      </c>
      <c r="C165" s="54">
        <v>45867</v>
      </c>
      <c r="D165" s="1" t="s">
        <v>130</v>
      </c>
      <c r="E165" s="1" t="s">
        <v>74</v>
      </c>
      <c r="F165" s="1">
        <v>2025</v>
      </c>
      <c r="G165" s="1" t="s">
        <v>81</v>
      </c>
      <c r="H165" s="1" t="s">
        <v>27</v>
      </c>
      <c r="I165" s="1">
        <v>38.07</v>
      </c>
      <c r="J165" s="1">
        <v>-122.06</v>
      </c>
      <c r="K165" s="1">
        <v>1972</v>
      </c>
      <c r="L165" s="1">
        <v>2021</v>
      </c>
      <c r="M165" s="1">
        <f t="shared" si="2"/>
        <v>50</v>
      </c>
      <c r="N165" s="1" t="s">
        <v>30</v>
      </c>
      <c r="O165" s="1" t="s">
        <v>199</v>
      </c>
      <c r="P165" s="1" t="s">
        <v>1014</v>
      </c>
      <c r="Q165" s="1" t="s">
        <v>104</v>
      </c>
      <c r="R165" s="1" t="s">
        <v>29</v>
      </c>
      <c r="S165" s="1" t="s">
        <v>38</v>
      </c>
      <c r="T165" s="1" t="s">
        <v>40</v>
      </c>
      <c r="U165" s="1" t="s">
        <v>40</v>
      </c>
      <c r="V165" s="1">
        <v>-2.2999999999999998</v>
      </c>
      <c r="X165" s="1" t="s">
        <v>40</v>
      </c>
      <c r="Y165" s="1" t="s">
        <v>694</v>
      </c>
      <c r="Z165" s="1" t="s">
        <v>40</v>
      </c>
      <c r="AA165" s="1" t="s">
        <v>100</v>
      </c>
      <c r="AB165" s="1" t="s">
        <v>106</v>
      </c>
      <c r="AC165" s="1" t="s">
        <v>44</v>
      </c>
      <c r="AD165" s="1" t="s">
        <v>101</v>
      </c>
      <c r="AE165" s="1" t="s">
        <v>40</v>
      </c>
    </row>
    <row r="166" spans="1:31">
      <c r="A166" s="1" t="s">
        <v>748</v>
      </c>
      <c r="B166" s="26" t="s">
        <v>76</v>
      </c>
      <c r="C166" s="54">
        <v>45867</v>
      </c>
      <c r="D166" s="1" t="s">
        <v>130</v>
      </c>
      <c r="E166" s="1" t="s">
        <v>74</v>
      </c>
      <c r="F166" s="1">
        <v>2025</v>
      </c>
      <c r="G166" s="1" t="s">
        <v>81</v>
      </c>
      <c r="H166" s="1" t="s">
        <v>27</v>
      </c>
      <c r="I166" s="1">
        <v>38.07</v>
      </c>
      <c r="J166" s="1">
        <v>-122.06</v>
      </c>
      <c r="K166" s="1">
        <v>1972</v>
      </c>
      <c r="L166" s="1">
        <v>2021</v>
      </c>
      <c r="M166" s="1">
        <f t="shared" si="2"/>
        <v>50</v>
      </c>
      <c r="N166" s="1" t="s">
        <v>30</v>
      </c>
      <c r="O166" s="1" t="s">
        <v>199</v>
      </c>
      <c r="P166" s="1" t="s">
        <v>1014</v>
      </c>
      <c r="Q166" s="1" t="s">
        <v>105</v>
      </c>
      <c r="R166" s="1" t="s">
        <v>29</v>
      </c>
      <c r="S166" s="1" t="s">
        <v>38</v>
      </c>
      <c r="T166" s="1" t="s">
        <v>40</v>
      </c>
      <c r="U166" s="1" t="s">
        <v>40</v>
      </c>
      <c r="V166" s="1">
        <v>-2.13</v>
      </c>
      <c r="X166" s="1" t="s">
        <v>40</v>
      </c>
      <c r="Y166" s="1" t="s">
        <v>694</v>
      </c>
      <c r="Z166" s="1" t="s">
        <v>40</v>
      </c>
      <c r="AA166" s="1" t="s">
        <v>100</v>
      </c>
      <c r="AB166" s="1" t="s">
        <v>106</v>
      </c>
      <c r="AC166" s="1" t="s">
        <v>44</v>
      </c>
      <c r="AD166" s="1" t="s">
        <v>101</v>
      </c>
      <c r="AE166" s="1" t="s">
        <v>40</v>
      </c>
    </row>
    <row r="167" spans="1:31">
      <c r="A167" s="1" t="s">
        <v>748</v>
      </c>
      <c r="B167" s="26" t="s">
        <v>76</v>
      </c>
      <c r="C167" s="54">
        <v>45867</v>
      </c>
      <c r="D167" s="1" t="s">
        <v>130</v>
      </c>
      <c r="E167" s="1" t="s">
        <v>74</v>
      </c>
      <c r="F167" s="1">
        <v>2025</v>
      </c>
      <c r="G167" s="1" t="s">
        <v>81</v>
      </c>
      <c r="H167" s="1" t="s">
        <v>27</v>
      </c>
      <c r="I167" s="1">
        <v>38.07</v>
      </c>
      <c r="J167" s="1">
        <v>-122.06</v>
      </c>
      <c r="K167" s="1">
        <v>1972</v>
      </c>
      <c r="L167" s="1">
        <v>2021</v>
      </c>
      <c r="M167" s="1">
        <f t="shared" si="2"/>
        <v>50</v>
      </c>
      <c r="N167" s="1" t="s">
        <v>30</v>
      </c>
      <c r="O167" s="1" t="s">
        <v>199</v>
      </c>
      <c r="P167" s="1" t="s">
        <v>1014</v>
      </c>
      <c r="Q167" s="1" t="s">
        <v>86</v>
      </c>
      <c r="R167" s="1" t="s">
        <v>29</v>
      </c>
      <c r="S167" s="1" t="s">
        <v>38</v>
      </c>
      <c r="T167" s="1" t="s">
        <v>40</v>
      </c>
      <c r="U167" s="1" t="s">
        <v>40</v>
      </c>
      <c r="V167" s="1">
        <v>-2.38</v>
      </c>
      <c r="X167" s="1" t="s">
        <v>40</v>
      </c>
      <c r="Y167" s="1" t="s">
        <v>694</v>
      </c>
      <c r="Z167" s="1" t="s">
        <v>40</v>
      </c>
      <c r="AA167" s="1" t="s">
        <v>100</v>
      </c>
      <c r="AB167" s="1" t="s">
        <v>106</v>
      </c>
      <c r="AC167" s="1" t="s">
        <v>44</v>
      </c>
      <c r="AD167" s="1" t="s">
        <v>101</v>
      </c>
      <c r="AE167" s="1" t="s">
        <v>40</v>
      </c>
    </row>
    <row r="168" spans="1:31">
      <c r="A168" s="1" t="s">
        <v>748</v>
      </c>
      <c r="B168" s="26" t="s">
        <v>76</v>
      </c>
      <c r="C168" s="54">
        <v>45867</v>
      </c>
      <c r="D168" s="1" t="s">
        <v>130</v>
      </c>
      <c r="E168" s="1" t="s">
        <v>74</v>
      </c>
      <c r="F168" s="1">
        <v>2025</v>
      </c>
      <c r="G168" s="1" t="s">
        <v>81</v>
      </c>
      <c r="H168" s="1" t="s">
        <v>27</v>
      </c>
      <c r="I168" s="1">
        <v>38.07</v>
      </c>
      <c r="J168" s="1">
        <v>-122.06</v>
      </c>
      <c r="K168" s="1">
        <v>1972</v>
      </c>
      <c r="L168" s="1">
        <v>2021</v>
      </c>
      <c r="M168" s="1">
        <f t="shared" si="2"/>
        <v>50</v>
      </c>
      <c r="N168" s="1" t="s">
        <v>30</v>
      </c>
      <c r="O168" s="1" t="s">
        <v>199</v>
      </c>
      <c r="P168" s="1" t="s">
        <v>1014</v>
      </c>
      <c r="Q168" s="1" t="s">
        <v>91</v>
      </c>
      <c r="R168" s="1" t="s">
        <v>29</v>
      </c>
      <c r="S168" s="1" t="s">
        <v>38</v>
      </c>
      <c r="T168" s="1" t="s">
        <v>40</v>
      </c>
      <c r="U168" s="1" t="s">
        <v>40</v>
      </c>
      <c r="V168" s="1">
        <v>-1.3</v>
      </c>
      <c r="X168" s="1" t="s">
        <v>40</v>
      </c>
      <c r="Y168" s="1" t="s">
        <v>694</v>
      </c>
      <c r="Z168" s="1" t="s">
        <v>40</v>
      </c>
      <c r="AA168" s="1" t="s">
        <v>100</v>
      </c>
      <c r="AB168" s="1" t="s">
        <v>106</v>
      </c>
      <c r="AC168" s="1" t="s">
        <v>44</v>
      </c>
      <c r="AD168" s="1" t="s">
        <v>101</v>
      </c>
      <c r="AE168" s="1" t="s">
        <v>40</v>
      </c>
    </row>
    <row r="169" spans="1:31">
      <c r="A169" s="1" t="s">
        <v>748</v>
      </c>
      <c r="B169" s="26" t="s">
        <v>76</v>
      </c>
      <c r="C169" s="54">
        <v>45867</v>
      </c>
      <c r="D169" s="1" t="s">
        <v>130</v>
      </c>
      <c r="E169" s="1" t="s">
        <v>74</v>
      </c>
      <c r="F169" s="1">
        <v>2025</v>
      </c>
      <c r="G169" s="1" t="s">
        <v>81</v>
      </c>
      <c r="H169" s="1" t="s">
        <v>27</v>
      </c>
      <c r="I169" s="1">
        <v>38.07</v>
      </c>
      <c r="J169" s="1">
        <v>-122.06</v>
      </c>
      <c r="K169" s="1">
        <v>1972</v>
      </c>
      <c r="L169" s="1">
        <v>2021</v>
      </c>
      <c r="M169" s="1">
        <f t="shared" si="2"/>
        <v>50</v>
      </c>
      <c r="N169" s="1" t="s">
        <v>30</v>
      </c>
      <c r="O169" s="1" t="s">
        <v>199</v>
      </c>
      <c r="P169" s="1" t="s">
        <v>1014</v>
      </c>
      <c r="Q169" s="1" t="s">
        <v>90</v>
      </c>
      <c r="R169" s="1" t="s">
        <v>29</v>
      </c>
      <c r="S169" s="1" t="s">
        <v>38</v>
      </c>
      <c r="T169" s="1" t="s">
        <v>40</v>
      </c>
      <c r="U169" s="1" t="s">
        <v>40</v>
      </c>
      <c r="V169" s="1">
        <v>-4.4800000000000004</v>
      </c>
      <c r="X169" s="1" t="s">
        <v>40</v>
      </c>
      <c r="Y169" s="1" t="s">
        <v>694</v>
      </c>
      <c r="Z169" s="1" t="s">
        <v>40</v>
      </c>
      <c r="AA169" s="1" t="s">
        <v>100</v>
      </c>
      <c r="AB169" s="1" t="s">
        <v>106</v>
      </c>
      <c r="AC169" s="1" t="s">
        <v>44</v>
      </c>
      <c r="AD169" s="1" t="s">
        <v>101</v>
      </c>
      <c r="AE169" s="1" t="s">
        <v>40</v>
      </c>
    </row>
    <row r="170" spans="1:31">
      <c r="A170" s="1" t="s">
        <v>748</v>
      </c>
      <c r="B170" s="26" t="s">
        <v>76</v>
      </c>
      <c r="C170" s="54">
        <v>45867</v>
      </c>
      <c r="D170" s="1" t="s">
        <v>130</v>
      </c>
      <c r="E170" s="1" t="s">
        <v>74</v>
      </c>
      <c r="F170" s="1">
        <v>2025</v>
      </c>
      <c r="G170" s="1" t="s">
        <v>82</v>
      </c>
      <c r="H170" s="1" t="s">
        <v>27</v>
      </c>
      <c r="I170" s="1">
        <v>38.06</v>
      </c>
      <c r="J170" s="1">
        <v>-122.41</v>
      </c>
      <c r="K170" s="1">
        <v>1980</v>
      </c>
      <c r="L170" s="1">
        <v>2020</v>
      </c>
      <c r="M170" s="1">
        <f t="shared" si="2"/>
        <v>41</v>
      </c>
      <c r="N170" s="1" t="s">
        <v>30</v>
      </c>
      <c r="O170" s="1" t="s">
        <v>199</v>
      </c>
      <c r="P170" s="1" t="s">
        <v>1014</v>
      </c>
      <c r="Q170" s="1" t="s">
        <v>86</v>
      </c>
      <c r="R170" s="1" t="s">
        <v>29</v>
      </c>
      <c r="S170" s="1" t="s">
        <v>38</v>
      </c>
      <c r="T170" s="1" t="s">
        <v>40</v>
      </c>
      <c r="U170" s="1" t="s">
        <v>40</v>
      </c>
      <c r="V170" s="1">
        <v>-5.48</v>
      </c>
      <c r="X170" s="1" t="s">
        <v>40</v>
      </c>
      <c r="Y170" s="1" t="s">
        <v>694</v>
      </c>
      <c r="Z170" s="1" t="s">
        <v>40</v>
      </c>
      <c r="AA170" s="1" t="s">
        <v>100</v>
      </c>
      <c r="AB170" s="1" t="s">
        <v>106</v>
      </c>
      <c r="AC170" s="1" t="s">
        <v>44</v>
      </c>
      <c r="AD170" s="1" t="s">
        <v>101</v>
      </c>
      <c r="AE170" s="1" t="s">
        <v>40</v>
      </c>
    </row>
    <row r="171" spans="1:31">
      <c r="A171" s="1" t="s">
        <v>748</v>
      </c>
      <c r="B171" s="26" t="s">
        <v>76</v>
      </c>
      <c r="C171" s="54">
        <v>45867</v>
      </c>
      <c r="D171" s="1" t="s">
        <v>130</v>
      </c>
      <c r="E171" s="1" t="s">
        <v>74</v>
      </c>
      <c r="F171" s="1">
        <v>2025</v>
      </c>
      <c r="G171" s="1" t="s">
        <v>82</v>
      </c>
      <c r="H171" s="1" t="s">
        <v>27</v>
      </c>
      <c r="I171" s="1">
        <v>38.06</v>
      </c>
      <c r="J171" s="1">
        <v>-122.41</v>
      </c>
      <c r="K171" s="1">
        <v>1980</v>
      </c>
      <c r="L171" s="1">
        <v>2020</v>
      </c>
      <c r="M171" s="1">
        <f t="shared" si="2"/>
        <v>41</v>
      </c>
      <c r="N171" s="1" t="s">
        <v>30</v>
      </c>
      <c r="O171" s="1" t="s">
        <v>199</v>
      </c>
      <c r="P171" s="1" t="s">
        <v>1014</v>
      </c>
      <c r="Q171" s="1" t="s">
        <v>104</v>
      </c>
      <c r="R171" s="1" t="s">
        <v>29</v>
      </c>
      <c r="S171" s="1" t="s">
        <v>38</v>
      </c>
      <c r="T171" s="1" t="s">
        <v>40</v>
      </c>
      <c r="U171" s="1" t="s">
        <v>40</v>
      </c>
      <c r="V171" s="1">
        <v>-2.64</v>
      </c>
      <c r="X171" s="1" t="s">
        <v>40</v>
      </c>
      <c r="Y171" s="1" t="s">
        <v>694</v>
      </c>
      <c r="Z171" s="1" t="s">
        <v>40</v>
      </c>
      <c r="AA171" s="1" t="s">
        <v>100</v>
      </c>
      <c r="AB171" s="1" t="s">
        <v>106</v>
      </c>
      <c r="AC171" s="1" t="s">
        <v>44</v>
      </c>
      <c r="AD171" s="1" t="s">
        <v>101</v>
      </c>
      <c r="AE171" s="1" t="s">
        <v>40</v>
      </c>
    </row>
    <row r="172" spans="1:31">
      <c r="A172" s="1" t="s">
        <v>748</v>
      </c>
      <c r="B172" s="26" t="s">
        <v>76</v>
      </c>
      <c r="C172" s="54">
        <v>45867</v>
      </c>
      <c r="D172" s="1" t="s">
        <v>130</v>
      </c>
      <c r="E172" s="1" t="s">
        <v>74</v>
      </c>
      <c r="F172" s="1">
        <v>2025</v>
      </c>
      <c r="G172" s="1" t="s">
        <v>82</v>
      </c>
      <c r="H172" s="1" t="s">
        <v>27</v>
      </c>
      <c r="I172" s="1">
        <v>38.06</v>
      </c>
      <c r="J172" s="1">
        <v>-122.41</v>
      </c>
      <c r="K172" s="1">
        <v>1980</v>
      </c>
      <c r="L172" s="1">
        <v>2020</v>
      </c>
      <c r="M172" s="1">
        <f t="shared" si="2"/>
        <v>41</v>
      </c>
      <c r="N172" s="1" t="s">
        <v>30</v>
      </c>
      <c r="O172" s="1" t="s">
        <v>199</v>
      </c>
      <c r="P172" s="1" t="s">
        <v>1014</v>
      </c>
      <c r="Q172" s="1" t="s">
        <v>105</v>
      </c>
      <c r="R172" s="1" t="s">
        <v>29</v>
      </c>
      <c r="S172" s="1" t="s">
        <v>38</v>
      </c>
      <c r="T172" s="1" t="s">
        <v>40</v>
      </c>
      <c r="U172" s="1" t="s">
        <v>40</v>
      </c>
      <c r="V172" s="1">
        <v>-0.28999999999999998</v>
      </c>
      <c r="X172" s="1" t="s">
        <v>40</v>
      </c>
      <c r="Y172" s="1" t="s">
        <v>694</v>
      </c>
      <c r="Z172" s="1" t="s">
        <v>40</v>
      </c>
      <c r="AA172" s="1" t="s">
        <v>100</v>
      </c>
      <c r="AB172" s="1" t="s">
        <v>106</v>
      </c>
      <c r="AC172" s="1" t="s">
        <v>44</v>
      </c>
      <c r="AD172" s="1" t="s">
        <v>101</v>
      </c>
      <c r="AE172" s="1" t="s">
        <v>40</v>
      </c>
    </row>
    <row r="173" spans="1:31">
      <c r="A173" s="1" t="s">
        <v>748</v>
      </c>
      <c r="B173" s="26" t="s">
        <v>76</v>
      </c>
      <c r="C173" s="54">
        <v>45867</v>
      </c>
      <c r="D173" s="1" t="s">
        <v>130</v>
      </c>
      <c r="E173" s="1" t="s">
        <v>74</v>
      </c>
      <c r="F173" s="1">
        <v>2025</v>
      </c>
      <c r="G173" s="1" t="s">
        <v>108</v>
      </c>
      <c r="H173" s="1" t="s">
        <v>27</v>
      </c>
      <c r="I173" s="1">
        <v>41.91</v>
      </c>
      <c r="J173" s="1">
        <v>-70.34</v>
      </c>
      <c r="K173" s="1">
        <v>1992</v>
      </c>
      <c r="L173" s="1">
        <v>2022</v>
      </c>
      <c r="M173" s="1">
        <f t="shared" si="2"/>
        <v>31</v>
      </c>
      <c r="N173" s="1" t="s">
        <v>30</v>
      </c>
      <c r="O173" s="1" t="s">
        <v>199</v>
      </c>
      <c r="P173" s="1" t="s">
        <v>1014</v>
      </c>
      <c r="Q173" s="1" t="s">
        <v>56</v>
      </c>
      <c r="R173" s="1" t="s">
        <v>29</v>
      </c>
      <c r="S173" s="1" t="s">
        <v>38</v>
      </c>
      <c r="T173" s="1" t="s">
        <v>40</v>
      </c>
      <c r="U173" s="1" t="s">
        <v>40</v>
      </c>
      <c r="V173" s="1">
        <v>-0.03</v>
      </c>
      <c r="X173" s="1" t="s">
        <v>40</v>
      </c>
      <c r="Y173" s="1" t="s">
        <v>41</v>
      </c>
      <c r="Z173" s="1" t="s">
        <v>40</v>
      </c>
      <c r="AA173" s="1" t="s">
        <v>100</v>
      </c>
      <c r="AB173" s="1" t="s">
        <v>106</v>
      </c>
      <c r="AC173" s="1" t="s">
        <v>44</v>
      </c>
      <c r="AD173" s="1" t="s">
        <v>101</v>
      </c>
      <c r="AE173" s="1" t="s">
        <v>40</v>
      </c>
    </row>
    <row r="174" spans="1:31">
      <c r="A174" s="1" t="s">
        <v>748</v>
      </c>
      <c r="B174" s="26" t="s">
        <v>76</v>
      </c>
      <c r="C174" s="54">
        <v>45867</v>
      </c>
      <c r="D174" s="1" t="s">
        <v>130</v>
      </c>
      <c r="E174" s="1" t="s">
        <v>74</v>
      </c>
      <c r="F174" s="1">
        <v>2025</v>
      </c>
      <c r="G174" s="1" t="s">
        <v>108</v>
      </c>
      <c r="H174" s="1" t="s">
        <v>27</v>
      </c>
      <c r="I174" s="1">
        <v>41.91</v>
      </c>
      <c r="J174" s="1">
        <v>-70.34</v>
      </c>
      <c r="K174" s="1">
        <v>1992</v>
      </c>
      <c r="L174" s="1">
        <v>2022</v>
      </c>
      <c r="M174" s="1">
        <f t="shared" si="2"/>
        <v>31</v>
      </c>
      <c r="N174" s="1" t="s">
        <v>30</v>
      </c>
      <c r="O174" s="1" t="s">
        <v>199</v>
      </c>
      <c r="P174" s="1" t="s">
        <v>1014</v>
      </c>
      <c r="Q174" s="1" t="s">
        <v>109</v>
      </c>
      <c r="R174" s="1" t="s">
        <v>29</v>
      </c>
      <c r="S174" s="1" t="s">
        <v>38</v>
      </c>
      <c r="T174" s="1" t="s">
        <v>40</v>
      </c>
      <c r="U174" s="1" t="s">
        <v>40</v>
      </c>
      <c r="V174" s="1">
        <v>-0.9</v>
      </c>
      <c r="X174" s="1" t="s">
        <v>40</v>
      </c>
      <c r="Y174" s="1" t="s">
        <v>694</v>
      </c>
      <c r="Z174" s="1" t="s">
        <v>40</v>
      </c>
      <c r="AA174" s="1" t="s">
        <v>100</v>
      </c>
      <c r="AB174" s="1" t="s">
        <v>106</v>
      </c>
      <c r="AC174" s="1" t="s">
        <v>44</v>
      </c>
      <c r="AD174" s="1" t="s">
        <v>101</v>
      </c>
      <c r="AE174" s="1" t="s">
        <v>40</v>
      </c>
    </row>
    <row r="175" spans="1:31">
      <c r="A175" s="1" t="s">
        <v>748</v>
      </c>
      <c r="B175" s="26" t="s">
        <v>76</v>
      </c>
      <c r="C175" s="54">
        <v>45867</v>
      </c>
      <c r="D175" s="1" t="s">
        <v>130</v>
      </c>
      <c r="E175" s="1" t="s">
        <v>74</v>
      </c>
      <c r="F175" s="1">
        <v>2025</v>
      </c>
      <c r="G175" s="1" t="s">
        <v>108</v>
      </c>
      <c r="H175" s="1" t="s">
        <v>27</v>
      </c>
      <c r="I175" s="1">
        <v>41.91</v>
      </c>
      <c r="J175" s="1">
        <v>-70.34</v>
      </c>
      <c r="K175" s="1">
        <v>1992</v>
      </c>
      <c r="L175" s="1">
        <v>2022</v>
      </c>
      <c r="M175" s="1">
        <f t="shared" si="2"/>
        <v>31</v>
      </c>
      <c r="N175" s="1" t="s">
        <v>30</v>
      </c>
      <c r="O175" s="1" t="s">
        <v>199</v>
      </c>
      <c r="P175" s="1" t="s">
        <v>1014</v>
      </c>
      <c r="Q175" s="1" t="s">
        <v>64</v>
      </c>
      <c r="R175" s="1" t="s">
        <v>29</v>
      </c>
      <c r="S175" s="1" t="s">
        <v>38</v>
      </c>
      <c r="T175" s="1" t="s">
        <v>40</v>
      </c>
      <c r="U175" s="1" t="s">
        <v>40</v>
      </c>
      <c r="V175" s="1">
        <v>-3.02</v>
      </c>
      <c r="X175" s="1" t="s">
        <v>40</v>
      </c>
      <c r="Y175" s="1" t="s">
        <v>694</v>
      </c>
      <c r="Z175" s="1" t="s">
        <v>40</v>
      </c>
      <c r="AA175" s="1" t="s">
        <v>100</v>
      </c>
      <c r="AB175" s="1" t="s">
        <v>106</v>
      </c>
      <c r="AC175" s="1" t="s">
        <v>44</v>
      </c>
      <c r="AD175" s="1" t="s">
        <v>101</v>
      </c>
      <c r="AE175" s="1" t="s">
        <v>40</v>
      </c>
    </row>
    <row r="176" spans="1:31">
      <c r="A176" s="1" t="s">
        <v>748</v>
      </c>
      <c r="B176" s="26" t="s">
        <v>76</v>
      </c>
      <c r="C176" s="54">
        <v>45867</v>
      </c>
      <c r="D176" s="1" t="s">
        <v>130</v>
      </c>
      <c r="E176" s="1" t="s">
        <v>74</v>
      </c>
      <c r="F176" s="1">
        <v>2025</v>
      </c>
      <c r="G176" s="1" t="s">
        <v>108</v>
      </c>
      <c r="H176" s="1" t="s">
        <v>27</v>
      </c>
      <c r="I176" s="1">
        <v>41.91</v>
      </c>
      <c r="J176" s="1">
        <v>-70.34</v>
      </c>
      <c r="K176" s="1">
        <v>1992</v>
      </c>
      <c r="L176" s="1">
        <v>2022</v>
      </c>
      <c r="M176" s="1">
        <f t="shared" si="2"/>
        <v>31</v>
      </c>
      <c r="N176" s="1" t="s">
        <v>30</v>
      </c>
      <c r="O176" s="1" t="s">
        <v>199</v>
      </c>
      <c r="P176" s="1" t="s">
        <v>1014</v>
      </c>
      <c r="Q176" s="1" t="s">
        <v>110</v>
      </c>
      <c r="R176" s="1" t="s">
        <v>29</v>
      </c>
      <c r="S176" s="1" t="s">
        <v>38</v>
      </c>
      <c r="T176" s="1" t="s">
        <v>40</v>
      </c>
      <c r="U176" s="1" t="s">
        <v>40</v>
      </c>
      <c r="V176" s="1">
        <v>0.03</v>
      </c>
      <c r="X176" s="1" t="s">
        <v>40</v>
      </c>
      <c r="Y176" s="1" t="s">
        <v>41</v>
      </c>
      <c r="Z176" s="1" t="s">
        <v>40</v>
      </c>
      <c r="AA176" s="1" t="s">
        <v>100</v>
      </c>
      <c r="AB176" s="1" t="s">
        <v>106</v>
      </c>
      <c r="AC176" s="1" t="s">
        <v>44</v>
      </c>
      <c r="AD176" s="1" t="s">
        <v>101</v>
      </c>
      <c r="AE176" s="1" t="s">
        <v>40</v>
      </c>
    </row>
    <row r="177" spans="1:31">
      <c r="A177" s="1" t="s">
        <v>748</v>
      </c>
      <c r="B177" s="26" t="s">
        <v>76</v>
      </c>
      <c r="C177" s="54">
        <v>45867</v>
      </c>
      <c r="D177" s="1" t="s">
        <v>130</v>
      </c>
      <c r="E177" s="1" t="s">
        <v>74</v>
      </c>
      <c r="F177" s="1">
        <v>2025</v>
      </c>
      <c r="G177" s="1" t="s">
        <v>108</v>
      </c>
      <c r="H177" s="1" t="s">
        <v>27</v>
      </c>
      <c r="I177" s="1">
        <v>41.91</v>
      </c>
      <c r="J177" s="1">
        <v>-70.34</v>
      </c>
      <c r="K177" s="1">
        <v>1992</v>
      </c>
      <c r="L177" s="1">
        <v>2022</v>
      </c>
      <c r="M177" s="1">
        <f t="shared" si="2"/>
        <v>31</v>
      </c>
      <c r="N177" s="1" t="s">
        <v>30</v>
      </c>
      <c r="O177" s="1" t="s">
        <v>199</v>
      </c>
      <c r="P177" s="1" t="s">
        <v>1014</v>
      </c>
      <c r="Q177" s="1" t="s">
        <v>111</v>
      </c>
      <c r="R177" s="1" t="s">
        <v>29</v>
      </c>
      <c r="S177" s="1" t="s">
        <v>38</v>
      </c>
      <c r="T177" s="1" t="s">
        <v>40</v>
      </c>
      <c r="U177" s="1" t="s">
        <v>40</v>
      </c>
      <c r="V177" s="1">
        <v>-3.68</v>
      </c>
      <c r="X177" s="1" t="s">
        <v>40</v>
      </c>
      <c r="Y177" s="1" t="s">
        <v>694</v>
      </c>
      <c r="Z177" s="1" t="s">
        <v>40</v>
      </c>
      <c r="AA177" s="1" t="s">
        <v>100</v>
      </c>
      <c r="AB177" s="1" t="s">
        <v>106</v>
      </c>
      <c r="AC177" s="1" t="s">
        <v>44</v>
      </c>
      <c r="AD177" s="1" t="s">
        <v>101</v>
      </c>
      <c r="AE177" s="1" t="s">
        <v>40</v>
      </c>
    </row>
    <row r="178" spans="1:31">
      <c r="A178" s="1" t="s">
        <v>748</v>
      </c>
      <c r="B178" s="26" t="s">
        <v>76</v>
      </c>
      <c r="C178" s="54">
        <v>45867</v>
      </c>
      <c r="D178" s="1" t="s">
        <v>130</v>
      </c>
      <c r="E178" s="1" t="s">
        <v>74</v>
      </c>
      <c r="F178" s="1">
        <v>2025</v>
      </c>
      <c r="G178" s="1" t="s">
        <v>108</v>
      </c>
      <c r="H178" s="1" t="s">
        <v>27</v>
      </c>
      <c r="I178" s="1">
        <v>41.91</v>
      </c>
      <c r="J178" s="1">
        <v>-70.34</v>
      </c>
      <c r="K178" s="1">
        <v>1992</v>
      </c>
      <c r="L178" s="1">
        <v>2022</v>
      </c>
      <c r="M178" s="1">
        <f t="shared" si="2"/>
        <v>31</v>
      </c>
      <c r="N178" s="1" t="s">
        <v>30</v>
      </c>
      <c r="O178" s="1" t="s">
        <v>199</v>
      </c>
      <c r="P178" s="1" t="s">
        <v>1014</v>
      </c>
      <c r="Q178" s="1" t="s">
        <v>65</v>
      </c>
      <c r="R178" s="1" t="s">
        <v>29</v>
      </c>
      <c r="S178" s="1" t="s">
        <v>38</v>
      </c>
      <c r="T178" s="1" t="s">
        <v>40</v>
      </c>
      <c r="U178" s="1" t="s">
        <v>40</v>
      </c>
      <c r="V178" s="1">
        <v>-3.62</v>
      </c>
      <c r="X178" s="1" t="s">
        <v>40</v>
      </c>
      <c r="Y178" s="1" t="s">
        <v>694</v>
      </c>
      <c r="Z178" s="1" t="s">
        <v>40</v>
      </c>
      <c r="AA178" s="1" t="s">
        <v>100</v>
      </c>
      <c r="AB178" s="1" t="s">
        <v>106</v>
      </c>
      <c r="AC178" s="1" t="s">
        <v>44</v>
      </c>
      <c r="AD178" s="1" t="s">
        <v>101</v>
      </c>
      <c r="AE178" s="1" t="s">
        <v>40</v>
      </c>
    </row>
    <row r="179" spans="1:31">
      <c r="A179" s="1" t="s">
        <v>748</v>
      </c>
      <c r="B179" s="26" t="s">
        <v>76</v>
      </c>
      <c r="C179" s="54">
        <v>45867</v>
      </c>
      <c r="D179" s="1" t="s">
        <v>130</v>
      </c>
      <c r="E179" s="1" t="s">
        <v>74</v>
      </c>
      <c r="F179" s="1">
        <v>2025</v>
      </c>
      <c r="G179" s="1" t="s">
        <v>107</v>
      </c>
      <c r="H179" s="1" t="s">
        <v>27</v>
      </c>
      <c r="I179" s="1">
        <v>42.39</v>
      </c>
      <c r="J179" s="1">
        <v>-70.760000000000005</v>
      </c>
      <c r="K179" s="1">
        <v>1992</v>
      </c>
      <c r="L179" s="1">
        <v>2022</v>
      </c>
      <c r="M179" s="1">
        <f t="shared" si="2"/>
        <v>31</v>
      </c>
      <c r="N179" s="1" t="s">
        <v>30</v>
      </c>
      <c r="O179" s="1" t="s">
        <v>199</v>
      </c>
      <c r="P179" s="1" t="s">
        <v>1014</v>
      </c>
      <c r="Q179" s="1" t="s">
        <v>112</v>
      </c>
      <c r="R179" s="1" t="s">
        <v>29</v>
      </c>
      <c r="S179" s="1" t="s">
        <v>38</v>
      </c>
      <c r="T179" s="1" t="s">
        <v>40</v>
      </c>
      <c r="U179" s="1" t="s">
        <v>40</v>
      </c>
      <c r="V179" s="1">
        <v>-1.72</v>
      </c>
      <c r="X179" s="1" t="s">
        <v>40</v>
      </c>
      <c r="Y179" s="1" t="s">
        <v>694</v>
      </c>
      <c r="Z179" s="1" t="s">
        <v>40</v>
      </c>
      <c r="AA179" s="1" t="s">
        <v>100</v>
      </c>
      <c r="AB179" s="1" t="s">
        <v>106</v>
      </c>
      <c r="AC179" s="1" t="s">
        <v>44</v>
      </c>
      <c r="AD179" s="1" t="s">
        <v>101</v>
      </c>
      <c r="AE179" s="1" t="s">
        <v>40</v>
      </c>
    </row>
    <row r="180" spans="1:31">
      <c r="A180" s="1" t="s">
        <v>748</v>
      </c>
      <c r="B180" s="26" t="s">
        <v>76</v>
      </c>
      <c r="C180" s="54">
        <v>45867</v>
      </c>
      <c r="D180" s="1" t="s">
        <v>130</v>
      </c>
      <c r="E180" s="1" t="s">
        <v>74</v>
      </c>
      <c r="F180" s="1">
        <v>2025</v>
      </c>
      <c r="G180" s="1" t="s">
        <v>107</v>
      </c>
      <c r="H180" s="1" t="s">
        <v>27</v>
      </c>
      <c r="I180" s="1">
        <v>42.39</v>
      </c>
      <c r="J180" s="1">
        <v>-70.760000000000005</v>
      </c>
      <c r="K180" s="1">
        <v>1992</v>
      </c>
      <c r="L180" s="1">
        <v>2022</v>
      </c>
      <c r="M180" s="1">
        <f t="shared" si="2"/>
        <v>31</v>
      </c>
      <c r="N180" s="1" t="s">
        <v>30</v>
      </c>
      <c r="O180" s="1" t="s">
        <v>199</v>
      </c>
      <c r="P180" s="1" t="s">
        <v>1014</v>
      </c>
      <c r="Q180" s="1" t="s">
        <v>56</v>
      </c>
      <c r="R180" s="1" t="s">
        <v>29</v>
      </c>
      <c r="S180" s="1" t="s">
        <v>38</v>
      </c>
      <c r="T180" s="1" t="s">
        <v>40</v>
      </c>
      <c r="U180" s="1" t="s">
        <v>40</v>
      </c>
      <c r="V180" s="1">
        <v>-2.04</v>
      </c>
      <c r="X180" s="1" t="s">
        <v>40</v>
      </c>
      <c r="Y180" s="1" t="s">
        <v>694</v>
      </c>
      <c r="Z180" s="1" t="s">
        <v>40</v>
      </c>
      <c r="AA180" s="1" t="s">
        <v>100</v>
      </c>
      <c r="AB180" s="1" t="s">
        <v>106</v>
      </c>
      <c r="AC180" s="1" t="s">
        <v>44</v>
      </c>
      <c r="AD180" s="1" t="s">
        <v>101</v>
      </c>
      <c r="AE180" s="1" t="s">
        <v>40</v>
      </c>
    </row>
    <row r="181" spans="1:31">
      <c r="A181" s="1" t="s">
        <v>748</v>
      </c>
      <c r="B181" s="26" t="s">
        <v>76</v>
      </c>
      <c r="C181" s="54">
        <v>45867</v>
      </c>
      <c r="D181" s="1" t="s">
        <v>130</v>
      </c>
      <c r="E181" s="1" t="s">
        <v>74</v>
      </c>
      <c r="F181" s="1">
        <v>2025</v>
      </c>
      <c r="G181" s="1" t="s">
        <v>107</v>
      </c>
      <c r="H181" s="1" t="s">
        <v>27</v>
      </c>
      <c r="I181" s="1">
        <v>42.39</v>
      </c>
      <c r="J181" s="1">
        <v>-70.760000000000005</v>
      </c>
      <c r="K181" s="1">
        <v>1992</v>
      </c>
      <c r="L181" s="1">
        <v>2022</v>
      </c>
      <c r="M181" s="1">
        <f t="shared" si="2"/>
        <v>31</v>
      </c>
      <c r="N181" s="1" t="s">
        <v>30</v>
      </c>
      <c r="O181" s="1" t="s">
        <v>199</v>
      </c>
      <c r="P181" s="1" t="s">
        <v>1014</v>
      </c>
      <c r="Q181" s="1" t="s">
        <v>64</v>
      </c>
      <c r="R181" s="1" t="s">
        <v>29</v>
      </c>
      <c r="S181" s="1" t="s">
        <v>38</v>
      </c>
      <c r="T181" s="1" t="s">
        <v>40</v>
      </c>
      <c r="U181" s="1" t="s">
        <v>40</v>
      </c>
      <c r="V181" s="1">
        <v>0.3</v>
      </c>
      <c r="X181" s="1" t="s">
        <v>40</v>
      </c>
      <c r="Y181" s="1" t="s">
        <v>41</v>
      </c>
      <c r="Z181" s="1" t="s">
        <v>40</v>
      </c>
      <c r="AA181" s="1" t="s">
        <v>100</v>
      </c>
      <c r="AB181" s="1" t="s">
        <v>106</v>
      </c>
      <c r="AC181" s="1" t="s">
        <v>44</v>
      </c>
      <c r="AD181" s="1" t="s">
        <v>101</v>
      </c>
      <c r="AE181" s="1" t="s">
        <v>40</v>
      </c>
    </row>
    <row r="182" spans="1:31">
      <c r="A182" s="1" t="s">
        <v>748</v>
      </c>
      <c r="B182" s="26" t="s">
        <v>76</v>
      </c>
      <c r="C182" s="54">
        <v>45867</v>
      </c>
      <c r="D182" s="1" t="s">
        <v>130</v>
      </c>
      <c r="E182" s="1" t="s">
        <v>74</v>
      </c>
      <c r="F182" s="1">
        <v>2025</v>
      </c>
      <c r="G182" s="1" t="s">
        <v>107</v>
      </c>
      <c r="H182" s="1" t="s">
        <v>27</v>
      </c>
      <c r="I182" s="1">
        <v>42.39</v>
      </c>
      <c r="J182" s="1">
        <v>-70.760000000000005</v>
      </c>
      <c r="K182" s="1">
        <v>1992</v>
      </c>
      <c r="L182" s="1">
        <v>2022</v>
      </c>
      <c r="M182" s="1">
        <f t="shared" si="2"/>
        <v>31</v>
      </c>
      <c r="N182" s="1" t="s">
        <v>30</v>
      </c>
      <c r="O182" s="1" t="s">
        <v>199</v>
      </c>
      <c r="P182" s="1" t="s">
        <v>1014</v>
      </c>
      <c r="Q182" s="1" t="s">
        <v>109</v>
      </c>
      <c r="R182" s="1" t="s">
        <v>29</v>
      </c>
      <c r="S182" s="1" t="s">
        <v>38</v>
      </c>
      <c r="T182" s="1" t="s">
        <v>40</v>
      </c>
      <c r="U182" s="1" t="s">
        <v>40</v>
      </c>
      <c r="V182" s="1">
        <v>-4.82</v>
      </c>
      <c r="X182" s="1" t="s">
        <v>40</v>
      </c>
      <c r="Y182" s="1" t="s">
        <v>694</v>
      </c>
      <c r="Z182" s="1" t="s">
        <v>40</v>
      </c>
      <c r="AA182" s="1" t="s">
        <v>100</v>
      </c>
      <c r="AB182" s="1" t="s">
        <v>106</v>
      </c>
      <c r="AC182" s="1" t="s">
        <v>44</v>
      </c>
      <c r="AD182" s="1" t="s">
        <v>101</v>
      </c>
      <c r="AE182" s="1" t="s">
        <v>40</v>
      </c>
    </row>
    <row r="183" spans="1:31">
      <c r="A183" s="1" t="s">
        <v>748</v>
      </c>
      <c r="B183" s="26" t="s">
        <v>76</v>
      </c>
      <c r="C183" s="54">
        <v>45867</v>
      </c>
      <c r="D183" s="1" t="s">
        <v>130</v>
      </c>
      <c r="E183" s="1" t="s">
        <v>74</v>
      </c>
      <c r="F183" s="1">
        <v>2025</v>
      </c>
      <c r="G183" s="1" t="s">
        <v>107</v>
      </c>
      <c r="H183" s="1" t="s">
        <v>27</v>
      </c>
      <c r="I183" s="1">
        <v>42.39</v>
      </c>
      <c r="J183" s="1">
        <v>-70.760000000000005</v>
      </c>
      <c r="K183" s="1">
        <v>1992</v>
      </c>
      <c r="L183" s="1">
        <v>2022</v>
      </c>
      <c r="M183" s="1">
        <f t="shared" si="2"/>
        <v>31</v>
      </c>
      <c r="N183" s="1" t="s">
        <v>30</v>
      </c>
      <c r="O183" s="1" t="s">
        <v>199</v>
      </c>
      <c r="P183" s="1" t="s">
        <v>1014</v>
      </c>
      <c r="Q183" s="1" t="s">
        <v>111</v>
      </c>
      <c r="R183" s="1" t="s">
        <v>29</v>
      </c>
      <c r="S183" s="1" t="s">
        <v>38</v>
      </c>
      <c r="T183" s="1" t="s">
        <v>40</v>
      </c>
      <c r="U183" s="1" t="s">
        <v>40</v>
      </c>
      <c r="V183" s="1">
        <v>-2.15</v>
      </c>
      <c r="X183" s="1" t="s">
        <v>40</v>
      </c>
      <c r="Y183" s="1" t="s">
        <v>694</v>
      </c>
      <c r="Z183" s="1" t="s">
        <v>40</v>
      </c>
      <c r="AA183" s="1" t="s">
        <v>100</v>
      </c>
      <c r="AB183" s="1" t="s">
        <v>106</v>
      </c>
      <c r="AC183" s="1" t="s">
        <v>44</v>
      </c>
      <c r="AD183" s="1" t="s">
        <v>101</v>
      </c>
      <c r="AE183" s="1" t="s">
        <v>40</v>
      </c>
    </row>
    <row r="184" spans="1:31">
      <c r="A184" s="1" t="s">
        <v>748</v>
      </c>
      <c r="B184" s="26" t="s">
        <v>76</v>
      </c>
      <c r="C184" s="54">
        <v>45867</v>
      </c>
      <c r="D184" s="1" t="s">
        <v>130</v>
      </c>
      <c r="E184" s="1" t="s">
        <v>74</v>
      </c>
      <c r="F184" s="1">
        <v>2025</v>
      </c>
      <c r="G184" s="1" t="s">
        <v>107</v>
      </c>
      <c r="H184" s="1" t="s">
        <v>27</v>
      </c>
      <c r="I184" s="1">
        <v>42.39</v>
      </c>
      <c r="J184" s="1">
        <v>-70.760000000000005</v>
      </c>
      <c r="K184" s="1">
        <v>1992</v>
      </c>
      <c r="L184" s="1">
        <v>2022</v>
      </c>
      <c r="M184" s="1">
        <f t="shared" si="2"/>
        <v>31</v>
      </c>
      <c r="N184" s="1" t="s">
        <v>30</v>
      </c>
      <c r="O184" s="1" t="s">
        <v>199</v>
      </c>
      <c r="P184" s="1" t="s">
        <v>1014</v>
      </c>
      <c r="Q184" s="1" t="s">
        <v>65</v>
      </c>
      <c r="R184" s="1" t="s">
        <v>29</v>
      </c>
      <c r="S184" s="1" t="s">
        <v>38</v>
      </c>
      <c r="T184" s="1" t="s">
        <v>40</v>
      </c>
      <c r="U184" s="1" t="s">
        <v>40</v>
      </c>
      <c r="V184" s="1">
        <v>-4.33</v>
      </c>
      <c r="X184" s="1" t="s">
        <v>40</v>
      </c>
      <c r="Y184" s="1" t="s">
        <v>694</v>
      </c>
      <c r="Z184" s="1" t="s">
        <v>40</v>
      </c>
      <c r="AA184" s="1" t="s">
        <v>100</v>
      </c>
      <c r="AB184" s="1" t="s">
        <v>106</v>
      </c>
      <c r="AC184" s="1" t="s">
        <v>44</v>
      </c>
      <c r="AD184" s="1" t="s">
        <v>101</v>
      </c>
      <c r="AE184" s="1" t="s">
        <v>40</v>
      </c>
    </row>
    <row r="185" spans="1:31">
      <c r="A185" s="1" t="s">
        <v>748</v>
      </c>
      <c r="B185" s="26" t="s">
        <v>76</v>
      </c>
      <c r="C185" s="54">
        <v>45867</v>
      </c>
      <c r="D185" s="1" t="s">
        <v>130</v>
      </c>
      <c r="E185" s="1" t="s">
        <v>74</v>
      </c>
      <c r="F185" s="1">
        <v>2025</v>
      </c>
      <c r="G185" s="1" t="s">
        <v>80</v>
      </c>
      <c r="H185" s="1" t="s">
        <v>27</v>
      </c>
      <c r="I185" s="1">
        <v>38.04</v>
      </c>
      <c r="J185" s="1">
        <v>-121.84</v>
      </c>
      <c r="K185" s="1">
        <v>1972</v>
      </c>
      <c r="L185" s="1">
        <v>2021</v>
      </c>
      <c r="M185" s="1">
        <f t="shared" si="2"/>
        <v>50</v>
      </c>
      <c r="N185" s="1" t="s">
        <v>30</v>
      </c>
      <c r="O185" s="1" t="s">
        <v>199</v>
      </c>
      <c r="P185" s="1" t="s">
        <v>98</v>
      </c>
      <c r="Q185" s="1" t="s">
        <v>85</v>
      </c>
      <c r="R185" s="1" t="s">
        <v>29</v>
      </c>
      <c r="S185" s="1" t="s">
        <v>38</v>
      </c>
      <c r="T185" s="1" t="s">
        <v>40</v>
      </c>
      <c r="U185" s="1" t="s">
        <v>40</v>
      </c>
      <c r="V185" s="1">
        <v>-0.46</v>
      </c>
      <c r="X185" s="1" t="s">
        <v>40</v>
      </c>
      <c r="Y185" s="1" t="s">
        <v>694</v>
      </c>
      <c r="Z185" s="1" t="s">
        <v>40</v>
      </c>
      <c r="AA185" s="1" t="s">
        <v>100</v>
      </c>
      <c r="AB185" s="1" t="s">
        <v>106</v>
      </c>
      <c r="AC185" s="1" t="s">
        <v>44</v>
      </c>
      <c r="AD185" s="1" t="s">
        <v>101</v>
      </c>
      <c r="AE185" s="1" t="s">
        <v>40</v>
      </c>
    </row>
    <row r="186" spans="1:31">
      <c r="A186" s="1" t="s">
        <v>748</v>
      </c>
      <c r="B186" s="26" t="s">
        <v>76</v>
      </c>
      <c r="C186" s="54">
        <v>45867</v>
      </c>
      <c r="D186" s="1" t="s">
        <v>130</v>
      </c>
      <c r="E186" s="1" t="s">
        <v>74</v>
      </c>
      <c r="F186" s="1">
        <v>2025</v>
      </c>
      <c r="G186" s="1" t="s">
        <v>80</v>
      </c>
      <c r="H186" s="1" t="s">
        <v>27</v>
      </c>
      <c r="I186" s="1">
        <v>38.04</v>
      </c>
      <c r="J186" s="1">
        <v>-121.84</v>
      </c>
      <c r="K186" s="1">
        <v>1972</v>
      </c>
      <c r="L186" s="1">
        <v>2021</v>
      </c>
      <c r="M186" s="1">
        <f t="shared" si="2"/>
        <v>50</v>
      </c>
      <c r="N186" s="1" t="s">
        <v>30</v>
      </c>
      <c r="O186" s="1" t="s">
        <v>199</v>
      </c>
      <c r="P186" s="1" t="s">
        <v>98</v>
      </c>
      <c r="Q186" s="1" t="s">
        <v>88</v>
      </c>
      <c r="R186" s="1" t="s">
        <v>29</v>
      </c>
      <c r="S186" s="1" t="s">
        <v>38</v>
      </c>
      <c r="T186" s="1" t="s">
        <v>40</v>
      </c>
      <c r="U186" s="1" t="s">
        <v>40</v>
      </c>
      <c r="V186" s="1">
        <v>-0.21</v>
      </c>
      <c r="X186" s="1" t="s">
        <v>40</v>
      </c>
      <c r="Y186" s="1" t="s">
        <v>694</v>
      </c>
      <c r="Z186" s="1" t="s">
        <v>40</v>
      </c>
      <c r="AA186" s="1" t="s">
        <v>100</v>
      </c>
      <c r="AB186" s="1" t="s">
        <v>106</v>
      </c>
      <c r="AC186" s="1" t="s">
        <v>44</v>
      </c>
      <c r="AD186" s="1" t="s">
        <v>101</v>
      </c>
      <c r="AE186" s="1" t="s">
        <v>40</v>
      </c>
    </row>
    <row r="187" spans="1:31">
      <c r="A187" s="1" t="s">
        <v>748</v>
      </c>
      <c r="B187" s="26" t="s">
        <v>76</v>
      </c>
      <c r="C187" s="54">
        <v>45867</v>
      </c>
      <c r="D187" s="1" t="s">
        <v>130</v>
      </c>
      <c r="E187" s="1" t="s">
        <v>74</v>
      </c>
      <c r="F187" s="1">
        <v>2025</v>
      </c>
      <c r="G187" s="1" t="s">
        <v>80</v>
      </c>
      <c r="H187" s="1" t="s">
        <v>27</v>
      </c>
      <c r="I187" s="1">
        <v>38.04</v>
      </c>
      <c r="J187" s="1">
        <v>-121.84</v>
      </c>
      <c r="K187" s="1">
        <v>1972</v>
      </c>
      <c r="L187" s="1">
        <v>2021</v>
      </c>
      <c r="M187" s="1">
        <f t="shared" si="2"/>
        <v>50</v>
      </c>
      <c r="N187" s="1" t="s">
        <v>30</v>
      </c>
      <c r="O187" s="1" t="s">
        <v>199</v>
      </c>
      <c r="P187" s="1" t="s">
        <v>98</v>
      </c>
      <c r="Q187" s="1" t="s">
        <v>96</v>
      </c>
      <c r="R187" s="1" t="s">
        <v>29</v>
      </c>
      <c r="S187" s="1" t="s">
        <v>38</v>
      </c>
      <c r="T187" s="1" t="s">
        <v>40</v>
      </c>
      <c r="U187" s="1" t="s">
        <v>40</v>
      </c>
      <c r="V187" s="1">
        <v>1.1299999999999999</v>
      </c>
      <c r="X187" s="1" t="s">
        <v>40</v>
      </c>
      <c r="Y187" s="1" t="s">
        <v>694</v>
      </c>
      <c r="Z187" s="1" t="s">
        <v>40</v>
      </c>
      <c r="AA187" s="1" t="s">
        <v>100</v>
      </c>
      <c r="AB187" s="1" t="s">
        <v>106</v>
      </c>
      <c r="AC187" s="1" t="s">
        <v>44</v>
      </c>
      <c r="AD187" s="1" t="s">
        <v>101</v>
      </c>
      <c r="AE187" s="1" t="s">
        <v>40</v>
      </c>
    </row>
    <row r="188" spans="1:31">
      <c r="A188" s="1" t="s">
        <v>748</v>
      </c>
      <c r="B188" s="26" t="s">
        <v>76</v>
      </c>
      <c r="C188" s="54">
        <v>45867</v>
      </c>
      <c r="D188" s="1" t="s">
        <v>130</v>
      </c>
      <c r="E188" s="1" t="s">
        <v>74</v>
      </c>
      <c r="F188" s="1">
        <v>2025</v>
      </c>
      <c r="G188" s="1" t="s">
        <v>81</v>
      </c>
      <c r="H188" s="1" t="s">
        <v>27</v>
      </c>
      <c r="I188" s="1">
        <v>38.07</v>
      </c>
      <c r="J188" s="1">
        <v>-122.06</v>
      </c>
      <c r="K188" s="1">
        <v>1972</v>
      </c>
      <c r="L188" s="1">
        <v>2021</v>
      </c>
      <c r="M188" s="1">
        <f t="shared" si="2"/>
        <v>50</v>
      </c>
      <c r="N188" s="1" t="s">
        <v>30</v>
      </c>
      <c r="O188" s="1" t="s">
        <v>199</v>
      </c>
      <c r="P188" s="1" t="s">
        <v>98</v>
      </c>
      <c r="Q188" s="1" t="s">
        <v>88</v>
      </c>
      <c r="R188" s="1" t="s">
        <v>29</v>
      </c>
      <c r="S188" s="1" t="s">
        <v>38</v>
      </c>
      <c r="T188" s="1" t="s">
        <v>40</v>
      </c>
      <c r="U188" s="1" t="s">
        <v>40</v>
      </c>
      <c r="V188" s="1">
        <v>-0.88</v>
      </c>
      <c r="X188" s="1" t="s">
        <v>40</v>
      </c>
      <c r="Y188" s="1" t="s">
        <v>694</v>
      </c>
      <c r="Z188" s="1" t="s">
        <v>40</v>
      </c>
      <c r="AA188" s="1" t="s">
        <v>100</v>
      </c>
      <c r="AB188" s="1" t="s">
        <v>106</v>
      </c>
      <c r="AC188" s="1" t="s">
        <v>44</v>
      </c>
      <c r="AD188" s="1" t="s">
        <v>101</v>
      </c>
      <c r="AE188" s="1" t="s">
        <v>40</v>
      </c>
    </row>
    <row r="189" spans="1:31">
      <c r="A189" s="1" t="s">
        <v>748</v>
      </c>
      <c r="B189" s="26" t="s">
        <v>76</v>
      </c>
      <c r="C189" s="54">
        <v>45867</v>
      </c>
      <c r="D189" s="1" t="s">
        <v>130</v>
      </c>
      <c r="E189" s="1" t="s">
        <v>74</v>
      </c>
      <c r="F189" s="1">
        <v>2025</v>
      </c>
      <c r="G189" s="1" t="s">
        <v>80</v>
      </c>
      <c r="H189" s="1" t="s">
        <v>27</v>
      </c>
      <c r="I189" s="1">
        <v>38.04</v>
      </c>
      <c r="J189" s="1">
        <v>-121.84</v>
      </c>
      <c r="K189" s="1">
        <v>1972</v>
      </c>
      <c r="L189" s="1">
        <v>2021</v>
      </c>
      <c r="M189" s="1">
        <f t="shared" si="2"/>
        <v>50</v>
      </c>
      <c r="N189" s="1" t="s">
        <v>30</v>
      </c>
      <c r="O189" s="1" t="s">
        <v>199</v>
      </c>
      <c r="P189" s="1" t="s">
        <v>1015</v>
      </c>
      <c r="Q189" s="1" t="s">
        <v>83</v>
      </c>
      <c r="R189" s="1" t="s">
        <v>29</v>
      </c>
      <c r="S189" s="1" t="s">
        <v>38</v>
      </c>
      <c r="T189" s="1" t="s">
        <v>40</v>
      </c>
      <c r="U189" s="1" t="s">
        <v>40</v>
      </c>
      <c r="V189" s="1">
        <v>0.88</v>
      </c>
      <c r="X189" s="1" t="s">
        <v>40</v>
      </c>
      <c r="Y189" s="1" t="s">
        <v>41</v>
      </c>
      <c r="Z189" s="1" t="s">
        <v>40</v>
      </c>
      <c r="AA189" s="1" t="s">
        <v>100</v>
      </c>
      <c r="AB189" s="1" t="s">
        <v>106</v>
      </c>
      <c r="AC189" s="1" t="s">
        <v>44</v>
      </c>
      <c r="AD189" s="1" t="s">
        <v>101</v>
      </c>
      <c r="AE189" s="1" t="s">
        <v>40</v>
      </c>
    </row>
    <row r="190" spans="1:31">
      <c r="A190" s="1" t="s">
        <v>748</v>
      </c>
      <c r="B190" s="26" t="s">
        <v>76</v>
      </c>
      <c r="C190" s="54">
        <v>45867</v>
      </c>
      <c r="D190" s="1" t="s">
        <v>130</v>
      </c>
      <c r="E190" s="1" t="s">
        <v>74</v>
      </c>
      <c r="F190" s="1">
        <v>2025</v>
      </c>
      <c r="G190" s="1" t="s">
        <v>80</v>
      </c>
      <c r="H190" s="1" t="s">
        <v>27</v>
      </c>
      <c r="I190" s="1">
        <v>38.04</v>
      </c>
      <c r="J190" s="1">
        <v>-121.84</v>
      </c>
      <c r="K190" s="1">
        <v>1972</v>
      </c>
      <c r="L190" s="1">
        <v>2021</v>
      </c>
      <c r="M190" s="1">
        <f t="shared" si="2"/>
        <v>50</v>
      </c>
      <c r="N190" s="1" t="s">
        <v>30</v>
      </c>
      <c r="O190" s="1" t="s">
        <v>199</v>
      </c>
      <c r="P190" s="1" t="s">
        <v>1015</v>
      </c>
      <c r="Q190" s="1" t="s">
        <v>99</v>
      </c>
      <c r="R190" s="1" t="s">
        <v>29</v>
      </c>
      <c r="S190" s="1" t="s">
        <v>38</v>
      </c>
      <c r="T190" s="1" t="s">
        <v>40</v>
      </c>
      <c r="U190" s="1" t="s">
        <v>40</v>
      </c>
      <c r="V190" s="1">
        <v>-2.0499999999999998</v>
      </c>
      <c r="X190" s="1" t="s">
        <v>40</v>
      </c>
      <c r="Y190" s="1" t="s">
        <v>694</v>
      </c>
      <c r="Z190" s="1" t="s">
        <v>40</v>
      </c>
      <c r="AA190" s="1" t="s">
        <v>100</v>
      </c>
      <c r="AB190" s="1" t="s">
        <v>106</v>
      </c>
      <c r="AC190" s="1" t="s">
        <v>44</v>
      </c>
      <c r="AD190" s="1" t="s">
        <v>101</v>
      </c>
      <c r="AE190" s="1" t="s">
        <v>40</v>
      </c>
    </row>
    <row r="191" spans="1:31">
      <c r="A191" s="1" t="s">
        <v>748</v>
      </c>
      <c r="B191" s="26" t="s">
        <v>76</v>
      </c>
      <c r="C191" s="54">
        <v>45867</v>
      </c>
      <c r="D191" s="1" t="s">
        <v>130</v>
      </c>
      <c r="E191" s="1" t="s">
        <v>74</v>
      </c>
      <c r="F191" s="1">
        <v>2025</v>
      </c>
      <c r="G191" s="1" t="s">
        <v>81</v>
      </c>
      <c r="H191" s="1" t="s">
        <v>27</v>
      </c>
      <c r="I191" s="1">
        <v>38.07</v>
      </c>
      <c r="J191" s="1">
        <v>-122.06</v>
      </c>
      <c r="K191" s="1">
        <v>1972</v>
      </c>
      <c r="L191" s="1">
        <v>2021</v>
      </c>
      <c r="M191" s="1">
        <f t="shared" si="2"/>
        <v>50</v>
      </c>
      <c r="N191" s="1" t="s">
        <v>30</v>
      </c>
      <c r="O191" s="1" t="s">
        <v>199</v>
      </c>
      <c r="P191" s="1" t="s">
        <v>1015</v>
      </c>
      <c r="Q191" s="1" t="s">
        <v>102</v>
      </c>
      <c r="R191" s="1" t="s">
        <v>29</v>
      </c>
      <c r="S191" s="1" t="s">
        <v>38</v>
      </c>
      <c r="T191" s="1" t="s">
        <v>40</v>
      </c>
      <c r="U191" s="1" t="s">
        <v>40</v>
      </c>
      <c r="V191" s="1">
        <v>0.71</v>
      </c>
      <c r="X191" s="1" t="s">
        <v>40</v>
      </c>
      <c r="Y191" s="1" t="s">
        <v>41</v>
      </c>
      <c r="Z191" s="1" t="s">
        <v>40</v>
      </c>
      <c r="AA191" s="1" t="s">
        <v>100</v>
      </c>
      <c r="AB191" s="1" t="s">
        <v>106</v>
      </c>
      <c r="AC191" s="1" t="s">
        <v>44</v>
      </c>
      <c r="AD191" s="1" t="s">
        <v>101</v>
      </c>
      <c r="AE191" s="1" t="s">
        <v>40</v>
      </c>
    </row>
    <row r="192" spans="1:31">
      <c r="A192" s="1" t="s">
        <v>748</v>
      </c>
      <c r="B192" s="26" t="s">
        <v>76</v>
      </c>
      <c r="C192" s="54">
        <v>45867</v>
      </c>
      <c r="D192" s="1" t="s">
        <v>130</v>
      </c>
      <c r="E192" s="1" t="s">
        <v>74</v>
      </c>
      <c r="F192" s="1">
        <v>2025</v>
      </c>
      <c r="G192" s="1" t="s">
        <v>81</v>
      </c>
      <c r="H192" s="1" t="s">
        <v>27</v>
      </c>
      <c r="I192" s="1">
        <v>38.07</v>
      </c>
      <c r="J192" s="1">
        <v>-122.06</v>
      </c>
      <c r="K192" s="1">
        <v>1972</v>
      </c>
      <c r="L192" s="1">
        <v>2021</v>
      </c>
      <c r="M192" s="1">
        <f t="shared" si="2"/>
        <v>50</v>
      </c>
      <c r="N192" s="1" t="s">
        <v>30</v>
      </c>
      <c r="O192" s="1" t="s">
        <v>199</v>
      </c>
      <c r="P192" s="1" t="s">
        <v>1015</v>
      </c>
      <c r="Q192" s="1" t="s">
        <v>83</v>
      </c>
      <c r="R192" s="1" t="s">
        <v>29</v>
      </c>
      <c r="S192" s="1" t="s">
        <v>38</v>
      </c>
      <c r="T192" s="1" t="s">
        <v>40</v>
      </c>
      <c r="U192" s="1" t="s">
        <v>40</v>
      </c>
      <c r="V192" s="1">
        <v>-2.72</v>
      </c>
      <c r="X192" s="1" t="s">
        <v>40</v>
      </c>
      <c r="Y192" s="1" t="s">
        <v>694</v>
      </c>
      <c r="Z192" s="1" t="s">
        <v>40</v>
      </c>
      <c r="AA192" s="1" t="s">
        <v>100</v>
      </c>
      <c r="AB192" s="1" t="s">
        <v>106</v>
      </c>
      <c r="AC192" s="1" t="s">
        <v>44</v>
      </c>
      <c r="AD192" s="1" t="s">
        <v>101</v>
      </c>
      <c r="AE192" s="1" t="s">
        <v>40</v>
      </c>
    </row>
    <row r="193" spans="1:31">
      <c r="A193" s="1" t="s">
        <v>748</v>
      </c>
      <c r="B193" s="26" t="s">
        <v>76</v>
      </c>
      <c r="C193" s="54">
        <v>45867</v>
      </c>
      <c r="D193" s="1" t="s">
        <v>130</v>
      </c>
      <c r="E193" s="1" t="s">
        <v>74</v>
      </c>
      <c r="F193" s="1">
        <v>2025</v>
      </c>
      <c r="G193" s="1" t="s">
        <v>81</v>
      </c>
      <c r="H193" s="1" t="s">
        <v>27</v>
      </c>
      <c r="I193" s="1">
        <v>38.07</v>
      </c>
      <c r="J193" s="1">
        <v>-122.06</v>
      </c>
      <c r="K193" s="1">
        <v>1972</v>
      </c>
      <c r="L193" s="1">
        <v>2021</v>
      </c>
      <c r="M193" s="1">
        <f t="shared" si="2"/>
        <v>50</v>
      </c>
      <c r="N193" s="1" t="s">
        <v>30</v>
      </c>
      <c r="O193" s="1" t="s">
        <v>199</v>
      </c>
      <c r="P193" s="1" t="s">
        <v>1015</v>
      </c>
      <c r="Q193" s="1" t="s">
        <v>99</v>
      </c>
      <c r="R193" s="1" t="s">
        <v>29</v>
      </c>
      <c r="S193" s="1" t="s">
        <v>38</v>
      </c>
      <c r="T193" s="1" t="s">
        <v>40</v>
      </c>
      <c r="U193" s="1" t="s">
        <v>40</v>
      </c>
      <c r="V193" s="1">
        <v>-2.2999999999999998</v>
      </c>
      <c r="X193" s="1" t="s">
        <v>40</v>
      </c>
      <c r="Y193" s="1" t="s">
        <v>694</v>
      </c>
      <c r="Z193" s="1" t="s">
        <v>40</v>
      </c>
      <c r="AA193" s="1" t="s">
        <v>100</v>
      </c>
      <c r="AB193" s="1" t="s">
        <v>106</v>
      </c>
      <c r="AC193" s="1" t="s">
        <v>44</v>
      </c>
      <c r="AD193" s="1" t="s">
        <v>101</v>
      </c>
      <c r="AE193" s="1" t="s">
        <v>40</v>
      </c>
    </row>
    <row r="194" spans="1:31">
      <c r="A194" s="1" t="s">
        <v>748</v>
      </c>
      <c r="B194" s="26" t="s">
        <v>76</v>
      </c>
      <c r="C194" s="54">
        <v>45867</v>
      </c>
      <c r="D194" s="1" t="s">
        <v>130</v>
      </c>
      <c r="E194" s="1" t="s">
        <v>74</v>
      </c>
      <c r="F194" s="1">
        <v>2025</v>
      </c>
      <c r="G194" s="1" t="s">
        <v>82</v>
      </c>
      <c r="H194" s="1" t="s">
        <v>27</v>
      </c>
      <c r="I194" s="1">
        <v>38.06</v>
      </c>
      <c r="J194" s="1">
        <v>-122.41</v>
      </c>
      <c r="K194" s="1">
        <v>1980</v>
      </c>
      <c r="L194" s="1">
        <v>2020</v>
      </c>
      <c r="M194" s="1">
        <f t="shared" ref="M194:M257" si="3">L194-K194+1</f>
        <v>41</v>
      </c>
      <c r="N194" s="1" t="s">
        <v>30</v>
      </c>
      <c r="O194" s="1" t="s">
        <v>199</v>
      </c>
      <c r="P194" s="1" t="s">
        <v>1015</v>
      </c>
      <c r="Q194" s="1" t="s">
        <v>102</v>
      </c>
      <c r="R194" s="1" t="s">
        <v>29</v>
      </c>
      <c r="S194" s="1" t="s">
        <v>38</v>
      </c>
      <c r="T194" s="1" t="s">
        <v>40</v>
      </c>
      <c r="U194" s="1" t="s">
        <v>40</v>
      </c>
      <c r="V194" s="1">
        <v>-2.5499999999999998</v>
      </c>
      <c r="X194" s="1" t="s">
        <v>40</v>
      </c>
      <c r="Y194" s="1" t="s">
        <v>694</v>
      </c>
      <c r="Z194" s="1" t="s">
        <v>40</v>
      </c>
      <c r="AA194" s="1" t="s">
        <v>100</v>
      </c>
      <c r="AB194" s="1" t="s">
        <v>106</v>
      </c>
      <c r="AC194" s="1" t="s">
        <v>44</v>
      </c>
      <c r="AD194" s="1" t="s">
        <v>101</v>
      </c>
      <c r="AE194" s="1" t="s">
        <v>40</v>
      </c>
    </row>
    <row r="195" spans="1:31">
      <c r="A195" s="1" t="s">
        <v>748</v>
      </c>
      <c r="B195" s="26" t="s">
        <v>76</v>
      </c>
      <c r="C195" s="54">
        <v>45867</v>
      </c>
      <c r="D195" s="1" t="s">
        <v>130</v>
      </c>
      <c r="E195" s="1" t="s">
        <v>74</v>
      </c>
      <c r="F195" s="1">
        <v>2025</v>
      </c>
      <c r="G195" s="1" t="s">
        <v>82</v>
      </c>
      <c r="H195" s="1" t="s">
        <v>27</v>
      </c>
      <c r="I195" s="1">
        <v>38.06</v>
      </c>
      <c r="J195" s="1">
        <v>-122.41</v>
      </c>
      <c r="K195" s="1">
        <v>1980</v>
      </c>
      <c r="L195" s="1">
        <v>2020</v>
      </c>
      <c r="M195" s="1">
        <f t="shared" si="3"/>
        <v>41</v>
      </c>
      <c r="N195" s="1" t="s">
        <v>30</v>
      </c>
      <c r="O195" s="1" t="s">
        <v>199</v>
      </c>
      <c r="P195" s="1" t="s">
        <v>1015</v>
      </c>
      <c r="Q195" s="1" t="s">
        <v>83</v>
      </c>
      <c r="R195" s="1" t="s">
        <v>29</v>
      </c>
      <c r="S195" s="1" t="s">
        <v>38</v>
      </c>
      <c r="T195" s="1" t="s">
        <v>40</v>
      </c>
      <c r="U195" s="1" t="s">
        <v>40</v>
      </c>
      <c r="V195" s="1">
        <v>-2.38</v>
      </c>
      <c r="X195" s="1" t="s">
        <v>40</v>
      </c>
      <c r="Y195" s="1" t="s">
        <v>694</v>
      </c>
      <c r="Z195" s="1" t="s">
        <v>40</v>
      </c>
      <c r="AA195" s="1" t="s">
        <v>100</v>
      </c>
      <c r="AB195" s="1" t="s">
        <v>106</v>
      </c>
      <c r="AC195" s="1" t="s">
        <v>44</v>
      </c>
      <c r="AD195" s="1" t="s">
        <v>101</v>
      </c>
      <c r="AE195" s="1" t="s">
        <v>40</v>
      </c>
    </row>
    <row r="196" spans="1:31">
      <c r="A196" s="1" t="s">
        <v>748</v>
      </c>
      <c r="B196" s="26" t="s">
        <v>76</v>
      </c>
      <c r="C196" s="54">
        <v>45867</v>
      </c>
      <c r="D196" s="1" t="s">
        <v>130</v>
      </c>
      <c r="E196" s="1" t="s">
        <v>74</v>
      </c>
      <c r="F196" s="1">
        <v>2025</v>
      </c>
      <c r="G196" s="1" t="s">
        <v>107</v>
      </c>
      <c r="H196" s="1" t="s">
        <v>27</v>
      </c>
      <c r="I196" s="1">
        <v>42.39</v>
      </c>
      <c r="J196" s="1">
        <v>-70.760000000000005</v>
      </c>
      <c r="K196" s="1">
        <v>1992</v>
      </c>
      <c r="L196" s="1">
        <v>2022</v>
      </c>
      <c r="M196" s="1">
        <f t="shared" si="3"/>
        <v>31</v>
      </c>
      <c r="N196" s="1" t="s">
        <v>30</v>
      </c>
      <c r="O196" s="1" t="s">
        <v>199</v>
      </c>
      <c r="P196" s="1" t="s">
        <v>1015</v>
      </c>
      <c r="Q196" s="1" t="s">
        <v>114</v>
      </c>
      <c r="R196" s="1" t="s">
        <v>29</v>
      </c>
      <c r="S196" s="1" t="s">
        <v>38</v>
      </c>
      <c r="T196" s="1" t="s">
        <v>40</v>
      </c>
      <c r="U196" s="1" t="s">
        <v>40</v>
      </c>
      <c r="V196" s="1">
        <v>1.28</v>
      </c>
      <c r="X196" s="1" t="s">
        <v>40</v>
      </c>
      <c r="Y196" s="1" t="s">
        <v>41</v>
      </c>
      <c r="Z196" s="1" t="s">
        <v>40</v>
      </c>
      <c r="AA196" s="1" t="s">
        <v>100</v>
      </c>
      <c r="AB196" s="1" t="s">
        <v>106</v>
      </c>
      <c r="AC196" s="1" t="s">
        <v>44</v>
      </c>
      <c r="AD196" s="1" t="s">
        <v>101</v>
      </c>
      <c r="AE196" s="1" t="s">
        <v>40</v>
      </c>
    </row>
    <row r="197" spans="1:31">
      <c r="A197" s="1" t="s">
        <v>748</v>
      </c>
      <c r="B197" s="26" t="s">
        <v>76</v>
      </c>
      <c r="C197" s="54">
        <v>45867</v>
      </c>
      <c r="D197" s="1" t="s">
        <v>130</v>
      </c>
      <c r="E197" s="1" t="s">
        <v>74</v>
      </c>
      <c r="F197" s="1">
        <v>2025</v>
      </c>
      <c r="G197" s="1" t="s">
        <v>107</v>
      </c>
      <c r="H197" s="1" t="s">
        <v>27</v>
      </c>
      <c r="I197" s="1">
        <v>42.39</v>
      </c>
      <c r="J197" s="1">
        <v>-70.760000000000005</v>
      </c>
      <c r="K197" s="1">
        <v>1992</v>
      </c>
      <c r="L197" s="1">
        <v>2022</v>
      </c>
      <c r="M197" s="1">
        <f t="shared" si="3"/>
        <v>31</v>
      </c>
      <c r="N197" s="1" t="s">
        <v>30</v>
      </c>
      <c r="O197" s="1" t="s">
        <v>199</v>
      </c>
      <c r="P197" s="1" t="s">
        <v>1015</v>
      </c>
      <c r="Q197" s="1" t="s">
        <v>115</v>
      </c>
      <c r="R197" s="1" t="s">
        <v>29</v>
      </c>
      <c r="S197" s="1" t="s">
        <v>38</v>
      </c>
      <c r="T197" s="1" t="s">
        <v>40</v>
      </c>
      <c r="U197" s="1" t="s">
        <v>40</v>
      </c>
      <c r="V197" s="1">
        <v>-1.83</v>
      </c>
      <c r="X197" s="1" t="s">
        <v>40</v>
      </c>
      <c r="Y197" s="1" t="s">
        <v>694</v>
      </c>
      <c r="Z197" s="1" t="s">
        <v>40</v>
      </c>
      <c r="AA197" s="1" t="s">
        <v>100</v>
      </c>
      <c r="AB197" s="1" t="s">
        <v>106</v>
      </c>
      <c r="AC197" s="1" t="s">
        <v>44</v>
      </c>
      <c r="AD197" s="1" t="s">
        <v>101</v>
      </c>
      <c r="AE197" s="1" t="s">
        <v>40</v>
      </c>
    </row>
    <row r="198" spans="1:31">
      <c r="A198" s="1" t="s">
        <v>748</v>
      </c>
      <c r="B198" s="26" t="s">
        <v>76</v>
      </c>
      <c r="C198" s="54">
        <v>45867</v>
      </c>
      <c r="D198" s="1" t="s">
        <v>130</v>
      </c>
      <c r="E198" s="1" t="s">
        <v>74</v>
      </c>
      <c r="F198" s="1">
        <v>2025</v>
      </c>
      <c r="G198" s="1" t="s">
        <v>107</v>
      </c>
      <c r="H198" s="1" t="s">
        <v>27</v>
      </c>
      <c r="I198" s="1">
        <v>42.39</v>
      </c>
      <c r="J198" s="1">
        <v>-70.760000000000005</v>
      </c>
      <c r="K198" s="1">
        <v>1992</v>
      </c>
      <c r="L198" s="1">
        <v>2022</v>
      </c>
      <c r="M198" s="1">
        <f t="shared" si="3"/>
        <v>31</v>
      </c>
      <c r="N198" s="1" t="s">
        <v>30</v>
      </c>
      <c r="O198" s="1" t="s">
        <v>205</v>
      </c>
      <c r="P198" s="1" t="s">
        <v>1464</v>
      </c>
      <c r="Q198" s="1" t="s">
        <v>113</v>
      </c>
      <c r="R198" s="1" t="s">
        <v>29</v>
      </c>
      <c r="S198" s="1" t="s">
        <v>38</v>
      </c>
      <c r="T198" s="1" t="s">
        <v>40</v>
      </c>
      <c r="U198" s="1" t="s">
        <v>40</v>
      </c>
      <c r="V198" s="1">
        <v>-1.66</v>
      </c>
      <c r="X198" s="1" t="s">
        <v>40</v>
      </c>
      <c r="Y198" s="1" t="s">
        <v>694</v>
      </c>
      <c r="Z198" s="1" t="s">
        <v>40</v>
      </c>
      <c r="AA198" s="1" t="s">
        <v>100</v>
      </c>
      <c r="AB198" s="1" t="s">
        <v>106</v>
      </c>
      <c r="AC198" s="1" t="s">
        <v>44</v>
      </c>
      <c r="AD198" s="1" t="s">
        <v>101</v>
      </c>
      <c r="AE198" s="1" t="s">
        <v>40</v>
      </c>
    </row>
    <row r="199" spans="1:31">
      <c r="A199" s="1" t="s">
        <v>748</v>
      </c>
      <c r="B199" s="26" t="s">
        <v>76</v>
      </c>
      <c r="C199" s="54">
        <v>45867</v>
      </c>
      <c r="D199" s="1" t="s">
        <v>130</v>
      </c>
      <c r="E199" s="1" t="s">
        <v>74</v>
      </c>
      <c r="F199" s="1">
        <v>2025</v>
      </c>
      <c r="G199" s="1" t="s">
        <v>107</v>
      </c>
      <c r="H199" s="1" t="s">
        <v>27</v>
      </c>
      <c r="I199" s="1">
        <v>42.39</v>
      </c>
      <c r="J199" s="1">
        <v>-70.760000000000005</v>
      </c>
      <c r="K199" s="1">
        <v>1992</v>
      </c>
      <c r="L199" s="1">
        <v>2022</v>
      </c>
      <c r="M199" s="1">
        <f t="shared" si="3"/>
        <v>31</v>
      </c>
      <c r="N199" s="1" t="s">
        <v>30</v>
      </c>
      <c r="O199" s="1" t="s">
        <v>205</v>
      </c>
      <c r="P199" s="1" t="s">
        <v>1464</v>
      </c>
      <c r="Q199" s="1" t="s">
        <v>116</v>
      </c>
      <c r="R199" s="1" t="s">
        <v>29</v>
      </c>
      <c r="S199" s="1" t="s">
        <v>38</v>
      </c>
      <c r="T199" s="1" t="s">
        <v>40</v>
      </c>
      <c r="U199" s="1" t="s">
        <v>40</v>
      </c>
      <c r="V199" s="1">
        <v>-7.82</v>
      </c>
      <c r="X199" s="1" t="s">
        <v>40</v>
      </c>
      <c r="Y199" s="1" t="s">
        <v>694</v>
      </c>
      <c r="Z199" s="1" t="s">
        <v>40</v>
      </c>
      <c r="AA199" s="1" t="s">
        <v>100</v>
      </c>
      <c r="AB199" s="1" t="s">
        <v>106</v>
      </c>
      <c r="AC199" s="1" t="s">
        <v>44</v>
      </c>
      <c r="AD199" s="1" t="s">
        <v>101</v>
      </c>
      <c r="AE199" s="1" t="s">
        <v>40</v>
      </c>
    </row>
    <row r="200" spans="1:31">
      <c r="A200" s="1" t="s">
        <v>748</v>
      </c>
      <c r="B200" s="26" t="s">
        <v>76</v>
      </c>
      <c r="C200" s="54">
        <v>45867</v>
      </c>
      <c r="D200" s="1" t="s">
        <v>130</v>
      </c>
      <c r="E200" s="1" t="s">
        <v>74</v>
      </c>
      <c r="F200" s="1">
        <v>2025</v>
      </c>
      <c r="G200" s="1" t="s">
        <v>80</v>
      </c>
      <c r="H200" s="1" t="s">
        <v>27</v>
      </c>
      <c r="I200" s="1">
        <v>38.04</v>
      </c>
      <c r="J200" s="1">
        <v>-121.84</v>
      </c>
      <c r="K200" s="1">
        <v>1972</v>
      </c>
      <c r="L200" s="1">
        <v>2021</v>
      </c>
      <c r="M200" s="1">
        <f t="shared" si="3"/>
        <v>50</v>
      </c>
      <c r="N200" s="1" t="s">
        <v>30</v>
      </c>
      <c r="O200" s="1" t="s">
        <v>199</v>
      </c>
      <c r="P200" s="1" t="s">
        <v>97</v>
      </c>
      <c r="Q200" s="1" t="s">
        <v>87</v>
      </c>
      <c r="R200" s="1" t="s">
        <v>29</v>
      </c>
      <c r="S200" s="1" t="s">
        <v>38</v>
      </c>
      <c r="T200" s="1" t="s">
        <v>40</v>
      </c>
      <c r="U200" s="1" t="s">
        <v>40</v>
      </c>
      <c r="V200" s="1">
        <v>0.71</v>
      </c>
      <c r="X200" s="1" t="s">
        <v>40</v>
      </c>
      <c r="Y200" s="1" t="s">
        <v>41</v>
      </c>
      <c r="Z200" s="1" t="s">
        <v>40</v>
      </c>
      <c r="AA200" s="1" t="s">
        <v>100</v>
      </c>
      <c r="AB200" s="1" t="s">
        <v>106</v>
      </c>
      <c r="AC200" s="1" t="s">
        <v>44</v>
      </c>
      <c r="AD200" s="1" t="s">
        <v>101</v>
      </c>
      <c r="AE200" s="1" t="s">
        <v>40</v>
      </c>
    </row>
    <row r="201" spans="1:31">
      <c r="A201" s="1" t="s">
        <v>748</v>
      </c>
      <c r="B201" s="26" t="s">
        <v>76</v>
      </c>
      <c r="C201" s="54">
        <v>45867</v>
      </c>
      <c r="D201" s="1" t="s">
        <v>130</v>
      </c>
      <c r="E201" s="1" t="s">
        <v>74</v>
      </c>
      <c r="F201" s="1">
        <v>2025</v>
      </c>
      <c r="G201" s="1" t="s">
        <v>80</v>
      </c>
      <c r="H201" s="1" t="s">
        <v>27</v>
      </c>
      <c r="I201" s="1">
        <v>38.04</v>
      </c>
      <c r="J201" s="1">
        <v>-121.84</v>
      </c>
      <c r="K201" s="1">
        <v>1972</v>
      </c>
      <c r="L201" s="1">
        <v>2021</v>
      </c>
      <c r="M201" s="1">
        <f t="shared" si="3"/>
        <v>50</v>
      </c>
      <c r="N201" s="1" t="s">
        <v>30</v>
      </c>
      <c r="O201" s="1" t="s">
        <v>199</v>
      </c>
      <c r="P201" s="1" t="s">
        <v>97</v>
      </c>
      <c r="Q201" s="1" t="s">
        <v>89</v>
      </c>
      <c r="R201" s="1" t="s">
        <v>29</v>
      </c>
      <c r="S201" s="1" t="s">
        <v>38</v>
      </c>
      <c r="T201" s="1" t="s">
        <v>40</v>
      </c>
      <c r="U201" s="1" t="s">
        <v>40</v>
      </c>
      <c r="V201" s="1">
        <v>-0.38</v>
      </c>
      <c r="X201" s="1" t="s">
        <v>40</v>
      </c>
      <c r="Y201" s="1" t="s">
        <v>694</v>
      </c>
      <c r="Z201" s="1" t="s">
        <v>40</v>
      </c>
      <c r="AA201" s="1" t="s">
        <v>100</v>
      </c>
      <c r="AB201" s="1" t="s">
        <v>106</v>
      </c>
      <c r="AC201" s="1" t="s">
        <v>44</v>
      </c>
      <c r="AD201" s="1" t="s">
        <v>101</v>
      </c>
      <c r="AE201" s="1" t="s">
        <v>40</v>
      </c>
    </row>
    <row r="202" spans="1:31">
      <c r="A202" s="1" t="s">
        <v>748</v>
      </c>
      <c r="B202" s="26" t="s">
        <v>76</v>
      </c>
      <c r="C202" s="54">
        <v>45867</v>
      </c>
      <c r="D202" s="1" t="s">
        <v>130</v>
      </c>
      <c r="E202" s="1" t="s">
        <v>74</v>
      </c>
      <c r="F202" s="1">
        <v>2025</v>
      </c>
      <c r="G202" s="1" t="s">
        <v>80</v>
      </c>
      <c r="H202" s="1" t="s">
        <v>27</v>
      </c>
      <c r="I202" s="1">
        <v>38.04</v>
      </c>
      <c r="J202" s="1">
        <v>-121.84</v>
      </c>
      <c r="K202" s="1">
        <v>1972</v>
      </c>
      <c r="L202" s="1">
        <v>2021</v>
      </c>
      <c r="M202" s="1">
        <f t="shared" si="3"/>
        <v>50</v>
      </c>
      <c r="N202" s="1" t="s">
        <v>30</v>
      </c>
      <c r="O202" s="1" t="s">
        <v>199</v>
      </c>
      <c r="P202" s="1" t="s">
        <v>37</v>
      </c>
      <c r="Q202" s="1" t="s">
        <v>84</v>
      </c>
      <c r="R202" s="1" t="s">
        <v>29</v>
      </c>
      <c r="S202" s="1" t="s">
        <v>38</v>
      </c>
      <c r="T202" s="1" t="s">
        <v>40</v>
      </c>
      <c r="U202" s="1" t="s">
        <v>40</v>
      </c>
      <c r="V202" s="1">
        <v>1.3</v>
      </c>
      <c r="X202" s="1" t="s">
        <v>40</v>
      </c>
      <c r="Y202" s="1" t="s">
        <v>41</v>
      </c>
      <c r="Z202" s="1" t="s">
        <v>40</v>
      </c>
      <c r="AA202" s="1" t="s">
        <v>100</v>
      </c>
      <c r="AB202" s="1" t="s">
        <v>106</v>
      </c>
      <c r="AC202" s="1" t="s">
        <v>44</v>
      </c>
      <c r="AD202" s="1" t="s">
        <v>101</v>
      </c>
      <c r="AE202" s="1" t="s">
        <v>40</v>
      </c>
    </row>
    <row r="203" spans="1:31">
      <c r="A203" s="1" t="s">
        <v>748</v>
      </c>
      <c r="B203" s="26" t="s">
        <v>76</v>
      </c>
      <c r="C203" s="54">
        <v>45867</v>
      </c>
      <c r="D203" s="1" t="s">
        <v>130</v>
      </c>
      <c r="E203" s="1" t="s">
        <v>74</v>
      </c>
      <c r="F203" s="1">
        <v>2025</v>
      </c>
      <c r="G203" s="1" t="s">
        <v>80</v>
      </c>
      <c r="H203" s="1" t="s">
        <v>27</v>
      </c>
      <c r="I203" s="1">
        <v>38.04</v>
      </c>
      <c r="J203" s="1">
        <v>-121.84</v>
      </c>
      <c r="K203" s="1">
        <v>1972</v>
      </c>
      <c r="L203" s="1">
        <v>2021</v>
      </c>
      <c r="M203" s="1">
        <f t="shared" si="3"/>
        <v>50</v>
      </c>
      <c r="N203" s="1" t="s">
        <v>30</v>
      </c>
      <c r="O203" s="1" t="s">
        <v>199</v>
      </c>
      <c r="P203" s="1" t="s">
        <v>37</v>
      </c>
      <c r="Q203" s="1" t="s">
        <v>92</v>
      </c>
      <c r="R203" s="1" t="s">
        <v>29</v>
      </c>
      <c r="S203" s="1" t="s">
        <v>38</v>
      </c>
      <c r="T203" s="1" t="s">
        <v>40</v>
      </c>
      <c r="U203" s="1" t="s">
        <v>40</v>
      </c>
      <c r="V203" s="1">
        <v>0.63</v>
      </c>
      <c r="X203" s="1" t="s">
        <v>40</v>
      </c>
      <c r="Y203" s="1" t="s">
        <v>41</v>
      </c>
      <c r="Z203" s="1" t="s">
        <v>40</v>
      </c>
      <c r="AA203" s="1" t="s">
        <v>100</v>
      </c>
      <c r="AB203" s="1" t="s">
        <v>106</v>
      </c>
      <c r="AC203" s="1" t="s">
        <v>44</v>
      </c>
      <c r="AD203" s="1" t="s">
        <v>101</v>
      </c>
      <c r="AE203" s="1" t="s">
        <v>40</v>
      </c>
    </row>
    <row r="204" spans="1:31">
      <c r="A204" s="1" t="s">
        <v>748</v>
      </c>
      <c r="B204" s="26" t="s">
        <v>76</v>
      </c>
      <c r="C204" s="54">
        <v>45867</v>
      </c>
      <c r="D204" s="1" t="s">
        <v>130</v>
      </c>
      <c r="E204" s="1" t="s">
        <v>74</v>
      </c>
      <c r="F204" s="1">
        <v>2025</v>
      </c>
      <c r="G204" s="1" t="s">
        <v>81</v>
      </c>
      <c r="H204" s="1" t="s">
        <v>27</v>
      </c>
      <c r="I204" s="1">
        <v>38.07</v>
      </c>
      <c r="J204" s="1">
        <v>-122.06</v>
      </c>
      <c r="K204" s="1">
        <v>1972</v>
      </c>
      <c r="L204" s="1">
        <v>2021</v>
      </c>
      <c r="M204" s="1">
        <f t="shared" si="3"/>
        <v>50</v>
      </c>
      <c r="N204" s="1" t="s">
        <v>30</v>
      </c>
      <c r="O204" s="1" t="s">
        <v>199</v>
      </c>
      <c r="P204" s="1" t="s">
        <v>37</v>
      </c>
      <c r="Q204" s="1" t="s">
        <v>84</v>
      </c>
      <c r="R204" s="1" t="s">
        <v>29</v>
      </c>
      <c r="S204" s="1" t="s">
        <v>38</v>
      </c>
      <c r="T204" s="1" t="s">
        <v>40</v>
      </c>
      <c r="U204" s="1" t="s">
        <v>40</v>
      </c>
      <c r="V204" s="1">
        <v>-2.2999999999999998</v>
      </c>
      <c r="X204" s="1" t="s">
        <v>40</v>
      </c>
      <c r="Y204" s="1" t="s">
        <v>694</v>
      </c>
      <c r="Z204" s="1" t="s">
        <v>40</v>
      </c>
      <c r="AA204" s="1" t="s">
        <v>100</v>
      </c>
      <c r="AB204" s="1" t="s">
        <v>106</v>
      </c>
      <c r="AC204" s="1" t="s">
        <v>44</v>
      </c>
      <c r="AD204" s="1" t="s">
        <v>101</v>
      </c>
      <c r="AE204" s="1" t="s">
        <v>40</v>
      </c>
    </row>
    <row r="205" spans="1:31">
      <c r="A205" s="1" t="s">
        <v>748</v>
      </c>
      <c r="B205" s="26" t="s">
        <v>76</v>
      </c>
      <c r="C205" s="54">
        <v>45867</v>
      </c>
      <c r="D205" s="1" t="s">
        <v>130</v>
      </c>
      <c r="E205" s="1" t="s">
        <v>74</v>
      </c>
      <c r="F205" s="1">
        <v>2025</v>
      </c>
      <c r="G205" s="1" t="s">
        <v>81</v>
      </c>
      <c r="H205" s="1" t="s">
        <v>27</v>
      </c>
      <c r="I205" s="1">
        <v>38.07</v>
      </c>
      <c r="J205" s="1">
        <v>-122.06</v>
      </c>
      <c r="K205" s="1">
        <v>1972</v>
      </c>
      <c r="L205" s="1">
        <v>2021</v>
      </c>
      <c r="M205" s="1">
        <f t="shared" si="3"/>
        <v>50</v>
      </c>
      <c r="N205" s="1" t="s">
        <v>30</v>
      </c>
      <c r="O205" s="1" t="s">
        <v>199</v>
      </c>
      <c r="P205" s="1" t="s">
        <v>37</v>
      </c>
      <c r="Q205" s="1" t="s">
        <v>92</v>
      </c>
      <c r="R205" s="1" t="s">
        <v>29</v>
      </c>
      <c r="S205" s="1" t="s">
        <v>38</v>
      </c>
      <c r="T205" s="1" t="s">
        <v>40</v>
      </c>
      <c r="U205" s="1" t="s">
        <v>40</v>
      </c>
      <c r="V205" s="1">
        <v>0.13</v>
      </c>
      <c r="X205" s="1" t="s">
        <v>40</v>
      </c>
      <c r="Y205" s="1" t="s">
        <v>41</v>
      </c>
      <c r="Z205" s="1" t="s">
        <v>40</v>
      </c>
      <c r="AA205" s="1" t="s">
        <v>100</v>
      </c>
      <c r="AB205" s="1" t="s">
        <v>106</v>
      </c>
      <c r="AC205" s="1" t="s">
        <v>44</v>
      </c>
      <c r="AD205" s="1" t="s">
        <v>101</v>
      </c>
      <c r="AE205" s="1" t="s">
        <v>40</v>
      </c>
    </row>
    <row r="206" spans="1:31">
      <c r="A206" s="1" t="s">
        <v>748</v>
      </c>
      <c r="B206" s="26" t="s">
        <v>76</v>
      </c>
      <c r="C206" s="54">
        <v>45867</v>
      </c>
      <c r="D206" s="1" t="s">
        <v>130</v>
      </c>
      <c r="E206" s="1" t="s">
        <v>74</v>
      </c>
      <c r="F206" s="1">
        <v>2025</v>
      </c>
      <c r="G206" s="1" t="s">
        <v>80</v>
      </c>
      <c r="H206" s="1" t="s">
        <v>27</v>
      </c>
      <c r="I206" s="1">
        <v>38.04</v>
      </c>
      <c r="J206" s="1">
        <v>-121.84</v>
      </c>
      <c r="K206" s="1">
        <v>1972</v>
      </c>
      <c r="L206" s="1">
        <v>2021</v>
      </c>
      <c r="M206" s="1">
        <f t="shared" si="3"/>
        <v>50</v>
      </c>
      <c r="N206" s="1" t="s">
        <v>30</v>
      </c>
      <c r="O206" s="1" t="s">
        <v>199</v>
      </c>
      <c r="P206" s="1" t="s">
        <v>97</v>
      </c>
      <c r="Q206" s="1" t="s">
        <v>93</v>
      </c>
      <c r="R206" s="1" t="s">
        <v>29</v>
      </c>
      <c r="S206" s="1" t="s">
        <v>38</v>
      </c>
      <c r="T206" s="1" t="s">
        <v>40</v>
      </c>
      <c r="U206" s="1" t="s">
        <v>40</v>
      </c>
      <c r="V206" s="1">
        <v>-1.55</v>
      </c>
      <c r="X206" s="1" t="s">
        <v>40</v>
      </c>
      <c r="Y206" s="1" t="s">
        <v>694</v>
      </c>
      <c r="Z206" s="1" t="s">
        <v>40</v>
      </c>
      <c r="AA206" s="1" t="s">
        <v>100</v>
      </c>
      <c r="AB206" s="1" t="s">
        <v>106</v>
      </c>
      <c r="AC206" s="1" t="s">
        <v>44</v>
      </c>
      <c r="AD206" s="1" t="s">
        <v>101</v>
      </c>
      <c r="AE206" s="1" t="s">
        <v>40</v>
      </c>
    </row>
    <row r="207" spans="1:31">
      <c r="A207" s="1" t="s">
        <v>748</v>
      </c>
      <c r="B207" s="26" t="s">
        <v>76</v>
      </c>
      <c r="C207" s="54">
        <v>45867</v>
      </c>
      <c r="D207" s="1" t="s">
        <v>130</v>
      </c>
      <c r="E207" s="1" t="s">
        <v>74</v>
      </c>
      <c r="F207" s="1">
        <v>2025</v>
      </c>
      <c r="G207" s="1" t="s">
        <v>80</v>
      </c>
      <c r="H207" s="1" t="s">
        <v>27</v>
      </c>
      <c r="I207" s="1">
        <v>38.04</v>
      </c>
      <c r="J207" s="1">
        <v>-121.84</v>
      </c>
      <c r="K207" s="1">
        <v>1972</v>
      </c>
      <c r="L207" s="1">
        <v>2021</v>
      </c>
      <c r="M207" s="1">
        <f t="shared" si="3"/>
        <v>50</v>
      </c>
      <c r="N207" s="1" t="s">
        <v>30</v>
      </c>
      <c r="O207" s="1" t="s">
        <v>199</v>
      </c>
      <c r="P207" s="1" t="s">
        <v>97</v>
      </c>
      <c r="Q207" s="1" t="s">
        <v>94</v>
      </c>
      <c r="R207" s="1" t="s">
        <v>29</v>
      </c>
      <c r="S207" s="1" t="s">
        <v>38</v>
      </c>
      <c r="T207" s="1" t="s">
        <v>40</v>
      </c>
      <c r="U207" s="1" t="s">
        <v>40</v>
      </c>
      <c r="V207" s="1">
        <v>0.28999999999999998</v>
      </c>
      <c r="X207" s="1" t="s">
        <v>40</v>
      </c>
      <c r="Y207" s="1" t="s">
        <v>41</v>
      </c>
      <c r="Z207" s="1" t="s">
        <v>40</v>
      </c>
      <c r="AA207" s="1" t="s">
        <v>100</v>
      </c>
      <c r="AB207" s="1" t="s">
        <v>106</v>
      </c>
      <c r="AC207" s="1" t="s">
        <v>44</v>
      </c>
      <c r="AD207" s="1" t="s">
        <v>101</v>
      </c>
      <c r="AE207" s="1" t="s">
        <v>40</v>
      </c>
    </row>
    <row r="208" spans="1:31">
      <c r="A208" s="1" t="s">
        <v>748</v>
      </c>
      <c r="B208" s="26" t="s">
        <v>76</v>
      </c>
      <c r="C208" s="54">
        <v>45867</v>
      </c>
      <c r="D208" s="1" t="s">
        <v>130</v>
      </c>
      <c r="E208" s="1" t="s">
        <v>74</v>
      </c>
      <c r="F208" s="1">
        <v>2025</v>
      </c>
      <c r="G208" s="1" t="s">
        <v>80</v>
      </c>
      <c r="H208" s="1" t="s">
        <v>27</v>
      </c>
      <c r="I208" s="1">
        <v>38.04</v>
      </c>
      <c r="J208" s="1">
        <v>-121.84</v>
      </c>
      <c r="K208" s="1">
        <v>1972</v>
      </c>
      <c r="L208" s="1">
        <v>2021</v>
      </c>
      <c r="M208" s="1">
        <f t="shared" si="3"/>
        <v>50</v>
      </c>
      <c r="N208" s="1" t="s">
        <v>30</v>
      </c>
      <c r="O208" s="1" t="s">
        <v>199</v>
      </c>
      <c r="P208" s="1" t="s">
        <v>97</v>
      </c>
      <c r="Q208" s="1" t="s">
        <v>95</v>
      </c>
      <c r="R208" s="1" t="s">
        <v>29</v>
      </c>
      <c r="S208" s="1" t="s">
        <v>38</v>
      </c>
      <c r="T208" s="1" t="s">
        <v>40</v>
      </c>
      <c r="U208" s="1" t="s">
        <v>40</v>
      </c>
      <c r="V208" s="1">
        <v>-0.88</v>
      </c>
      <c r="X208" s="1" t="s">
        <v>40</v>
      </c>
      <c r="Y208" s="1" t="s">
        <v>694</v>
      </c>
      <c r="Z208" s="1" t="s">
        <v>40</v>
      </c>
      <c r="AA208" s="1" t="s">
        <v>100</v>
      </c>
      <c r="AB208" s="1" t="s">
        <v>106</v>
      </c>
      <c r="AC208" s="1" t="s">
        <v>44</v>
      </c>
      <c r="AD208" s="1" t="s">
        <v>101</v>
      </c>
      <c r="AE208" s="1" t="s">
        <v>40</v>
      </c>
    </row>
    <row r="209" spans="1:31">
      <c r="A209" s="1" t="s">
        <v>748</v>
      </c>
      <c r="B209" s="26" t="s">
        <v>76</v>
      </c>
      <c r="C209" s="54">
        <v>45867</v>
      </c>
      <c r="D209" s="1" t="s">
        <v>130</v>
      </c>
      <c r="E209" s="1" t="s">
        <v>74</v>
      </c>
      <c r="F209" s="1">
        <v>2025</v>
      </c>
      <c r="G209" s="1" t="s">
        <v>81</v>
      </c>
      <c r="H209" s="1" t="s">
        <v>27</v>
      </c>
      <c r="I209" s="1">
        <v>38.07</v>
      </c>
      <c r="J209" s="1">
        <v>-122.06</v>
      </c>
      <c r="K209" s="1">
        <v>1972</v>
      </c>
      <c r="L209" s="1">
        <v>2021</v>
      </c>
      <c r="M209" s="1">
        <f t="shared" si="3"/>
        <v>50</v>
      </c>
      <c r="N209" s="1" t="s">
        <v>30</v>
      </c>
      <c r="O209" s="1" t="s">
        <v>199</v>
      </c>
      <c r="P209" s="1" t="s">
        <v>97</v>
      </c>
      <c r="Q209" s="1" t="s">
        <v>93</v>
      </c>
      <c r="R209" s="1" t="s">
        <v>29</v>
      </c>
      <c r="S209" s="1" t="s">
        <v>38</v>
      </c>
      <c r="T209" s="1" t="s">
        <v>40</v>
      </c>
      <c r="U209" s="1" t="s">
        <v>40</v>
      </c>
      <c r="V209" s="1">
        <v>-2.0499999999999998</v>
      </c>
      <c r="X209" s="1" t="s">
        <v>40</v>
      </c>
      <c r="Y209" s="1" t="s">
        <v>694</v>
      </c>
      <c r="Z209" s="1" t="s">
        <v>40</v>
      </c>
      <c r="AA209" s="1" t="s">
        <v>100</v>
      </c>
      <c r="AB209" s="1" t="s">
        <v>106</v>
      </c>
      <c r="AC209" s="1" t="s">
        <v>44</v>
      </c>
      <c r="AD209" s="1" t="s">
        <v>101</v>
      </c>
      <c r="AE209" s="1" t="s">
        <v>40</v>
      </c>
    </row>
    <row r="210" spans="1:31">
      <c r="A210" s="1" t="s">
        <v>748</v>
      </c>
      <c r="B210" s="26" t="s">
        <v>76</v>
      </c>
      <c r="C210" s="54">
        <v>45867</v>
      </c>
      <c r="D210" s="1" t="s">
        <v>130</v>
      </c>
      <c r="E210" s="1" t="s">
        <v>74</v>
      </c>
      <c r="F210" s="1">
        <v>2025</v>
      </c>
      <c r="G210" s="1" t="s">
        <v>81</v>
      </c>
      <c r="H210" s="1" t="s">
        <v>27</v>
      </c>
      <c r="I210" s="1">
        <v>38.07</v>
      </c>
      <c r="J210" s="1">
        <v>-122.06</v>
      </c>
      <c r="K210" s="1">
        <v>1972</v>
      </c>
      <c r="L210" s="1">
        <v>2021</v>
      </c>
      <c r="M210" s="1">
        <f t="shared" si="3"/>
        <v>50</v>
      </c>
      <c r="N210" s="1" t="s">
        <v>30</v>
      </c>
      <c r="O210" s="1" t="s">
        <v>199</v>
      </c>
      <c r="P210" s="1" t="s">
        <v>97</v>
      </c>
      <c r="Q210" s="1" t="s">
        <v>87</v>
      </c>
      <c r="R210" s="1" t="s">
        <v>29</v>
      </c>
      <c r="S210" s="1" t="s">
        <v>38</v>
      </c>
      <c r="T210" s="1" t="s">
        <v>40</v>
      </c>
      <c r="U210" s="1" t="s">
        <v>40</v>
      </c>
      <c r="V210" s="1">
        <v>-0.63</v>
      </c>
      <c r="X210" s="1" t="s">
        <v>40</v>
      </c>
      <c r="Y210" s="1" t="s">
        <v>694</v>
      </c>
      <c r="Z210" s="1" t="s">
        <v>40</v>
      </c>
      <c r="AA210" s="1" t="s">
        <v>100</v>
      </c>
      <c r="AB210" s="1" t="s">
        <v>106</v>
      </c>
      <c r="AC210" s="1" t="s">
        <v>44</v>
      </c>
      <c r="AD210" s="1" t="s">
        <v>101</v>
      </c>
      <c r="AE210" s="1" t="s">
        <v>40</v>
      </c>
    </row>
    <row r="211" spans="1:31">
      <c r="A211" s="1" t="s">
        <v>748</v>
      </c>
      <c r="B211" s="26" t="s">
        <v>76</v>
      </c>
      <c r="C211" s="54">
        <v>45867</v>
      </c>
      <c r="D211" s="1" t="s">
        <v>130</v>
      </c>
      <c r="E211" s="1" t="s">
        <v>74</v>
      </c>
      <c r="F211" s="1">
        <v>2025</v>
      </c>
      <c r="G211" s="1" t="s">
        <v>81</v>
      </c>
      <c r="H211" s="1" t="s">
        <v>27</v>
      </c>
      <c r="I211" s="1">
        <v>38.07</v>
      </c>
      <c r="J211" s="1">
        <v>-122.06</v>
      </c>
      <c r="K211" s="1">
        <v>1972</v>
      </c>
      <c r="L211" s="1">
        <v>2021</v>
      </c>
      <c r="M211" s="1">
        <f t="shared" si="3"/>
        <v>50</v>
      </c>
      <c r="N211" s="1" t="s">
        <v>30</v>
      </c>
      <c r="O211" s="1" t="s">
        <v>199</v>
      </c>
      <c r="P211" s="1" t="s">
        <v>97</v>
      </c>
      <c r="Q211" s="1" t="s">
        <v>95</v>
      </c>
      <c r="R211" s="1" t="s">
        <v>29</v>
      </c>
      <c r="S211" s="1" t="s">
        <v>38</v>
      </c>
      <c r="T211" s="1" t="s">
        <v>40</v>
      </c>
      <c r="U211" s="1" t="s">
        <v>40</v>
      </c>
      <c r="V211" s="1">
        <v>-2.97</v>
      </c>
      <c r="X211" s="1" t="s">
        <v>40</v>
      </c>
      <c r="Y211" s="1" t="s">
        <v>694</v>
      </c>
      <c r="Z211" s="1" t="s">
        <v>40</v>
      </c>
      <c r="AA211" s="1" t="s">
        <v>100</v>
      </c>
      <c r="AB211" s="1" t="s">
        <v>106</v>
      </c>
      <c r="AC211" s="1" t="s">
        <v>44</v>
      </c>
      <c r="AD211" s="1" t="s">
        <v>101</v>
      </c>
      <c r="AE211" s="1" t="s">
        <v>40</v>
      </c>
    </row>
    <row r="212" spans="1:31">
      <c r="A212" s="1" t="s">
        <v>748</v>
      </c>
      <c r="B212" s="26" t="s">
        <v>76</v>
      </c>
      <c r="C212" s="54">
        <v>45867</v>
      </c>
      <c r="D212" s="1" t="s">
        <v>130</v>
      </c>
      <c r="E212" s="1" t="s">
        <v>74</v>
      </c>
      <c r="F212" s="1">
        <v>2025</v>
      </c>
      <c r="G212" s="1" t="s">
        <v>82</v>
      </c>
      <c r="H212" s="1" t="s">
        <v>27</v>
      </c>
      <c r="I212" s="1">
        <v>38.06</v>
      </c>
      <c r="J212" s="1">
        <v>-122.41</v>
      </c>
      <c r="K212" s="1">
        <v>1980</v>
      </c>
      <c r="L212" s="1">
        <v>2020</v>
      </c>
      <c r="M212" s="1">
        <f t="shared" si="3"/>
        <v>41</v>
      </c>
      <c r="N212" s="1" t="s">
        <v>30</v>
      </c>
      <c r="O212" s="1" t="s">
        <v>199</v>
      </c>
      <c r="P212" s="1" t="s">
        <v>97</v>
      </c>
      <c r="Q212" s="1" t="s">
        <v>93</v>
      </c>
      <c r="R212" s="1" t="s">
        <v>29</v>
      </c>
      <c r="S212" s="1" t="s">
        <v>38</v>
      </c>
      <c r="T212" s="1" t="s">
        <v>40</v>
      </c>
      <c r="U212" s="1" t="s">
        <v>40</v>
      </c>
      <c r="V212" s="1">
        <v>-2.5499999999999998</v>
      </c>
      <c r="X212" s="1" t="s">
        <v>40</v>
      </c>
      <c r="Y212" s="1" t="s">
        <v>694</v>
      </c>
      <c r="Z212" s="1" t="s">
        <v>40</v>
      </c>
      <c r="AA212" s="1" t="s">
        <v>100</v>
      </c>
      <c r="AB212" s="1" t="s">
        <v>106</v>
      </c>
      <c r="AC212" s="1" t="s">
        <v>44</v>
      </c>
      <c r="AD212" s="1" t="s">
        <v>101</v>
      </c>
      <c r="AE212" s="1" t="s">
        <v>40</v>
      </c>
    </row>
    <row r="213" spans="1:31">
      <c r="A213" s="1" t="s">
        <v>748</v>
      </c>
      <c r="B213" s="26" t="s">
        <v>76</v>
      </c>
      <c r="C213" s="54">
        <v>45867</v>
      </c>
      <c r="D213" s="1" t="s">
        <v>130</v>
      </c>
      <c r="E213" s="1" t="s">
        <v>74</v>
      </c>
      <c r="F213" s="1">
        <v>2025</v>
      </c>
      <c r="G213" s="1" t="s">
        <v>107</v>
      </c>
      <c r="H213" s="1" t="s">
        <v>27</v>
      </c>
      <c r="I213" s="1">
        <v>42.39</v>
      </c>
      <c r="J213" s="1">
        <v>-70.760000000000005</v>
      </c>
      <c r="K213" s="1">
        <v>1992</v>
      </c>
      <c r="L213" s="1">
        <v>2022</v>
      </c>
      <c r="M213" s="1">
        <f t="shared" si="3"/>
        <v>31</v>
      </c>
      <c r="N213" s="1" t="s">
        <v>30</v>
      </c>
      <c r="O213" s="1" t="s">
        <v>199</v>
      </c>
      <c r="P213" s="1" t="s">
        <v>1856</v>
      </c>
      <c r="Q213" s="1" t="s">
        <v>36</v>
      </c>
      <c r="R213" s="1" t="s">
        <v>29</v>
      </c>
      <c r="S213" s="1" t="s">
        <v>38</v>
      </c>
      <c r="T213" s="1" t="s">
        <v>40</v>
      </c>
      <c r="U213" s="1" t="s">
        <v>40</v>
      </c>
      <c r="V213" s="1">
        <v>-3.79</v>
      </c>
      <c r="X213" s="1" t="s">
        <v>40</v>
      </c>
      <c r="Y213" s="1" t="s">
        <v>694</v>
      </c>
      <c r="Z213" s="1" t="s">
        <v>40</v>
      </c>
      <c r="AA213" s="1" t="s">
        <v>100</v>
      </c>
      <c r="AB213" s="1" t="s">
        <v>106</v>
      </c>
      <c r="AC213" s="1" t="s">
        <v>44</v>
      </c>
      <c r="AD213" s="1" t="s">
        <v>101</v>
      </c>
      <c r="AE213" s="1" t="s">
        <v>40</v>
      </c>
    </row>
    <row r="214" spans="1:31">
      <c r="A214" s="1" t="s">
        <v>748</v>
      </c>
      <c r="B214" s="47" t="s">
        <v>1958</v>
      </c>
      <c r="D214" s="1" t="s">
        <v>130</v>
      </c>
      <c r="E214" s="1" t="s">
        <v>74</v>
      </c>
      <c r="F214" s="1">
        <v>2025</v>
      </c>
      <c r="G214" s="1" t="s">
        <v>80</v>
      </c>
      <c r="H214" s="1" t="s">
        <v>27</v>
      </c>
      <c r="I214" s="1">
        <v>1972</v>
      </c>
      <c r="J214" s="1">
        <v>2021</v>
      </c>
      <c r="K214" s="1">
        <v>1972</v>
      </c>
      <c r="L214" s="1">
        <v>2021</v>
      </c>
      <c r="M214" s="61">
        <f t="shared" si="3"/>
        <v>50</v>
      </c>
      <c r="N214" s="1" t="s">
        <v>623</v>
      </c>
      <c r="O214" t="s">
        <v>152</v>
      </c>
      <c r="P214" s="1" t="s">
        <v>1967</v>
      </c>
      <c r="Q214" s="1" t="s">
        <v>1960</v>
      </c>
      <c r="R214" s="1" t="s">
        <v>29</v>
      </c>
      <c r="V214">
        <v>-0.12551839332411099</v>
      </c>
      <c r="Y214" s="1" t="s">
        <v>694</v>
      </c>
      <c r="AA214" s="1" t="s">
        <v>69</v>
      </c>
      <c r="AB214" s="1" t="s">
        <v>1966</v>
      </c>
    </row>
    <row r="215" spans="1:31">
      <c r="A215" s="1" t="s">
        <v>748</v>
      </c>
      <c r="B215" s="47" t="s">
        <v>1958</v>
      </c>
      <c r="D215" s="1" t="s">
        <v>130</v>
      </c>
      <c r="E215" s="1" t="s">
        <v>74</v>
      </c>
      <c r="F215" s="1">
        <v>2025</v>
      </c>
      <c r="G215" s="1" t="s">
        <v>80</v>
      </c>
      <c r="H215" s="1" t="s">
        <v>27</v>
      </c>
      <c r="K215" s="1">
        <v>1972</v>
      </c>
      <c r="L215" s="1">
        <v>2021</v>
      </c>
      <c r="M215" s="61">
        <f t="shared" si="3"/>
        <v>50</v>
      </c>
      <c r="N215" s="1" t="s">
        <v>623</v>
      </c>
      <c r="O215" t="s">
        <v>152</v>
      </c>
      <c r="P215" s="1" t="s">
        <v>217</v>
      </c>
      <c r="Q215" s="1" t="s">
        <v>1961</v>
      </c>
      <c r="R215" s="1" t="s">
        <v>29</v>
      </c>
      <c r="V215">
        <v>-2.4686182948072601</v>
      </c>
      <c r="Y215" s="1" t="s">
        <v>694</v>
      </c>
      <c r="AA215" s="1" t="s">
        <v>69</v>
      </c>
      <c r="AB215" s="1" t="s">
        <v>1966</v>
      </c>
    </row>
    <row r="216" spans="1:31">
      <c r="A216" s="1" t="s">
        <v>748</v>
      </c>
      <c r="B216" s="47" t="s">
        <v>1958</v>
      </c>
      <c r="D216" s="1" t="s">
        <v>130</v>
      </c>
      <c r="E216" s="1" t="s">
        <v>74</v>
      </c>
      <c r="F216" s="1">
        <v>2025</v>
      </c>
      <c r="G216" s="1" t="s">
        <v>80</v>
      </c>
      <c r="H216" s="1" t="s">
        <v>27</v>
      </c>
      <c r="K216" s="1">
        <v>1972</v>
      </c>
      <c r="L216" s="1">
        <v>2021</v>
      </c>
      <c r="M216" s="61">
        <f t="shared" si="3"/>
        <v>50</v>
      </c>
      <c r="N216" s="1" t="s">
        <v>623</v>
      </c>
      <c r="O216" t="s">
        <v>152</v>
      </c>
      <c r="P216" s="1" t="s">
        <v>1968</v>
      </c>
      <c r="Q216" s="1" t="s">
        <v>1962</v>
      </c>
      <c r="R216" s="1" t="s">
        <v>29</v>
      </c>
      <c r="V216">
        <v>-2.1338885335315401</v>
      </c>
      <c r="Y216" s="1" t="s">
        <v>694</v>
      </c>
      <c r="AA216" s="1" t="s">
        <v>69</v>
      </c>
      <c r="AB216" s="1" t="s">
        <v>1966</v>
      </c>
    </row>
    <row r="217" spans="1:31">
      <c r="A217" s="1" t="s">
        <v>748</v>
      </c>
      <c r="B217" s="47" t="s">
        <v>1958</v>
      </c>
      <c r="D217" s="1" t="s">
        <v>130</v>
      </c>
      <c r="E217" s="1" t="s">
        <v>74</v>
      </c>
      <c r="F217" s="1">
        <v>2025</v>
      </c>
      <c r="G217" s="1" t="s">
        <v>80</v>
      </c>
      <c r="H217" s="1" t="s">
        <v>27</v>
      </c>
      <c r="K217" s="1">
        <v>1972</v>
      </c>
      <c r="L217" s="1">
        <v>2021</v>
      </c>
      <c r="M217" s="61">
        <f t="shared" si="3"/>
        <v>50</v>
      </c>
      <c r="N217" s="1" t="s">
        <v>623</v>
      </c>
      <c r="O217" t="s">
        <v>152</v>
      </c>
      <c r="P217" s="1" t="s">
        <v>217</v>
      </c>
      <c r="Q217" s="1" t="s">
        <v>1963</v>
      </c>
      <c r="R217" s="1" t="s">
        <v>29</v>
      </c>
      <c r="V217">
        <v>2.1338927472549698</v>
      </c>
      <c r="Y217" s="1" t="s">
        <v>694</v>
      </c>
      <c r="AA217" s="1" t="s">
        <v>69</v>
      </c>
      <c r="AB217" s="1" t="s">
        <v>1966</v>
      </c>
    </row>
    <row r="218" spans="1:31">
      <c r="A218" s="1" t="s">
        <v>748</v>
      </c>
      <c r="B218" s="47" t="s">
        <v>1958</v>
      </c>
      <c r="D218" s="1" t="s">
        <v>130</v>
      </c>
      <c r="E218" s="1" t="s">
        <v>74</v>
      </c>
      <c r="F218" s="1">
        <v>2025</v>
      </c>
      <c r="G218" s="1" t="s">
        <v>80</v>
      </c>
      <c r="H218" s="1" t="s">
        <v>27</v>
      </c>
      <c r="K218" s="1">
        <v>1972</v>
      </c>
      <c r="L218" s="1">
        <v>2021</v>
      </c>
      <c r="M218" s="61">
        <f t="shared" si="3"/>
        <v>50</v>
      </c>
      <c r="N218" s="1" t="s">
        <v>623</v>
      </c>
      <c r="O218" t="s">
        <v>152</v>
      </c>
      <c r="P218" s="1" t="s">
        <v>217</v>
      </c>
      <c r="Q218" s="1" t="s">
        <v>1964</v>
      </c>
      <c r="R218" s="1" t="s">
        <v>29</v>
      </c>
      <c r="V218">
        <v>-1.7154826525220399</v>
      </c>
      <c r="Y218" s="1" t="s">
        <v>694</v>
      </c>
      <c r="AA218" s="1" t="s">
        <v>69</v>
      </c>
      <c r="AB218" s="1" t="s">
        <v>1966</v>
      </c>
    </row>
    <row r="219" spans="1:31">
      <c r="A219" s="1" t="s">
        <v>748</v>
      </c>
      <c r="B219" s="47" t="s">
        <v>1958</v>
      </c>
      <c r="D219" s="1" t="s">
        <v>130</v>
      </c>
      <c r="E219" s="1" t="s">
        <v>74</v>
      </c>
      <c r="F219" s="1">
        <v>2025</v>
      </c>
      <c r="G219" s="1" t="s">
        <v>80</v>
      </c>
      <c r="H219" s="1" t="s">
        <v>27</v>
      </c>
      <c r="K219" s="1">
        <v>1972</v>
      </c>
      <c r="L219" s="1">
        <v>2021</v>
      </c>
      <c r="M219" s="61">
        <f t="shared" si="3"/>
        <v>50</v>
      </c>
      <c r="N219" s="1" t="s">
        <v>623</v>
      </c>
      <c r="O219" t="s">
        <v>152</v>
      </c>
      <c r="P219" s="1" t="s">
        <v>1969</v>
      </c>
      <c r="Q219" s="1" t="s">
        <v>1965</v>
      </c>
      <c r="R219" s="1" t="s">
        <v>29</v>
      </c>
      <c r="V219">
        <v>-4.5606687684719001</v>
      </c>
      <c r="Y219" s="1" t="s">
        <v>694</v>
      </c>
      <c r="AA219" s="1" t="s">
        <v>69</v>
      </c>
      <c r="AB219" s="1" t="s">
        <v>1966</v>
      </c>
    </row>
    <row r="220" spans="1:31">
      <c r="A220" s="1" t="s">
        <v>748</v>
      </c>
      <c r="B220" s="47" t="s">
        <v>1958</v>
      </c>
      <c r="D220" s="1" t="s">
        <v>130</v>
      </c>
      <c r="E220" s="1" t="s">
        <v>74</v>
      </c>
      <c r="F220" s="1">
        <v>2025</v>
      </c>
      <c r="G220" s="1" t="s">
        <v>81</v>
      </c>
      <c r="H220" s="1" t="s">
        <v>27</v>
      </c>
      <c r="I220" s="61"/>
      <c r="J220" s="61"/>
      <c r="K220" s="1">
        <v>1972</v>
      </c>
      <c r="L220" s="1">
        <v>2021</v>
      </c>
      <c r="M220" s="61">
        <f t="shared" si="3"/>
        <v>50</v>
      </c>
      <c r="N220" s="1" t="s">
        <v>623</v>
      </c>
      <c r="O220" t="s">
        <v>152</v>
      </c>
      <c r="P220" s="1" t="s">
        <v>217</v>
      </c>
      <c r="Q220" s="1" t="s">
        <v>1963</v>
      </c>
      <c r="R220" s="1" t="s">
        <v>29</v>
      </c>
      <c r="V220">
        <v>-6.9037644562316203</v>
      </c>
      <c r="Y220" s="1" t="s">
        <v>694</v>
      </c>
      <c r="AA220" s="1" t="s">
        <v>69</v>
      </c>
      <c r="AB220" s="1" t="s">
        <v>1966</v>
      </c>
    </row>
    <row r="221" spans="1:31">
      <c r="A221" s="1" t="s">
        <v>1919</v>
      </c>
      <c r="B221" s="26" t="s">
        <v>1420</v>
      </c>
      <c r="D221" s="1" t="s">
        <v>130</v>
      </c>
      <c r="E221" s="1" t="s">
        <v>74</v>
      </c>
      <c r="F221" s="1">
        <v>2025</v>
      </c>
      <c r="G221" s="64" t="s">
        <v>1920</v>
      </c>
      <c r="H221" s="1" t="s">
        <v>147</v>
      </c>
      <c r="I221" s="61"/>
      <c r="J221" s="61"/>
      <c r="K221" s="61">
        <v>1998</v>
      </c>
      <c r="L221" s="61">
        <v>2023</v>
      </c>
      <c r="M221" s="61">
        <f t="shared" si="3"/>
        <v>26</v>
      </c>
      <c r="N221" s="1" t="s">
        <v>623</v>
      </c>
      <c r="O221" t="s">
        <v>152</v>
      </c>
      <c r="P221" s="62" t="s">
        <v>1177</v>
      </c>
      <c r="Q221" s="1" t="s">
        <v>1956</v>
      </c>
      <c r="R221" s="1" t="s">
        <v>1957</v>
      </c>
      <c r="V221" s="1">
        <v>26.8</v>
      </c>
      <c r="Y221" s="1" t="s">
        <v>694</v>
      </c>
      <c r="AA221" s="1" t="s">
        <v>69</v>
      </c>
      <c r="AB221" s="1" t="s">
        <v>1959</v>
      </c>
      <c r="AC221" s="1" t="s">
        <v>1959</v>
      </c>
      <c r="AD221" s="1" t="s">
        <v>1959</v>
      </c>
    </row>
    <row r="222" spans="1:31">
      <c r="A222" s="1" t="s">
        <v>1919</v>
      </c>
      <c r="B222" s="26" t="s">
        <v>1420</v>
      </c>
      <c r="D222" s="1" t="s">
        <v>130</v>
      </c>
      <c r="E222" s="1" t="s">
        <v>74</v>
      </c>
      <c r="F222" s="1">
        <v>2025</v>
      </c>
      <c r="G222" s="1" t="s">
        <v>1383</v>
      </c>
      <c r="H222" s="1" t="s">
        <v>147</v>
      </c>
      <c r="I222" s="61"/>
      <c r="J222" s="61"/>
      <c r="K222" s="61">
        <v>1998</v>
      </c>
      <c r="L222" s="61">
        <v>2023</v>
      </c>
      <c r="M222" s="61">
        <f t="shared" si="3"/>
        <v>26</v>
      </c>
      <c r="N222" s="1" t="s">
        <v>623</v>
      </c>
      <c r="O222" t="s">
        <v>152</v>
      </c>
      <c r="P222" s="62" t="s">
        <v>1177</v>
      </c>
      <c r="Q222" s="1" t="s">
        <v>1956</v>
      </c>
      <c r="R222" s="1" t="s">
        <v>1957</v>
      </c>
      <c r="V222" s="1">
        <v>-0.72</v>
      </c>
      <c r="Y222" s="1" t="s">
        <v>41</v>
      </c>
      <c r="AA222" s="1" t="s">
        <v>69</v>
      </c>
      <c r="AB222" s="1" t="s">
        <v>1959</v>
      </c>
    </row>
    <row r="223" spans="1:31">
      <c r="A223" s="1" t="s">
        <v>2014</v>
      </c>
      <c r="B223" s="47" t="s">
        <v>1903</v>
      </c>
      <c r="D223" s="1" t="s">
        <v>130</v>
      </c>
      <c r="E223" s="1" t="s">
        <v>74</v>
      </c>
      <c r="F223" s="1">
        <v>2025</v>
      </c>
      <c r="G223" s="1" t="s">
        <v>2015</v>
      </c>
      <c r="H223" s="1" t="s">
        <v>147</v>
      </c>
      <c r="K223" s="1">
        <v>1998</v>
      </c>
      <c r="L223" s="1">
        <v>2022</v>
      </c>
      <c r="M223" s="61">
        <f t="shared" si="3"/>
        <v>25</v>
      </c>
      <c r="N223" s="1" t="s">
        <v>623</v>
      </c>
      <c r="O223" s="1" t="s">
        <v>152</v>
      </c>
      <c r="Q223" s="1" t="s">
        <v>1345</v>
      </c>
      <c r="R223" s="1" t="s">
        <v>2023</v>
      </c>
      <c r="V223" s="1">
        <v>-11.67</v>
      </c>
      <c r="Y223" s="1" t="s">
        <v>694</v>
      </c>
      <c r="AB223" s="1" t="s">
        <v>1595</v>
      </c>
    </row>
    <row r="224" spans="1:31">
      <c r="A224" s="1" t="s">
        <v>2014</v>
      </c>
      <c r="B224" s="47" t="s">
        <v>1903</v>
      </c>
      <c r="D224" s="1" t="s">
        <v>130</v>
      </c>
      <c r="E224" s="1" t="s">
        <v>74</v>
      </c>
      <c r="F224" s="1">
        <v>2025</v>
      </c>
      <c r="G224" s="1" t="s">
        <v>2016</v>
      </c>
      <c r="H224" s="1" t="s">
        <v>147</v>
      </c>
      <c r="K224" s="1">
        <v>1998</v>
      </c>
      <c r="L224" s="1">
        <v>2022</v>
      </c>
      <c r="M224" s="61">
        <f t="shared" si="3"/>
        <v>25</v>
      </c>
      <c r="N224" s="1" t="s">
        <v>623</v>
      </c>
      <c r="O224" s="1" t="s">
        <v>152</v>
      </c>
      <c r="Q224" s="1" t="s">
        <v>1345</v>
      </c>
      <c r="R224" s="1" t="s">
        <v>2023</v>
      </c>
      <c r="V224" s="1">
        <v>-18.75</v>
      </c>
      <c r="Y224" s="1" t="s">
        <v>694</v>
      </c>
      <c r="AB224" s="1" t="s">
        <v>1595</v>
      </c>
    </row>
    <row r="225" spans="1:28">
      <c r="A225" s="1" t="s">
        <v>2014</v>
      </c>
      <c r="B225" s="47" t="s">
        <v>1903</v>
      </c>
      <c r="D225" s="1" t="s">
        <v>130</v>
      </c>
      <c r="E225" s="1" t="s">
        <v>74</v>
      </c>
      <c r="F225" s="1">
        <v>2025</v>
      </c>
      <c r="G225" s="1" t="s">
        <v>2017</v>
      </c>
      <c r="H225" s="1" t="s">
        <v>147</v>
      </c>
      <c r="K225" s="1">
        <v>1998</v>
      </c>
      <c r="L225" s="1">
        <v>2022</v>
      </c>
      <c r="M225" s="61">
        <f t="shared" si="3"/>
        <v>25</v>
      </c>
      <c r="N225" s="1" t="s">
        <v>623</v>
      </c>
      <c r="O225" s="1" t="s">
        <v>152</v>
      </c>
      <c r="Q225" s="1" t="s">
        <v>1345</v>
      </c>
      <c r="R225" s="1" t="s">
        <v>2023</v>
      </c>
      <c r="V225" s="1">
        <v>-10.42</v>
      </c>
      <c r="Y225" s="1" t="s">
        <v>694</v>
      </c>
      <c r="AB225" s="1" t="s">
        <v>1595</v>
      </c>
    </row>
    <row r="226" spans="1:28">
      <c r="A226" s="1" t="s">
        <v>2014</v>
      </c>
      <c r="B226" s="47" t="s">
        <v>1903</v>
      </c>
      <c r="D226" s="1" t="s">
        <v>130</v>
      </c>
      <c r="E226" s="1" t="s">
        <v>74</v>
      </c>
      <c r="F226" s="1">
        <v>2025</v>
      </c>
      <c r="G226" s="1" t="s">
        <v>2018</v>
      </c>
      <c r="H226" s="1" t="s">
        <v>147</v>
      </c>
      <c r="K226" s="1">
        <v>1998</v>
      </c>
      <c r="L226" s="1">
        <v>2022</v>
      </c>
      <c r="M226" s="61">
        <f t="shared" si="3"/>
        <v>25</v>
      </c>
      <c r="N226" s="1" t="s">
        <v>623</v>
      </c>
      <c r="O226" s="1" t="s">
        <v>152</v>
      </c>
      <c r="Q226" s="1" t="s">
        <v>1345</v>
      </c>
      <c r="R226" s="1" t="s">
        <v>2023</v>
      </c>
      <c r="V226" s="1">
        <v>-12.92</v>
      </c>
      <c r="Y226" s="1" t="s">
        <v>694</v>
      </c>
      <c r="AB226" s="1" t="s">
        <v>1595</v>
      </c>
    </row>
    <row r="227" spans="1:28">
      <c r="A227" s="1" t="s">
        <v>2014</v>
      </c>
      <c r="B227" s="47" t="s">
        <v>1903</v>
      </c>
      <c r="D227" s="1" t="s">
        <v>130</v>
      </c>
      <c r="E227" s="1" t="s">
        <v>74</v>
      </c>
      <c r="F227" s="1">
        <v>2025</v>
      </c>
      <c r="G227" s="1" t="s">
        <v>2019</v>
      </c>
      <c r="H227" s="1" t="s">
        <v>147</v>
      </c>
      <c r="K227" s="1">
        <v>1998</v>
      </c>
      <c r="L227" s="1">
        <v>2022</v>
      </c>
      <c r="M227" s="61">
        <f t="shared" si="3"/>
        <v>25</v>
      </c>
      <c r="N227" s="1" t="s">
        <v>623</v>
      </c>
      <c r="O227" s="1" t="s">
        <v>152</v>
      </c>
      <c r="Q227" s="1" t="s">
        <v>1345</v>
      </c>
      <c r="R227" s="1" t="s">
        <v>2023</v>
      </c>
      <c r="V227" s="1">
        <v>-11.25</v>
      </c>
      <c r="Y227" s="1" t="s">
        <v>694</v>
      </c>
      <c r="AB227" s="1" t="s">
        <v>1595</v>
      </c>
    </row>
    <row r="228" spans="1:28">
      <c r="A228" s="1" t="s">
        <v>2014</v>
      </c>
      <c r="B228" s="47" t="s">
        <v>1903</v>
      </c>
      <c r="D228" s="1" t="s">
        <v>130</v>
      </c>
      <c r="E228" s="1" t="s">
        <v>74</v>
      </c>
      <c r="F228" s="1">
        <v>2025</v>
      </c>
      <c r="G228" s="1" t="s">
        <v>2020</v>
      </c>
      <c r="H228" s="1" t="s">
        <v>147</v>
      </c>
      <c r="K228" s="1">
        <v>1998</v>
      </c>
      <c r="L228" s="1">
        <v>2022</v>
      </c>
      <c r="M228" s="61">
        <f t="shared" si="3"/>
        <v>25</v>
      </c>
      <c r="N228" s="1" t="s">
        <v>623</v>
      </c>
      <c r="O228" s="1" t="s">
        <v>152</v>
      </c>
      <c r="Q228" s="1" t="s">
        <v>1345</v>
      </c>
      <c r="R228" s="1" t="s">
        <v>2023</v>
      </c>
      <c r="V228" s="1">
        <v>-5</v>
      </c>
      <c r="Y228" s="1" t="s">
        <v>694</v>
      </c>
      <c r="AB228" s="1" t="s">
        <v>1595</v>
      </c>
    </row>
    <row r="229" spans="1:28">
      <c r="A229" s="1" t="s">
        <v>2014</v>
      </c>
      <c r="B229" s="47" t="s">
        <v>1903</v>
      </c>
      <c r="D229" s="1" t="s">
        <v>130</v>
      </c>
      <c r="E229" s="1" t="s">
        <v>74</v>
      </c>
      <c r="F229" s="1">
        <v>2025</v>
      </c>
      <c r="G229" s="1" t="s">
        <v>2021</v>
      </c>
      <c r="H229" s="1" t="s">
        <v>147</v>
      </c>
      <c r="K229" s="1">
        <v>1998</v>
      </c>
      <c r="L229" s="1">
        <v>2022</v>
      </c>
      <c r="M229" s="61">
        <f t="shared" si="3"/>
        <v>25</v>
      </c>
      <c r="N229" s="1" t="s">
        <v>623</v>
      </c>
      <c r="O229" s="1" t="s">
        <v>152</v>
      </c>
      <c r="Q229" s="1" t="s">
        <v>1345</v>
      </c>
      <c r="R229" s="1" t="s">
        <v>2023</v>
      </c>
      <c r="V229" s="1">
        <v>5.83</v>
      </c>
      <c r="Y229" s="1" t="s">
        <v>41</v>
      </c>
      <c r="AB229" s="1" t="s">
        <v>1595</v>
      </c>
    </row>
    <row r="230" spans="1:28">
      <c r="A230" s="1" t="s">
        <v>2014</v>
      </c>
      <c r="B230" s="47" t="s">
        <v>1903</v>
      </c>
      <c r="D230" s="1" t="s">
        <v>130</v>
      </c>
      <c r="E230" s="1" t="s">
        <v>74</v>
      </c>
      <c r="F230" s="1">
        <v>2025</v>
      </c>
      <c r="G230" s="1" t="s">
        <v>2022</v>
      </c>
      <c r="H230" s="1" t="s">
        <v>147</v>
      </c>
      <c r="K230" s="1">
        <v>1998</v>
      </c>
      <c r="L230" s="1">
        <v>2022</v>
      </c>
      <c r="M230" s="61">
        <f t="shared" si="3"/>
        <v>25</v>
      </c>
      <c r="N230" s="1" t="s">
        <v>623</v>
      </c>
      <c r="O230" s="1" t="s">
        <v>152</v>
      </c>
      <c r="Q230" s="1" t="s">
        <v>1345</v>
      </c>
      <c r="R230" s="1" t="s">
        <v>2023</v>
      </c>
      <c r="V230" s="1">
        <v>-10.42</v>
      </c>
      <c r="Y230" s="1" t="s">
        <v>694</v>
      </c>
      <c r="AB230" s="1" t="s">
        <v>1595</v>
      </c>
    </row>
    <row r="231" spans="1:28">
      <c r="A231" s="1" t="s">
        <v>2034</v>
      </c>
      <c r="B231" s="47" t="s">
        <v>1419</v>
      </c>
      <c r="D231" s="1" t="s">
        <v>130</v>
      </c>
      <c r="E231" s="1" t="s">
        <v>74</v>
      </c>
      <c r="F231" s="1">
        <v>2025</v>
      </c>
      <c r="G231" s="1" t="s">
        <v>2035</v>
      </c>
      <c r="H231" s="1" t="s">
        <v>147</v>
      </c>
      <c r="K231" s="1">
        <v>1998</v>
      </c>
      <c r="L231" s="1">
        <v>2022</v>
      </c>
      <c r="M231" s="1">
        <f t="shared" si="3"/>
        <v>25</v>
      </c>
      <c r="N231" s="1" t="s">
        <v>623</v>
      </c>
      <c r="O231" s="1" t="s">
        <v>1582</v>
      </c>
      <c r="Q231" s="1" t="s">
        <v>1345</v>
      </c>
      <c r="R231" s="1" t="s">
        <v>266</v>
      </c>
      <c r="V231" s="1">
        <v>3.33</v>
      </c>
      <c r="Y231" s="1" t="s">
        <v>694</v>
      </c>
      <c r="AB231" s="1" t="s">
        <v>2068</v>
      </c>
    </row>
    <row r="232" spans="1:28">
      <c r="A232" s="1" t="s">
        <v>2034</v>
      </c>
      <c r="B232" s="1" t="s">
        <v>1419</v>
      </c>
      <c r="D232" s="1" t="s">
        <v>130</v>
      </c>
      <c r="E232" s="1" t="s">
        <v>74</v>
      </c>
      <c r="F232" s="1">
        <v>2025</v>
      </c>
      <c r="G232" s="1" t="s">
        <v>2036</v>
      </c>
      <c r="H232" s="1" t="s">
        <v>147</v>
      </c>
      <c r="K232" s="1">
        <v>1998</v>
      </c>
      <c r="L232" s="1">
        <v>2022</v>
      </c>
      <c r="M232" s="1">
        <f t="shared" si="3"/>
        <v>25</v>
      </c>
      <c r="N232" s="1" t="s">
        <v>623</v>
      </c>
      <c r="O232" s="1" t="s">
        <v>1582</v>
      </c>
      <c r="Q232" s="1" t="s">
        <v>1345</v>
      </c>
      <c r="R232" s="1" t="s">
        <v>266</v>
      </c>
      <c r="V232" s="1">
        <v>4.17</v>
      </c>
      <c r="Y232" s="1" t="s">
        <v>694</v>
      </c>
      <c r="AB232" s="1" t="s">
        <v>2068</v>
      </c>
    </row>
    <row r="233" spans="1:28">
      <c r="A233" s="1" t="s">
        <v>2034</v>
      </c>
      <c r="B233" s="1" t="s">
        <v>1419</v>
      </c>
      <c r="D233" s="1" t="s">
        <v>130</v>
      </c>
      <c r="E233" s="1" t="s">
        <v>74</v>
      </c>
      <c r="F233" s="1">
        <v>2025</v>
      </c>
      <c r="G233" s="1" t="s">
        <v>2037</v>
      </c>
      <c r="H233" s="1" t="s">
        <v>147</v>
      </c>
      <c r="K233" s="1">
        <v>1998</v>
      </c>
      <c r="L233" s="1">
        <v>2022</v>
      </c>
      <c r="M233" s="1">
        <f t="shared" si="3"/>
        <v>25</v>
      </c>
      <c r="N233" s="1" t="s">
        <v>623</v>
      </c>
      <c r="O233" s="1" t="s">
        <v>1582</v>
      </c>
      <c r="Q233" s="1" t="s">
        <v>1345</v>
      </c>
      <c r="R233" s="1" t="s">
        <v>266</v>
      </c>
      <c r="V233" s="1">
        <v>3.75</v>
      </c>
      <c r="Y233" s="1" t="s">
        <v>694</v>
      </c>
      <c r="AB233" s="1" t="s">
        <v>2068</v>
      </c>
    </row>
    <row r="234" spans="1:28">
      <c r="A234" s="1" t="s">
        <v>2034</v>
      </c>
      <c r="B234" s="1" t="s">
        <v>1419</v>
      </c>
      <c r="D234" s="1" t="s">
        <v>130</v>
      </c>
      <c r="E234" s="1" t="s">
        <v>74</v>
      </c>
      <c r="F234" s="1">
        <v>2025</v>
      </c>
      <c r="G234" s="1" t="s">
        <v>2038</v>
      </c>
      <c r="H234" s="1" t="s">
        <v>723</v>
      </c>
      <c r="K234" s="1">
        <v>1998</v>
      </c>
      <c r="L234" s="1">
        <v>2022</v>
      </c>
      <c r="M234" s="1">
        <f t="shared" si="3"/>
        <v>25</v>
      </c>
      <c r="N234" s="1" t="s">
        <v>623</v>
      </c>
      <c r="O234" s="1" t="s">
        <v>1582</v>
      </c>
      <c r="Q234" s="1" t="s">
        <v>1345</v>
      </c>
      <c r="R234" s="1" t="s">
        <v>266</v>
      </c>
      <c r="V234" s="1">
        <v>-5.83</v>
      </c>
      <c r="Y234" s="1" t="s">
        <v>41</v>
      </c>
      <c r="AB234" s="1" t="s">
        <v>2068</v>
      </c>
    </row>
    <row r="235" spans="1:28">
      <c r="A235" s="1" t="s">
        <v>2034</v>
      </c>
      <c r="B235" s="1" t="s">
        <v>1419</v>
      </c>
      <c r="D235" s="1" t="s">
        <v>130</v>
      </c>
      <c r="E235" s="1" t="s">
        <v>74</v>
      </c>
      <c r="F235" s="1">
        <v>2025</v>
      </c>
      <c r="G235" s="1" t="s">
        <v>2039</v>
      </c>
      <c r="H235" s="1" t="s">
        <v>147</v>
      </c>
      <c r="K235" s="1">
        <v>1998</v>
      </c>
      <c r="L235" s="1">
        <v>2022</v>
      </c>
      <c r="M235" s="1">
        <f t="shared" si="3"/>
        <v>25</v>
      </c>
      <c r="N235" s="1" t="s">
        <v>623</v>
      </c>
      <c r="O235" s="1" t="s">
        <v>1582</v>
      </c>
      <c r="Q235" s="1" t="s">
        <v>1345</v>
      </c>
      <c r="R235" s="1" t="s">
        <v>266</v>
      </c>
      <c r="V235" s="1">
        <v>0.83</v>
      </c>
      <c r="Y235" s="1" t="s">
        <v>694</v>
      </c>
      <c r="AB235" s="1" t="s">
        <v>2068</v>
      </c>
    </row>
    <row r="236" spans="1:28">
      <c r="A236" s="1" t="s">
        <v>2034</v>
      </c>
      <c r="B236" s="1" t="s">
        <v>1419</v>
      </c>
      <c r="D236" s="1" t="s">
        <v>130</v>
      </c>
      <c r="E236" s="1" t="s">
        <v>74</v>
      </c>
      <c r="F236" s="1">
        <v>2025</v>
      </c>
      <c r="G236" s="1" t="s">
        <v>2040</v>
      </c>
      <c r="H236" s="1" t="s">
        <v>147</v>
      </c>
      <c r="K236" s="1">
        <v>1998</v>
      </c>
      <c r="L236" s="1">
        <v>2022</v>
      </c>
      <c r="M236" s="1">
        <f t="shared" si="3"/>
        <v>25</v>
      </c>
      <c r="N236" s="1" t="s">
        <v>623</v>
      </c>
      <c r="O236" s="1" t="s">
        <v>1582</v>
      </c>
      <c r="Q236" s="1" t="s">
        <v>1345</v>
      </c>
      <c r="R236" s="1" t="s">
        <v>266</v>
      </c>
      <c r="V236" s="1">
        <v>2.92</v>
      </c>
      <c r="Y236" s="1" t="s">
        <v>694</v>
      </c>
      <c r="AB236" s="1" t="s">
        <v>2068</v>
      </c>
    </row>
    <row r="237" spans="1:28">
      <c r="A237" s="1" t="s">
        <v>2034</v>
      </c>
      <c r="B237" s="1" t="s">
        <v>1419</v>
      </c>
      <c r="D237" s="1" t="s">
        <v>130</v>
      </c>
      <c r="E237" s="1" t="s">
        <v>74</v>
      </c>
      <c r="F237" s="1">
        <v>2025</v>
      </c>
      <c r="G237" s="1" t="s">
        <v>2041</v>
      </c>
      <c r="H237" s="1" t="s">
        <v>147</v>
      </c>
      <c r="K237" s="1">
        <v>1998</v>
      </c>
      <c r="L237" s="1">
        <v>2022</v>
      </c>
      <c r="M237" s="1">
        <f t="shared" si="3"/>
        <v>25</v>
      </c>
      <c r="N237" s="1" t="s">
        <v>623</v>
      </c>
      <c r="O237" s="1" t="s">
        <v>1582</v>
      </c>
      <c r="Q237" s="1" t="s">
        <v>1345</v>
      </c>
      <c r="R237" s="1" t="s">
        <v>266</v>
      </c>
      <c r="V237" s="1">
        <v>9.17</v>
      </c>
      <c r="Y237" s="1" t="s">
        <v>694</v>
      </c>
      <c r="AB237" s="1" t="s">
        <v>2068</v>
      </c>
    </row>
    <row r="238" spans="1:28">
      <c r="A238" s="1" t="s">
        <v>2034</v>
      </c>
      <c r="B238" s="1" t="s">
        <v>1419</v>
      </c>
      <c r="D238" s="1" t="s">
        <v>130</v>
      </c>
      <c r="E238" s="1" t="s">
        <v>74</v>
      </c>
      <c r="F238" s="1">
        <v>2025</v>
      </c>
      <c r="G238" s="1" t="s">
        <v>2042</v>
      </c>
      <c r="H238" s="1" t="s">
        <v>147</v>
      </c>
      <c r="K238" s="1">
        <v>1998</v>
      </c>
      <c r="L238" s="1">
        <v>2022</v>
      </c>
      <c r="M238" s="1">
        <f t="shared" si="3"/>
        <v>25</v>
      </c>
      <c r="N238" s="1" t="s">
        <v>623</v>
      </c>
      <c r="O238" s="1" t="s">
        <v>1582</v>
      </c>
      <c r="Q238" s="1" t="s">
        <v>1345</v>
      </c>
      <c r="R238" s="1" t="s">
        <v>266</v>
      </c>
      <c r="V238" s="1">
        <v>7.92</v>
      </c>
      <c r="Y238" s="1" t="s">
        <v>694</v>
      </c>
      <c r="AB238" s="1" t="s">
        <v>2068</v>
      </c>
    </row>
    <row r="239" spans="1:28">
      <c r="A239" s="1" t="s">
        <v>2034</v>
      </c>
      <c r="B239" s="1" t="s">
        <v>1419</v>
      </c>
      <c r="D239" s="1" t="s">
        <v>130</v>
      </c>
      <c r="E239" s="1" t="s">
        <v>74</v>
      </c>
      <c r="F239" s="1">
        <v>2025</v>
      </c>
      <c r="G239" s="1" t="s">
        <v>2043</v>
      </c>
      <c r="H239" s="1" t="s">
        <v>147</v>
      </c>
      <c r="K239" s="1">
        <v>1998</v>
      </c>
      <c r="L239" s="1">
        <v>2022</v>
      </c>
      <c r="M239" s="1">
        <f t="shared" si="3"/>
        <v>25</v>
      </c>
      <c r="N239" s="1" t="s">
        <v>623</v>
      </c>
      <c r="O239" s="1" t="s">
        <v>1582</v>
      </c>
      <c r="Q239" s="1" t="s">
        <v>1345</v>
      </c>
      <c r="R239" s="1" t="s">
        <v>266</v>
      </c>
      <c r="V239" s="1">
        <v>0.57999999999999996</v>
      </c>
      <c r="Y239" s="1" t="s">
        <v>694</v>
      </c>
      <c r="AB239" s="1" t="s">
        <v>2068</v>
      </c>
    </row>
    <row r="240" spans="1:28">
      <c r="A240" s="1" t="s">
        <v>2034</v>
      </c>
      <c r="B240" s="1" t="s">
        <v>1419</v>
      </c>
      <c r="D240" s="1" t="s">
        <v>130</v>
      </c>
      <c r="E240" s="1" t="s">
        <v>74</v>
      </c>
      <c r="F240" s="1">
        <v>2025</v>
      </c>
      <c r="G240" s="1" t="s">
        <v>2044</v>
      </c>
      <c r="H240" s="1" t="s">
        <v>2048</v>
      </c>
      <c r="K240" s="1">
        <v>1998</v>
      </c>
      <c r="L240" s="1">
        <v>2022</v>
      </c>
      <c r="M240" s="1">
        <f t="shared" si="3"/>
        <v>25</v>
      </c>
      <c r="N240" s="1" t="s">
        <v>623</v>
      </c>
      <c r="O240" s="1" t="s">
        <v>1582</v>
      </c>
      <c r="Q240" s="1" t="s">
        <v>1345</v>
      </c>
      <c r="R240" s="1" t="s">
        <v>266</v>
      </c>
      <c r="V240" s="1">
        <v>-13.75</v>
      </c>
      <c r="Y240" s="1" t="s">
        <v>41</v>
      </c>
      <c r="AB240" s="1" t="s">
        <v>2068</v>
      </c>
    </row>
    <row r="241" spans="1:30">
      <c r="A241" s="1" t="s">
        <v>2034</v>
      </c>
      <c r="B241" s="1" t="s">
        <v>1419</v>
      </c>
      <c r="D241" s="1" t="s">
        <v>130</v>
      </c>
      <c r="E241" s="1" t="s">
        <v>74</v>
      </c>
      <c r="F241" s="1">
        <v>2025</v>
      </c>
      <c r="G241" s="1" t="s">
        <v>2045</v>
      </c>
      <c r="H241" s="1" t="s">
        <v>147</v>
      </c>
      <c r="K241" s="1">
        <v>1998</v>
      </c>
      <c r="L241" s="1">
        <v>2022</v>
      </c>
      <c r="M241" s="1">
        <f t="shared" si="3"/>
        <v>25</v>
      </c>
      <c r="N241" s="1" t="s">
        <v>623</v>
      </c>
      <c r="O241" s="1" t="s">
        <v>1582</v>
      </c>
      <c r="Q241" s="1" t="s">
        <v>1345</v>
      </c>
      <c r="R241" s="1" t="s">
        <v>266</v>
      </c>
      <c r="V241" s="1">
        <v>-16.670000000000002</v>
      </c>
      <c r="Y241" s="1" t="s">
        <v>41</v>
      </c>
      <c r="AB241" s="1" t="s">
        <v>2068</v>
      </c>
    </row>
    <row r="242" spans="1:30">
      <c r="A242" s="1" t="s">
        <v>2034</v>
      </c>
      <c r="B242" s="1" t="s">
        <v>1419</v>
      </c>
      <c r="D242" s="1" t="s">
        <v>130</v>
      </c>
      <c r="E242" s="1" t="s">
        <v>74</v>
      </c>
      <c r="F242" s="1">
        <v>2025</v>
      </c>
      <c r="G242" s="1" t="s">
        <v>2046</v>
      </c>
      <c r="H242" s="1" t="s">
        <v>2048</v>
      </c>
      <c r="K242" s="1">
        <v>1998</v>
      </c>
      <c r="L242" s="1">
        <v>2022</v>
      </c>
      <c r="M242" s="1">
        <f t="shared" si="3"/>
        <v>25</v>
      </c>
      <c r="N242" s="1" t="s">
        <v>623</v>
      </c>
      <c r="O242" s="1" t="s">
        <v>1582</v>
      </c>
      <c r="Q242" s="1" t="s">
        <v>1345</v>
      </c>
      <c r="R242" s="1" t="s">
        <v>266</v>
      </c>
      <c r="V242" s="1">
        <v>2.13</v>
      </c>
      <c r="Y242" s="1" t="s">
        <v>694</v>
      </c>
      <c r="AB242" s="1" t="s">
        <v>2068</v>
      </c>
    </row>
    <row r="243" spans="1:30">
      <c r="A243" s="1" t="s">
        <v>750</v>
      </c>
      <c r="B243" s="1" t="s">
        <v>136</v>
      </c>
      <c r="C243" s="54">
        <v>45868</v>
      </c>
      <c r="D243" s="1" t="s">
        <v>130</v>
      </c>
      <c r="E243" s="1" t="s">
        <v>137</v>
      </c>
      <c r="F243" s="1">
        <v>2025</v>
      </c>
      <c r="G243" s="1" t="s">
        <v>138</v>
      </c>
      <c r="H243" s="1" t="s">
        <v>27</v>
      </c>
      <c r="I243" s="1">
        <v>56.91</v>
      </c>
      <c r="J243" s="1">
        <v>-178.14</v>
      </c>
      <c r="K243" s="1">
        <v>2000</v>
      </c>
      <c r="L243" s="1">
        <v>2018</v>
      </c>
      <c r="M243" s="1">
        <f t="shared" si="3"/>
        <v>19</v>
      </c>
      <c r="N243" s="1" t="s">
        <v>30</v>
      </c>
      <c r="O243" s="1" t="s">
        <v>199</v>
      </c>
      <c r="P243" s="1" t="s">
        <v>1014</v>
      </c>
      <c r="Q243" s="1" t="s">
        <v>134</v>
      </c>
      <c r="R243" s="1" t="s">
        <v>29</v>
      </c>
      <c r="S243" s="1" t="s">
        <v>38</v>
      </c>
      <c r="T243" s="1" t="s">
        <v>40</v>
      </c>
      <c r="U243" s="1" t="s">
        <v>40</v>
      </c>
      <c r="V243" s="1" t="s">
        <v>40</v>
      </c>
      <c r="X243" s="1" t="s">
        <v>40</v>
      </c>
      <c r="Y243" s="1" t="s">
        <v>694</v>
      </c>
      <c r="Z243" s="1" t="s">
        <v>140</v>
      </c>
      <c r="AA243" s="1" t="s">
        <v>141</v>
      </c>
      <c r="AB243" s="1" t="s">
        <v>142</v>
      </c>
      <c r="AC243" s="1" t="s">
        <v>130</v>
      </c>
      <c r="AD243" s="1" t="s">
        <v>129</v>
      </c>
    </row>
    <row r="244" spans="1:30">
      <c r="A244" s="1" t="s">
        <v>750</v>
      </c>
      <c r="B244" s="1" t="s">
        <v>136</v>
      </c>
      <c r="C244" s="54">
        <v>45868</v>
      </c>
      <c r="D244" s="1" t="s">
        <v>130</v>
      </c>
      <c r="E244" s="1" t="s">
        <v>137</v>
      </c>
      <c r="F244" s="1">
        <v>2025</v>
      </c>
      <c r="G244" s="1" t="s">
        <v>138</v>
      </c>
      <c r="H244" s="1" t="s">
        <v>27</v>
      </c>
      <c r="I244" s="1">
        <v>56.91</v>
      </c>
      <c r="J244" s="1">
        <v>-178.14</v>
      </c>
      <c r="K244" s="1">
        <v>2000</v>
      </c>
      <c r="L244" s="1">
        <v>2018</v>
      </c>
      <c r="M244" s="1">
        <f t="shared" si="3"/>
        <v>19</v>
      </c>
      <c r="N244" s="1" t="s">
        <v>30</v>
      </c>
      <c r="O244" s="1" t="s">
        <v>199</v>
      </c>
      <c r="P244" s="1" t="s">
        <v>1014</v>
      </c>
      <c r="Q244" s="1" t="s">
        <v>139</v>
      </c>
      <c r="R244" s="1" t="s">
        <v>29</v>
      </c>
      <c r="S244" s="1" t="s">
        <v>38</v>
      </c>
      <c r="T244" s="1" t="s">
        <v>40</v>
      </c>
      <c r="U244" s="1" t="s">
        <v>40</v>
      </c>
      <c r="V244" s="1" t="s">
        <v>40</v>
      </c>
      <c r="X244" s="1" t="s">
        <v>40</v>
      </c>
      <c r="Y244" s="1" t="s">
        <v>694</v>
      </c>
      <c r="Z244" s="1" t="s">
        <v>140</v>
      </c>
      <c r="AA244" s="1" t="s">
        <v>141</v>
      </c>
      <c r="AB244" s="1" t="s">
        <v>142</v>
      </c>
      <c r="AC244" s="1" t="s">
        <v>130</v>
      </c>
      <c r="AD244" s="1" t="s">
        <v>129</v>
      </c>
    </row>
    <row r="245" spans="1:30">
      <c r="A245" s="1" t="s">
        <v>1326</v>
      </c>
      <c r="B245" s="26" t="s">
        <v>146</v>
      </c>
      <c r="C245" s="54">
        <v>45868</v>
      </c>
      <c r="D245" s="1" t="s">
        <v>130</v>
      </c>
      <c r="E245" s="1" t="s">
        <v>74</v>
      </c>
      <c r="F245" s="1">
        <v>2024</v>
      </c>
      <c r="G245" s="1" t="s">
        <v>148</v>
      </c>
      <c r="H245" s="1" t="s">
        <v>147</v>
      </c>
      <c r="I245" s="1">
        <v>59.86</v>
      </c>
      <c r="J245" s="1">
        <v>23.27</v>
      </c>
      <c r="K245" s="1">
        <v>1967</v>
      </c>
      <c r="L245" s="1">
        <v>2020</v>
      </c>
      <c r="M245" s="1">
        <f t="shared" si="3"/>
        <v>54</v>
      </c>
      <c r="N245" s="1" t="s">
        <v>30</v>
      </c>
      <c r="O245" s="1" t="s">
        <v>199</v>
      </c>
      <c r="P245" s="1" t="s">
        <v>1014</v>
      </c>
      <c r="Q245" s="1" t="s">
        <v>170</v>
      </c>
      <c r="R245" s="1" t="s">
        <v>29</v>
      </c>
      <c r="S245" s="1" t="s">
        <v>173</v>
      </c>
      <c r="T245" s="1">
        <v>187</v>
      </c>
      <c r="U245" s="1" t="s">
        <v>53</v>
      </c>
      <c r="V245" s="1">
        <f>(173-187)/(M245)*10</f>
        <v>-2.5925925925925926</v>
      </c>
      <c r="X245" s="1" t="s">
        <v>40</v>
      </c>
      <c r="Y245" s="1" t="s">
        <v>694</v>
      </c>
      <c r="Z245" s="1" t="s">
        <v>174</v>
      </c>
      <c r="AA245" s="1" t="s">
        <v>172</v>
      </c>
      <c r="AB245" s="1" t="s">
        <v>171</v>
      </c>
      <c r="AC245" s="1" t="s">
        <v>130</v>
      </c>
      <c r="AD245" s="1" t="s">
        <v>129</v>
      </c>
    </row>
    <row r="246" spans="1:30">
      <c r="A246" s="1" t="s">
        <v>1326</v>
      </c>
      <c r="B246" s="1" t="s">
        <v>146</v>
      </c>
      <c r="C246" s="54">
        <v>45868</v>
      </c>
      <c r="D246" s="1" t="s">
        <v>130</v>
      </c>
      <c r="E246" s="1" t="s">
        <v>74</v>
      </c>
      <c r="F246" s="1">
        <v>2024</v>
      </c>
      <c r="G246" s="1" t="s">
        <v>148</v>
      </c>
      <c r="H246" s="1" t="s">
        <v>147</v>
      </c>
      <c r="I246" s="1">
        <v>59.86</v>
      </c>
      <c r="J246" s="1">
        <v>23.27</v>
      </c>
      <c r="K246" s="1">
        <v>1967</v>
      </c>
      <c r="L246" s="1">
        <v>2020</v>
      </c>
      <c r="M246" s="1">
        <f t="shared" si="3"/>
        <v>54</v>
      </c>
      <c r="N246" s="1" t="s">
        <v>30</v>
      </c>
      <c r="O246" s="1" t="s">
        <v>199</v>
      </c>
      <c r="P246" s="1" t="s">
        <v>1014</v>
      </c>
      <c r="Q246" s="1" t="s">
        <v>169</v>
      </c>
      <c r="R246" s="1" t="s">
        <v>29</v>
      </c>
      <c r="S246" s="1" t="s">
        <v>173</v>
      </c>
      <c r="T246" s="1">
        <v>187</v>
      </c>
      <c r="U246" s="1" t="s">
        <v>53</v>
      </c>
      <c r="V246" s="1">
        <f>(132-187)/(M246)*10</f>
        <v>-10.185185185185187</v>
      </c>
      <c r="X246" s="1" t="s">
        <v>40</v>
      </c>
      <c r="Y246" s="1" t="s">
        <v>694</v>
      </c>
      <c r="Z246" s="1" t="s">
        <v>174</v>
      </c>
      <c r="AA246" s="1" t="s">
        <v>172</v>
      </c>
      <c r="AB246" s="1" t="s">
        <v>171</v>
      </c>
      <c r="AC246" s="1" t="s">
        <v>130</v>
      </c>
      <c r="AD246" s="1" t="s">
        <v>129</v>
      </c>
    </row>
    <row r="247" spans="1:30">
      <c r="A247" s="1" t="s">
        <v>1326</v>
      </c>
      <c r="B247" s="1" t="s">
        <v>146</v>
      </c>
      <c r="C247" s="54">
        <v>45868</v>
      </c>
      <c r="D247" s="1" t="s">
        <v>130</v>
      </c>
      <c r="E247" s="1" t="s">
        <v>74</v>
      </c>
      <c r="F247" s="1">
        <v>2024</v>
      </c>
      <c r="G247" s="1" t="s">
        <v>148</v>
      </c>
      <c r="H247" s="1" t="s">
        <v>147</v>
      </c>
      <c r="I247" s="1">
        <v>59.86</v>
      </c>
      <c r="J247" s="1">
        <v>23.27</v>
      </c>
      <c r="K247" s="1">
        <v>1967</v>
      </c>
      <c r="L247" s="1">
        <v>2020</v>
      </c>
      <c r="M247" s="1">
        <f t="shared" si="3"/>
        <v>54</v>
      </c>
      <c r="N247" s="1" t="s">
        <v>30</v>
      </c>
      <c r="O247" s="1" t="s">
        <v>199</v>
      </c>
      <c r="P247" s="1" t="s">
        <v>1014</v>
      </c>
      <c r="Q247" s="1" t="s">
        <v>165</v>
      </c>
      <c r="R247" s="1" t="s">
        <v>29</v>
      </c>
      <c r="S247" s="1" t="s">
        <v>173</v>
      </c>
      <c r="T247" s="1">
        <v>206</v>
      </c>
      <c r="U247" s="1" t="s">
        <v>53</v>
      </c>
      <c r="V247" s="1">
        <f>(173-206)/(M247)*10</f>
        <v>-6.1111111111111116</v>
      </c>
      <c r="X247" s="1" t="s">
        <v>40</v>
      </c>
      <c r="Y247" s="1" t="s">
        <v>694</v>
      </c>
      <c r="Z247" s="1" t="s">
        <v>174</v>
      </c>
      <c r="AA247" s="1" t="s">
        <v>172</v>
      </c>
      <c r="AB247" s="1" t="s">
        <v>171</v>
      </c>
      <c r="AC247" s="1" t="s">
        <v>130</v>
      </c>
      <c r="AD247" s="1" t="s">
        <v>129</v>
      </c>
    </row>
    <row r="248" spans="1:30">
      <c r="A248" s="1" t="s">
        <v>1326</v>
      </c>
      <c r="B248" s="1" t="s">
        <v>146</v>
      </c>
      <c r="C248" s="54">
        <v>45868</v>
      </c>
      <c r="D248" s="1" t="s">
        <v>130</v>
      </c>
      <c r="E248" s="1" t="s">
        <v>74</v>
      </c>
      <c r="F248" s="1">
        <v>2024</v>
      </c>
      <c r="G248" s="1" t="s">
        <v>148</v>
      </c>
      <c r="H248" s="1" t="s">
        <v>147</v>
      </c>
      <c r="I248" s="1">
        <v>59.86</v>
      </c>
      <c r="J248" s="1">
        <v>23.27</v>
      </c>
      <c r="K248" s="1">
        <v>1967</v>
      </c>
      <c r="L248" s="1">
        <v>2020</v>
      </c>
      <c r="M248" s="1">
        <f t="shared" si="3"/>
        <v>54</v>
      </c>
      <c r="N248" s="1" t="s">
        <v>30</v>
      </c>
      <c r="O248" s="1" t="s">
        <v>199</v>
      </c>
      <c r="P248" s="1" t="s">
        <v>1014</v>
      </c>
      <c r="Q248" s="1" t="s">
        <v>166</v>
      </c>
      <c r="R248" s="1" t="s">
        <v>29</v>
      </c>
      <c r="S248" s="1" t="s">
        <v>173</v>
      </c>
      <c r="T248" s="1">
        <v>214</v>
      </c>
      <c r="U248" s="1" t="s">
        <v>53</v>
      </c>
      <c r="V248" s="1">
        <f>(161-214)/(M248)*10</f>
        <v>-9.8148148148148149</v>
      </c>
      <c r="X248" s="1" t="s">
        <v>40</v>
      </c>
      <c r="Y248" s="1" t="s">
        <v>694</v>
      </c>
      <c r="Z248" s="1" t="s">
        <v>174</v>
      </c>
      <c r="AA248" s="1" t="s">
        <v>172</v>
      </c>
      <c r="AB248" s="1" t="s">
        <v>171</v>
      </c>
      <c r="AC248" s="1" t="s">
        <v>130</v>
      </c>
      <c r="AD248" s="1" t="s">
        <v>129</v>
      </c>
    </row>
    <row r="249" spans="1:30">
      <c r="A249" s="1" t="s">
        <v>1326</v>
      </c>
      <c r="B249" s="1" t="s">
        <v>146</v>
      </c>
      <c r="C249" s="54">
        <v>45868</v>
      </c>
      <c r="D249" s="1" t="s">
        <v>130</v>
      </c>
      <c r="E249" s="1" t="s">
        <v>74</v>
      </c>
      <c r="F249" s="1">
        <v>2024</v>
      </c>
      <c r="G249" s="1" t="s">
        <v>148</v>
      </c>
      <c r="H249" s="1" t="s">
        <v>147</v>
      </c>
      <c r="I249" s="1">
        <v>59.86</v>
      </c>
      <c r="J249" s="1">
        <v>23.27</v>
      </c>
      <c r="K249" s="1">
        <v>1967</v>
      </c>
      <c r="L249" s="1">
        <v>2020</v>
      </c>
      <c r="M249" s="1">
        <f t="shared" si="3"/>
        <v>54</v>
      </c>
      <c r="N249" s="1" t="s">
        <v>30</v>
      </c>
      <c r="O249" s="1" t="s">
        <v>199</v>
      </c>
      <c r="P249" s="1" t="s">
        <v>1014</v>
      </c>
      <c r="Q249" s="1" t="s">
        <v>167</v>
      </c>
      <c r="R249" s="1" t="s">
        <v>29</v>
      </c>
      <c r="S249" s="1" t="s">
        <v>173</v>
      </c>
      <c r="T249" s="1">
        <v>196</v>
      </c>
      <c r="U249" s="1" t="s">
        <v>53</v>
      </c>
      <c r="V249" s="1">
        <f>(189-196)/(M249)*10</f>
        <v>-1.2962962962962963</v>
      </c>
      <c r="X249" s="1" t="s">
        <v>40</v>
      </c>
      <c r="Y249" s="1" t="s">
        <v>694</v>
      </c>
      <c r="Z249" s="1" t="s">
        <v>174</v>
      </c>
      <c r="AA249" s="1" t="s">
        <v>172</v>
      </c>
      <c r="AB249" s="1" t="s">
        <v>171</v>
      </c>
      <c r="AC249" s="1" t="s">
        <v>130</v>
      </c>
      <c r="AD249" s="1" t="s">
        <v>129</v>
      </c>
    </row>
    <row r="250" spans="1:30">
      <c r="A250" s="1" t="s">
        <v>1326</v>
      </c>
      <c r="B250" s="1" t="s">
        <v>146</v>
      </c>
      <c r="C250" s="54">
        <v>45868</v>
      </c>
      <c r="D250" s="1" t="s">
        <v>130</v>
      </c>
      <c r="E250" s="1" t="s">
        <v>74</v>
      </c>
      <c r="F250" s="1">
        <v>2024</v>
      </c>
      <c r="G250" s="1" t="s">
        <v>148</v>
      </c>
      <c r="H250" s="1" t="s">
        <v>147</v>
      </c>
      <c r="I250" s="1">
        <v>59.86</v>
      </c>
      <c r="J250" s="1">
        <v>23.27</v>
      </c>
      <c r="K250" s="1">
        <v>1967</v>
      </c>
      <c r="L250" s="1">
        <v>2020</v>
      </c>
      <c r="M250" s="1">
        <f t="shared" si="3"/>
        <v>54</v>
      </c>
      <c r="N250" s="1" t="s">
        <v>30</v>
      </c>
      <c r="O250" s="1" t="s">
        <v>1342</v>
      </c>
      <c r="P250" s="1" t="s">
        <v>1014</v>
      </c>
      <c r="Q250" s="1" t="s">
        <v>168</v>
      </c>
      <c r="R250" s="1" t="s">
        <v>29</v>
      </c>
      <c r="S250" s="1" t="s">
        <v>173</v>
      </c>
      <c r="T250" s="1">
        <v>233</v>
      </c>
      <c r="U250" s="1" t="s">
        <v>54</v>
      </c>
      <c r="V250" s="1">
        <f>(168-233)/(M250)*10</f>
        <v>-12.037037037037038</v>
      </c>
      <c r="X250" s="1" t="s">
        <v>40</v>
      </c>
      <c r="Y250" s="1" t="s">
        <v>694</v>
      </c>
      <c r="Z250" s="1" t="s">
        <v>174</v>
      </c>
      <c r="AA250" s="1" t="s">
        <v>172</v>
      </c>
      <c r="AB250" s="1" t="s">
        <v>171</v>
      </c>
      <c r="AC250" s="1" t="s">
        <v>130</v>
      </c>
      <c r="AD250" s="1" t="s">
        <v>129</v>
      </c>
    </row>
    <row r="251" spans="1:30">
      <c r="A251" s="1" t="s">
        <v>1326</v>
      </c>
      <c r="B251" s="1" t="s">
        <v>146</v>
      </c>
      <c r="C251" s="54">
        <v>45868</v>
      </c>
      <c r="D251" s="1" t="s">
        <v>130</v>
      </c>
      <c r="E251" s="1" t="s">
        <v>74</v>
      </c>
      <c r="F251" s="1">
        <v>2024</v>
      </c>
      <c r="G251" s="1" t="s">
        <v>148</v>
      </c>
      <c r="H251" s="1" t="s">
        <v>147</v>
      </c>
      <c r="I251" s="1">
        <v>59.86</v>
      </c>
      <c r="J251" s="1">
        <v>23.27</v>
      </c>
      <c r="K251" s="1">
        <v>1967</v>
      </c>
      <c r="L251" s="1">
        <v>2020</v>
      </c>
      <c r="M251" s="1">
        <f t="shared" si="3"/>
        <v>54</v>
      </c>
      <c r="N251" s="1" t="s">
        <v>30</v>
      </c>
      <c r="O251" s="1" t="s">
        <v>199</v>
      </c>
      <c r="P251" s="1" t="s">
        <v>97</v>
      </c>
      <c r="Q251" s="1" t="s">
        <v>95</v>
      </c>
      <c r="R251" s="1" t="s">
        <v>29</v>
      </c>
      <c r="S251" s="1" t="s">
        <v>173</v>
      </c>
      <c r="T251" s="1">
        <v>208</v>
      </c>
      <c r="U251" s="1" t="s">
        <v>53</v>
      </c>
      <c r="V251" s="1">
        <f>(188-208)/(M248)*10</f>
        <v>-3.7037037037037033</v>
      </c>
      <c r="X251" s="1" t="s">
        <v>40</v>
      </c>
      <c r="Y251" s="1" t="s">
        <v>694</v>
      </c>
      <c r="Z251" s="1" t="s">
        <v>174</v>
      </c>
      <c r="AA251" s="1" t="s">
        <v>172</v>
      </c>
      <c r="AB251" s="1" t="s">
        <v>171</v>
      </c>
      <c r="AC251" s="1" t="s">
        <v>130</v>
      </c>
      <c r="AD251" s="1" t="s">
        <v>129</v>
      </c>
    </row>
    <row r="252" spans="1:30">
      <c r="A252" s="1" t="s">
        <v>1326</v>
      </c>
      <c r="B252" s="1" t="s">
        <v>146</v>
      </c>
      <c r="C252" s="54">
        <v>45868</v>
      </c>
      <c r="D252" s="1" t="s">
        <v>130</v>
      </c>
      <c r="E252" s="1" t="s">
        <v>74</v>
      </c>
      <c r="F252" s="1">
        <v>2024</v>
      </c>
      <c r="G252" s="1" t="s">
        <v>148</v>
      </c>
      <c r="H252" s="1" t="s">
        <v>147</v>
      </c>
      <c r="I252" s="1">
        <v>59.86</v>
      </c>
      <c r="J252" s="1">
        <v>23.27</v>
      </c>
      <c r="K252" s="1">
        <v>1967</v>
      </c>
      <c r="L252" s="1">
        <v>2020</v>
      </c>
      <c r="M252" s="1">
        <f t="shared" si="3"/>
        <v>54</v>
      </c>
      <c r="N252" s="1" t="s">
        <v>30</v>
      </c>
      <c r="O252" s="1" t="s">
        <v>199</v>
      </c>
      <c r="P252" s="1" t="s">
        <v>97</v>
      </c>
      <c r="Q252" s="1" t="s">
        <v>93</v>
      </c>
      <c r="R252" s="1" t="s">
        <v>29</v>
      </c>
      <c r="S252" s="1" t="s">
        <v>173</v>
      </c>
      <c r="T252" s="1">
        <v>175</v>
      </c>
      <c r="U252" s="1" t="s">
        <v>53</v>
      </c>
      <c r="V252" s="1">
        <f>(139-175)/(M249)*10</f>
        <v>-6.6666666666666661</v>
      </c>
      <c r="X252" s="1" t="s">
        <v>40</v>
      </c>
      <c r="Y252" s="1" t="s">
        <v>694</v>
      </c>
      <c r="Z252" s="1" t="s">
        <v>174</v>
      </c>
      <c r="AA252" s="1" t="s">
        <v>172</v>
      </c>
      <c r="AB252" s="1" t="s">
        <v>171</v>
      </c>
      <c r="AC252" s="1" t="s">
        <v>130</v>
      </c>
      <c r="AD252" s="1" t="s">
        <v>129</v>
      </c>
    </row>
    <row r="253" spans="1:30">
      <c r="A253" s="1" t="s">
        <v>1332</v>
      </c>
      <c r="B253" s="26" t="s">
        <v>733</v>
      </c>
      <c r="C253" s="60">
        <v>45873</v>
      </c>
      <c r="D253" s="1" t="s">
        <v>130</v>
      </c>
      <c r="E253" s="1" t="s">
        <v>137</v>
      </c>
      <c r="F253" s="1">
        <v>2024</v>
      </c>
      <c r="G253" s="1" t="s">
        <v>735</v>
      </c>
      <c r="H253" s="1" t="s">
        <v>27</v>
      </c>
      <c r="I253" s="1">
        <v>54.1</v>
      </c>
      <c r="J253" s="1">
        <v>7.5</v>
      </c>
      <c r="K253" s="1">
        <v>1975</v>
      </c>
      <c r="L253" s="1">
        <v>2017</v>
      </c>
      <c r="M253" s="1">
        <f t="shared" si="3"/>
        <v>43</v>
      </c>
      <c r="N253" s="1" t="s">
        <v>30</v>
      </c>
      <c r="O253" s="1" t="s">
        <v>199</v>
      </c>
      <c r="P253" s="1" t="s">
        <v>1014</v>
      </c>
      <c r="Q253" s="1" t="s">
        <v>736</v>
      </c>
      <c r="R253" s="1" t="s">
        <v>29</v>
      </c>
      <c r="S253" s="1" t="s">
        <v>743</v>
      </c>
      <c r="T253" s="1">
        <v>221.5</v>
      </c>
      <c r="U253" s="1" t="s">
        <v>53</v>
      </c>
      <c r="V253" s="1">
        <f xml:space="preserve"> (180 - 221.5)/(((L253+L253-9)/2) -  ((K253+K253+9)/2))*10</f>
        <v>-12.575757575757576</v>
      </c>
      <c r="X253" s="1" t="s">
        <v>714</v>
      </c>
      <c r="Y253" s="1" t="s">
        <v>694</v>
      </c>
      <c r="Z253" s="1" t="s">
        <v>40</v>
      </c>
      <c r="AA253" s="1" t="s">
        <v>744</v>
      </c>
      <c r="AB253" s="1" t="s">
        <v>745</v>
      </c>
      <c r="AC253" s="1" t="s">
        <v>44</v>
      </c>
      <c r="AD253" s="1" t="s">
        <v>40</v>
      </c>
    </row>
    <row r="254" spans="1:30">
      <c r="A254" s="1" t="s">
        <v>1332</v>
      </c>
      <c r="B254" s="1" t="s">
        <v>733</v>
      </c>
      <c r="C254" s="60">
        <v>45873</v>
      </c>
      <c r="D254" s="1" t="s">
        <v>130</v>
      </c>
      <c r="E254" s="1" t="s">
        <v>137</v>
      </c>
      <c r="F254" s="1">
        <v>2024</v>
      </c>
      <c r="G254" s="1" t="s">
        <v>735</v>
      </c>
      <c r="H254" s="1" t="s">
        <v>27</v>
      </c>
      <c r="I254" s="1">
        <v>54.1</v>
      </c>
      <c r="J254" s="1">
        <v>7.5</v>
      </c>
      <c r="K254" s="1">
        <v>1975</v>
      </c>
      <c r="L254" s="1">
        <v>2017</v>
      </c>
      <c r="M254" s="1">
        <f t="shared" si="3"/>
        <v>43</v>
      </c>
      <c r="N254" s="1" t="s">
        <v>30</v>
      </c>
      <c r="O254" s="1" t="s">
        <v>199</v>
      </c>
      <c r="P254" s="1" t="s">
        <v>1014</v>
      </c>
      <c r="Q254" s="1" t="s">
        <v>737</v>
      </c>
      <c r="R254" s="1" t="s">
        <v>29</v>
      </c>
      <c r="S254" s="1" t="s">
        <v>743</v>
      </c>
      <c r="T254" s="1">
        <v>222.5</v>
      </c>
      <c r="U254" s="1" t="s">
        <v>53</v>
      </c>
      <c r="V254" s="1">
        <f xml:space="preserve"> (175.8 - 222.5)/(((L254+L254-9)/2) -  ((K254+K254+9)/2))*10</f>
        <v>-14.151515151515149</v>
      </c>
      <c r="X254" s="1" t="s">
        <v>714</v>
      </c>
      <c r="Y254" s="1" t="s">
        <v>694</v>
      </c>
      <c r="Z254" s="1" t="s">
        <v>40</v>
      </c>
      <c r="AA254" s="1" t="s">
        <v>744</v>
      </c>
      <c r="AB254" s="1" t="s">
        <v>745</v>
      </c>
      <c r="AC254" s="1" t="s">
        <v>44</v>
      </c>
      <c r="AD254" s="1" t="s">
        <v>40</v>
      </c>
    </row>
    <row r="255" spans="1:30">
      <c r="A255" s="1" t="s">
        <v>1332</v>
      </c>
      <c r="B255" s="1" t="s">
        <v>733</v>
      </c>
      <c r="C255" s="60">
        <v>45873</v>
      </c>
      <c r="D255" s="1" t="s">
        <v>130</v>
      </c>
      <c r="E255" s="1" t="s">
        <v>137</v>
      </c>
      <c r="F255" s="1">
        <v>2024</v>
      </c>
      <c r="G255" s="1" t="s">
        <v>735</v>
      </c>
      <c r="H255" s="1" t="s">
        <v>27</v>
      </c>
      <c r="I255" s="1">
        <v>54.1</v>
      </c>
      <c r="J255" s="1">
        <v>7.5</v>
      </c>
      <c r="K255" s="1">
        <v>1975</v>
      </c>
      <c r="L255" s="1">
        <v>2017</v>
      </c>
      <c r="M255" s="1">
        <f t="shared" si="3"/>
        <v>43</v>
      </c>
      <c r="N255" s="1" t="s">
        <v>30</v>
      </c>
      <c r="O255" s="1" t="s">
        <v>199</v>
      </c>
      <c r="P255" s="1" t="s">
        <v>1014</v>
      </c>
      <c r="Q255" s="1" t="s">
        <v>738</v>
      </c>
      <c r="R255" s="1" t="s">
        <v>29</v>
      </c>
      <c r="S255" s="1" t="s">
        <v>743</v>
      </c>
      <c r="T255" s="1">
        <v>189.5</v>
      </c>
      <c r="U255" s="1" t="s">
        <v>53</v>
      </c>
      <c r="V255" s="1">
        <f xml:space="preserve"> (173.5 - 189.5)/(((L255+L255-9)/2) -  ((K255+K255+9)/2))*10</f>
        <v>-4.8484848484848486</v>
      </c>
      <c r="X255" s="1" t="s">
        <v>714</v>
      </c>
      <c r="Y255" s="1" t="s">
        <v>694</v>
      </c>
      <c r="Z255" s="1" t="s">
        <v>40</v>
      </c>
      <c r="AA255" s="1" t="s">
        <v>744</v>
      </c>
      <c r="AB255" s="1" t="s">
        <v>745</v>
      </c>
      <c r="AC255" s="1" t="s">
        <v>44</v>
      </c>
      <c r="AD255" s="1" t="s">
        <v>40</v>
      </c>
    </row>
    <row r="256" spans="1:30">
      <c r="A256" s="1" t="s">
        <v>1332</v>
      </c>
      <c r="B256" s="1" t="s">
        <v>733</v>
      </c>
      <c r="C256" s="60">
        <v>45873</v>
      </c>
      <c r="D256" s="1" t="s">
        <v>130</v>
      </c>
      <c r="E256" s="1" t="s">
        <v>137</v>
      </c>
      <c r="F256" s="1">
        <v>2024</v>
      </c>
      <c r="G256" s="1" t="s">
        <v>735</v>
      </c>
      <c r="H256" s="1" t="s">
        <v>27</v>
      </c>
      <c r="I256" s="1">
        <v>54.1</v>
      </c>
      <c r="J256" s="1">
        <v>7.5</v>
      </c>
      <c r="K256" s="1">
        <v>1975</v>
      </c>
      <c r="L256" s="1">
        <v>2017</v>
      </c>
      <c r="M256" s="1">
        <f t="shared" si="3"/>
        <v>43</v>
      </c>
      <c r="N256" s="1" t="s">
        <v>30</v>
      </c>
      <c r="O256" s="1" t="s">
        <v>199</v>
      </c>
      <c r="P256" s="1" t="s">
        <v>1014</v>
      </c>
      <c r="Q256" s="1" t="s">
        <v>741</v>
      </c>
      <c r="R256" s="1" t="s">
        <v>29</v>
      </c>
      <c r="S256" s="1" t="s">
        <v>743</v>
      </c>
      <c r="T256" s="1">
        <v>166.1</v>
      </c>
      <c r="U256" s="1" t="s">
        <v>53</v>
      </c>
      <c r="V256" s="1">
        <f xml:space="preserve"> (156.5 - 166.1)/(((L256+L256-9)/2) -  ((K256+K256+9)/2))*10</f>
        <v>-2.9090909090909074</v>
      </c>
      <c r="X256" s="1" t="s">
        <v>714</v>
      </c>
      <c r="Y256" s="1" t="s">
        <v>694</v>
      </c>
      <c r="Z256" s="1" t="s">
        <v>40</v>
      </c>
      <c r="AA256" s="1" t="s">
        <v>744</v>
      </c>
      <c r="AB256" s="1" t="s">
        <v>745</v>
      </c>
      <c r="AC256" s="1" t="s">
        <v>44</v>
      </c>
      <c r="AD256" s="1" t="s">
        <v>40</v>
      </c>
    </row>
    <row r="257" spans="1:30">
      <c r="A257" s="1" t="s">
        <v>1332</v>
      </c>
      <c r="B257" s="1" t="s">
        <v>733</v>
      </c>
      <c r="C257" s="60">
        <v>45873</v>
      </c>
      <c r="D257" s="1" t="s">
        <v>130</v>
      </c>
      <c r="E257" s="1" t="s">
        <v>137</v>
      </c>
      <c r="F257" s="1">
        <v>2024</v>
      </c>
      <c r="G257" s="1" t="s">
        <v>742</v>
      </c>
      <c r="H257" s="1" t="s">
        <v>147</v>
      </c>
      <c r="I257" s="1">
        <v>50.1</v>
      </c>
      <c r="J257" s="1">
        <v>-4.0999999999999996</v>
      </c>
      <c r="K257" s="1">
        <v>1988</v>
      </c>
      <c r="L257" s="1">
        <v>2020</v>
      </c>
      <c r="M257" s="1">
        <f t="shared" si="3"/>
        <v>33</v>
      </c>
      <c r="N257" s="1" t="s">
        <v>30</v>
      </c>
      <c r="O257" s="1" t="s">
        <v>199</v>
      </c>
      <c r="P257" s="1" t="s">
        <v>1014</v>
      </c>
      <c r="Q257" s="1" t="s">
        <v>736</v>
      </c>
      <c r="R257" s="1" t="s">
        <v>29</v>
      </c>
      <c r="S257" s="1" t="s">
        <v>743</v>
      </c>
      <c r="T257" s="1" t="s">
        <v>40</v>
      </c>
      <c r="U257" s="1" t="s">
        <v>40</v>
      </c>
      <c r="V257" s="1">
        <f xml:space="preserve"> (0 - 0)/(((L257+L257-9)/2) -  ((K257+K257+9)/2))*10</f>
        <v>0</v>
      </c>
      <c r="X257" s="1" t="s">
        <v>714</v>
      </c>
      <c r="Y257" s="1" t="s">
        <v>223</v>
      </c>
      <c r="Z257" s="1" t="s">
        <v>40</v>
      </c>
      <c r="AA257" s="1" t="s">
        <v>744</v>
      </c>
      <c r="AB257" s="1" t="s">
        <v>745</v>
      </c>
      <c r="AC257" s="1" t="s">
        <v>44</v>
      </c>
      <c r="AD257" s="1" t="s">
        <v>40</v>
      </c>
    </row>
    <row r="258" spans="1:30">
      <c r="A258" s="1" t="s">
        <v>1332</v>
      </c>
      <c r="B258" s="1" t="s">
        <v>733</v>
      </c>
      <c r="C258" s="60">
        <v>45873</v>
      </c>
      <c r="D258" s="1" t="s">
        <v>130</v>
      </c>
      <c r="E258" s="1" t="s">
        <v>137</v>
      </c>
      <c r="F258" s="1">
        <v>2024</v>
      </c>
      <c r="G258" s="1" t="s">
        <v>742</v>
      </c>
      <c r="H258" s="1" t="s">
        <v>147</v>
      </c>
      <c r="I258" s="1">
        <v>50.1</v>
      </c>
      <c r="J258" s="1">
        <v>-4.0999999999999996</v>
      </c>
      <c r="K258" s="1">
        <v>1988</v>
      </c>
      <c r="L258" s="1">
        <v>2020</v>
      </c>
      <c r="M258" s="1">
        <f t="shared" ref="M258:M304" si="4">L258-K258+1</f>
        <v>33</v>
      </c>
      <c r="N258" s="1" t="s">
        <v>30</v>
      </c>
      <c r="O258" s="1" t="s">
        <v>199</v>
      </c>
      <c r="P258" s="1" t="s">
        <v>1014</v>
      </c>
      <c r="Q258" s="1" t="s">
        <v>737</v>
      </c>
      <c r="R258" s="1" t="s">
        <v>29</v>
      </c>
      <c r="S258" s="1" t="s">
        <v>743</v>
      </c>
      <c r="T258" s="1" t="s">
        <v>40</v>
      </c>
      <c r="U258" s="1" t="s">
        <v>40</v>
      </c>
      <c r="V258" s="1">
        <f xml:space="preserve"> (0 - 0)/(((L258+L258-9)/2) -  ((K258+K258+9)/2))*10</f>
        <v>0</v>
      </c>
      <c r="X258" s="1" t="s">
        <v>714</v>
      </c>
      <c r="Y258" s="1" t="s">
        <v>223</v>
      </c>
      <c r="Z258" s="1" t="s">
        <v>40</v>
      </c>
      <c r="AA258" s="1" t="s">
        <v>744</v>
      </c>
      <c r="AB258" s="1" t="s">
        <v>745</v>
      </c>
      <c r="AC258" s="1" t="s">
        <v>44</v>
      </c>
      <c r="AD258" s="1" t="s">
        <v>40</v>
      </c>
    </row>
    <row r="259" spans="1:30">
      <c r="A259" s="1" t="s">
        <v>1332</v>
      </c>
      <c r="B259" s="1" t="s">
        <v>733</v>
      </c>
      <c r="C259" s="60">
        <v>45873</v>
      </c>
      <c r="D259" s="1" t="s">
        <v>130</v>
      </c>
      <c r="E259" s="1" t="s">
        <v>137</v>
      </c>
      <c r="F259" s="1">
        <v>2024</v>
      </c>
      <c r="G259" s="1" t="s">
        <v>742</v>
      </c>
      <c r="H259" s="1" t="s">
        <v>147</v>
      </c>
      <c r="I259" s="1">
        <v>50.1</v>
      </c>
      <c r="J259" s="1">
        <v>-4.0999999999999996</v>
      </c>
      <c r="K259" s="1">
        <v>1988</v>
      </c>
      <c r="L259" s="1">
        <v>2020</v>
      </c>
      <c r="M259" s="1">
        <f t="shared" si="4"/>
        <v>33</v>
      </c>
      <c r="N259" s="1" t="s">
        <v>30</v>
      </c>
      <c r="O259" s="1" t="s">
        <v>199</v>
      </c>
      <c r="P259" s="1" t="s">
        <v>1014</v>
      </c>
      <c r="Q259" s="1" t="s">
        <v>738</v>
      </c>
      <c r="R259" s="1" t="s">
        <v>29</v>
      </c>
      <c r="S259" s="1" t="s">
        <v>743</v>
      </c>
      <c r="T259" s="1">
        <v>221.6</v>
      </c>
      <c r="U259" s="1" t="s">
        <v>53</v>
      </c>
      <c r="V259" s="1">
        <f xml:space="preserve"> (234.4 - 221.6)/(((L259+L259-9)/2) -  ((K259+K259+9)/2))*10</f>
        <v>5.5652173913043521</v>
      </c>
      <c r="X259" s="1" t="s">
        <v>716</v>
      </c>
      <c r="Y259" s="1" t="s">
        <v>41</v>
      </c>
      <c r="Z259" s="1" t="s">
        <v>40</v>
      </c>
      <c r="AA259" s="1" t="s">
        <v>744</v>
      </c>
      <c r="AB259" s="1" t="s">
        <v>745</v>
      </c>
      <c r="AC259" s="1" t="s">
        <v>44</v>
      </c>
      <c r="AD259" s="1" t="s">
        <v>40</v>
      </c>
    </row>
    <row r="260" spans="1:30">
      <c r="A260" s="1" t="s">
        <v>1332</v>
      </c>
      <c r="B260" s="1" t="s">
        <v>733</v>
      </c>
      <c r="C260" s="60">
        <v>45873</v>
      </c>
      <c r="D260" s="1" t="s">
        <v>130</v>
      </c>
      <c r="E260" s="1" t="s">
        <v>137</v>
      </c>
      <c r="F260" s="1">
        <v>2024</v>
      </c>
      <c r="G260" s="1" t="s">
        <v>742</v>
      </c>
      <c r="H260" s="1" t="s">
        <v>147</v>
      </c>
      <c r="I260" s="1">
        <v>50.1</v>
      </c>
      <c r="J260" s="1">
        <v>-4.0999999999999996</v>
      </c>
      <c r="K260" s="1">
        <v>1988</v>
      </c>
      <c r="L260" s="1">
        <v>2020</v>
      </c>
      <c r="M260" s="1">
        <f t="shared" si="4"/>
        <v>33</v>
      </c>
      <c r="N260" s="1" t="s">
        <v>30</v>
      </c>
      <c r="O260" s="1" t="s">
        <v>199</v>
      </c>
      <c r="P260" s="1" t="s">
        <v>1014</v>
      </c>
      <c r="Q260" s="1" t="s">
        <v>739</v>
      </c>
      <c r="R260" s="1" t="s">
        <v>29</v>
      </c>
      <c r="S260" s="1" t="s">
        <v>743</v>
      </c>
      <c r="T260" s="1">
        <v>140.30000000000001</v>
      </c>
      <c r="U260" s="1" t="s">
        <v>52</v>
      </c>
      <c r="V260" s="1">
        <f xml:space="preserve"> (129 - 140.3)/(((L260+L260-9)/2) -  ((K260+K260+9)/2))*10</f>
        <v>-4.9130434782608745</v>
      </c>
      <c r="X260" s="1" t="s">
        <v>714</v>
      </c>
      <c r="Y260" s="1" t="s">
        <v>694</v>
      </c>
      <c r="Z260" s="1" t="s">
        <v>40</v>
      </c>
      <c r="AA260" s="1" t="s">
        <v>744</v>
      </c>
      <c r="AB260" s="1" t="s">
        <v>745</v>
      </c>
      <c r="AC260" s="1" t="s">
        <v>44</v>
      </c>
      <c r="AD260" s="1" t="s">
        <v>40</v>
      </c>
    </row>
    <row r="261" spans="1:30">
      <c r="A261" s="1" t="s">
        <v>1332</v>
      </c>
      <c r="B261" s="1" t="s">
        <v>733</v>
      </c>
      <c r="C261" s="60">
        <v>45873</v>
      </c>
      <c r="D261" s="1" t="s">
        <v>130</v>
      </c>
      <c r="E261" s="1" t="s">
        <v>137</v>
      </c>
      <c r="F261" s="1">
        <v>2024</v>
      </c>
      <c r="G261" s="1" t="s">
        <v>742</v>
      </c>
      <c r="H261" s="1" t="s">
        <v>147</v>
      </c>
      <c r="I261" s="1">
        <v>50.1</v>
      </c>
      <c r="J261" s="1">
        <v>-4.0999999999999996</v>
      </c>
      <c r="K261" s="1">
        <v>1988</v>
      </c>
      <c r="L261" s="1">
        <v>2020</v>
      </c>
      <c r="M261" s="1">
        <f t="shared" si="4"/>
        <v>33</v>
      </c>
      <c r="N261" s="1" t="s">
        <v>30</v>
      </c>
      <c r="O261" s="1" t="s">
        <v>199</v>
      </c>
      <c r="P261" s="1" t="s">
        <v>1014</v>
      </c>
      <c r="Q261" s="1" t="s">
        <v>740</v>
      </c>
      <c r="R261" s="1" t="s">
        <v>29</v>
      </c>
      <c r="S261" s="1" t="s">
        <v>743</v>
      </c>
      <c r="T261" s="1">
        <v>247.2</v>
      </c>
      <c r="U261" s="1" t="s">
        <v>54</v>
      </c>
      <c r="V261" s="1">
        <f xml:space="preserve"> (224.8 - 247.2)/(((L261+L261-9)/2) -  ((K261+K261+9)/2))*10</f>
        <v>-9.7391304347825987</v>
      </c>
      <c r="X261" s="1" t="s">
        <v>714</v>
      </c>
      <c r="Y261" s="1" t="s">
        <v>694</v>
      </c>
      <c r="Z261" s="1" t="s">
        <v>40</v>
      </c>
      <c r="AA261" s="1" t="s">
        <v>744</v>
      </c>
      <c r="AB261" s="1" t="s">
        <v>745</v>
      </c>
      <c r="AC261" s="1" t="s">
        <v>44</v>
      </c>
      <c r="AD261" s="1" t="s">
        <v>40</v>
      </c>
    </row>
    <row r="262" spans="1:30">
      <c r="A262" s="1" t="s">
        <v>1332</v>
      </c>
      <c r="B262" s="1" t="s">
        <v>733</v>
      </c>
      <c r="C262" s="60">
        <v>45873</v>
      </c>
      <c r="D262" s="1" t="s">
        <v>130</v>
      </c>
      <c r="E262" s="1" t="s">
        <v>137</v>
      </c>
      <c r="F262" s="1">
        <v>2024</v>
      </c>
      <c r="G262" s="1" t="s">
        <v>742</v>
      </c>
      <c r="H262" s="1" t="s">
        <v>147</v>
      </c>
      <c r="I262" s="1">
        <v>50.1</v>
      </c>
      <c r="J262" s="1">
        <v>-4.0999999999999996</v>
      </c>
      <c r="K262" s="1">
        <v>1988</v>
      </c>
      <c r="L262" s="1">
        <v>2020</v>
      </c>
      <c r="M262" s="1">
        <f t="shared" si="4"/>
        <v>33</v>
      </c>
      <c r="N262" s="1" t="s">
        <v>30</v>
      </c>
      <c r="O262" s="1" t="s">
        <v>199</v>
      </c>
      <c r="P262" s="1" t="s">
        <v>1014</v>
      </c>
      <c r="Q262" s="1" t="s">
        <v>741</v>
      </c>
      <c r="R262" s="1" t="s">
        <v>29</v>
      </c>
      <c r="S262" s="1" t="s">
        <v>743</v>
      </c>
      <c r="T262" s="1">
        <v>195.1</v>
      </c>
      <c r="U262" s="1" t="s">
        <v>53</v>
      </c>
      <c r="V262" s="1">
        <f xml:space="preserve"> (191.9 - 195.1)/(((L262+L262-9)/2) -  ((K262+K262+9)/2))*10</f>
        <v>-1.391304347826082</v>
      </c>
      <c r="X262" s="1" t="s">
        <v>714</v>
      </c>
      <c r="Y262" s="1" t="s">
        <v>694</v>
      </c>
      <c r="Z262" s="1" t="s">
        <v>40</v>
      </c>
      <c r="AA262" s="1" t="s">
        <v>744</v>
      </c>
      <c r="AB262" s="1" t="s">
        <v>745</v>
      </c>
      <c r="AC262" s="1" t="s">
        <v>44</v>
      </c>
      <c r="AD262" s="1" t="s">
        <v>40</v>
      </c>
    </row>
    <row r="263" spans="1:30">
      <c r="A263" s="1" t="s">
        <v>1332</v>
      </c>
      <c r="B263" s="1" t="s">
        <v>733</v>
      </c>
      <c r="C263" s="60">
        <v>45873</v>
      </c>
      <c r="D263" s="1" t="s">
        <v>130</v>
      </c>
      <c r="E263" s="1" t="s">
        <v>137</v>
      </c>
      <c r="F263" s="1">
        <v>2024</v>
      </c>
      <c r="G263" s="1" t="s">
        <v>734</v>
      </c>
      <c r="H263" s="1" t="s">
        <v>147</v>
      </c>
      <c r="I263" s="1">
        <v>56.6</v>
      </c>
      <c r="J263" s="1">
        <v>-2.1</v>
      </c>
      <c r="K263" s="1">
        <v>1998</v>
      </c>
      <c r="L263" s="1">
        <v>2017</v>
      </c>
      <c r="M263" s="1">
        <f t="shared" si="4"/>
        <v>20</v>
      </c>
      <c r="N263" s="1" t="s">
        <v>30</v>
      </c>
      <c r="O263" s="1" t="s">
        <v>199</v>
      </c>
      <c r="P263" s="1" t="s">
        <v>1014</v>
      </c>
      <c r="Q263" s="1" t="s">
        <v>736</v>
      </c>
      <c r="R263" s="1" t="s">
        <v>29</v>
      </c>
      <c r="S263" s="1" t="s">
        <v>743</v>
      </c>
      <c r="T263" s="1">
        <v>209</v>
      </c>
      <c r="U263" s="1" t="s">
        <v>53</v>
      </c>
      <c r="V263" s="1">
        <f xml:space="preserve"> (193 - 209)/(M263/10)</f>
        <v>-8</v>
      </c>
      <c r="X263" s="1" t="s">
        <v>714</v>
      </c>
      <c r="Y263" s="1" t="s">
        <v>694</v>
      </c>
      <c r="Z263" s="1" t="s">
        <v>40</v>
      </c>
      <c r="AA263" s="1" t="s">
        <v>744</v>
      </c>
      <c r="AB263" s="1" t="s">
        <v>1333</v>
      </c>
      <c r="AC263" s="1" t="s">
        <v>44</v>
      </c>
      <c r="AD263" s="1" t="s">
        <v>40</v>
      </c>
    </row>
    <row r="264" spans="1:30">
      <c r="A264" s="1" t="s">
        <v>1332</v>
      </c>
      <c r="B264" s="1" t="s">
        <v>733</v>
      </c>
      <c r="C264" s="60">
        <v>45873</v>
      </c>
      <c r="D264" s="1" t="s">
        <v>130</v>
      </c>
      <c r="E264" s="1" t="s">
        <v>137</v>
      </c>
      <c r="F264" s="1">
        <v>2024</v>
      </c>
      <c r="G264" s="1" t="s">
        <v>734</v>
      </c>
      <c r="H264" s="1" t="s">
        <v>147</v>
      </c>
      <c r="I264" s="1">
        <v>56.6</v>
      </c>
      <c r="J264" s="1">
        <v>-2.1</v>
      </c>
      <c r="K264" s="1">
        <v>1998</v>
      </c>
      <c r="L264" s="1">
        <v>2017</v>
      </c>
      <c r="M264" s="1">
        <f t="shared" si="4"/>
        <v>20</v>
      </c>
      <c r="N264" s="1" t="s">
        <v>30</v>
      </c>
      <c r="O264" s="1" t="s">
        <v>199</v>
      </c>
      <c r="P264" s="1" t="s">
        <v>1014</v>
      </c>
      <c r="Q264" s="1" t="s">
        <v>737</v>
      </c>
      <c r="R264" s="1" t="s">
        <v>29</v>
      </c>
      <c r="S264" s="1" t="s">
        <v>743</v>
      </c>
      <c r="T264" s="1">
        <v>250</v>
      </c>
      <c r="U264" s="1" t="s">
        <v>54</v>
      </c>
      <c r="V264" s="1">
        <f xml:space="preserve"> (216.1 - 250)/(M264/10)</f>
        <v>-16.950000000000003</v>
      </c>
      <c r="X264" s="1" t="s">
        <v>713</v>
      </c>
      <c r="Y264" s="1" t="s">
        <v>694</v>
      </c>
      <c r="Z264" s="1" t="s">
        <v>40</v>
      </c>
      <c r="AA264" s="1" t="s">
        <v>744</v>
      </c>
      <c r="AB264" s="1" t="s">
        <v>1333</v>
      </c>
      <c r="AC264" s="1" t="s">
        <v>44</v>
      </c>
      <c r="AD264" s="1" t="s">
        <v>40</v>
      </c>
    </row>
    <row r="265" spans="1:30">
      <c r="A265" s="1" t="s">
        <v>1332</v>
      </c>
      <c r="B265" s="1" t="s">
        <v>733</v>
      </c>
      <c r="C265" s="60">
        <v>45873</v>
      </c>
      <c r="D265" s="1" t="s">
        <v>130</v>
      </c>
      <c r="E265" s="1" t="s">
        <v>137</v>
      </c>
      <c r="F265" s="1">
        <v>2024</v>
      </c>
      <c r="G265" s="1" t="s">
        <v>734</v>
      </c>
      <c r="H265" s="1" t="s">
        <v>147</v>
      </c>
      <c r="I265" s="1">
        <v>56.6</v>
      </c>
      <c r="J265" s="1">
        <v>-2.1</v>
      </c>
      <c r="K265" s="1">
        <v>1998</v>
      </c>
      <c r="L265" s="1">
        <v>2017</v>
      </c>
      <c r="M265" s="1">
        <f t="shared" si="4"/>
        <v>20</v>
      </c>
      <c r="N265" s="1" t="s">
        <v>30</v>
      </c>
      <c r="O265" s="1" t="s">
        <v>199</v>
      </c>
      <c r="P265" s="1" t="s">
        <v>1014</v>
      </c>
      <c r="Q265" s="1" t="s">
        <v>738</v>
      </c>
      <c r="R265" s="1" t="s">
        <v>29</v>
      </c>
      <c r="S265" s="1" t="s">
        <v>743</v>
      </c>
      <c r="T265" s="1">
        <v>255.2</v>
      </c>
      <c r="U265" s="1" t="s">
        <v>54</v>
      </c>
      <c r="V265" s="1">
        <f xml:space="preserve"> (236 - 255.2)/(20/10)</f>
        <v>-9.5999999999999943</v>
      </c>
      <c r="X265" s="1" t="s">
        <v>716</v>
      </c>
      <c r="Y265" s="1" t="s">
        <v>694</v>
      </c>
      <c r="Z265" s="1" t="s">
        <v>40</v>
      </c>
      <c r="AA265" s="1" t="s">
        <v>744</v>
      </c>
      <c r="AB265" s="1" t="s">
        <v>1333</v>
      </c>
      <c r="AC265" s="1" t="s">
        <v>44</v>
      </c>
      <c r="AD265" s="1" t="s">
        <v>40</v>
      </c>
    </row>
    <row r="266" spans="1:30">
      <c r="A266" s="1" t="s">
        <v>1332</v>
      </c>
      <c r="B266" s="1" t="s">
        <v>733</v>
      </c>
      <c r="C266" s="60">
        <v>45873</v>
      </c>
      <c r="D266" s="1" t="s">
        <v>130</v>
      </c>
      <c r="E266" s="1" t="s">
        <v>137</v>
      </c>
      <c r="F266" s="1">
        <v>2024</v>
      </c>
      <c r="G266" s="1" t="s">
        <v>734</v>
      </c>
      <c r="H266" s="1" t="s">
        <v>147</v>
      </c>
      <c r="I266" s="1">
        <v>56.6</v>
      </c>
      <c r="J266" s="1">
        <v>-2.1</v>
      </c>
      <c r="K266" s="1">
        <v>1998</v>
      </c>
      <c r="L266" s="1">
        <v>2017</v>
      </c>
      <c r="M266" s="1">
        <f t="shared" si="4"/>
        <v>20</v>
      </c>
      <c r="N266" s="1" t="s">
        <v>30</v>
      </c>
      <c r="O266" s="1" t="s">
        <v>199</v>
      </c>
      <c r="P266" s="1" t="s">
        <v>1014</v>
      </c>
      <c r="Q266" s="1" t="s">
        <v>739</v>
      </c>
      <c r="R266" s="1" t="s">
        <v>29</v>
      </c>
      <c r="S266" s="1" t="s">
        <v>743</v>
      </c>
      <c r="T266" s="1">
        <v>167.7</v>
      </c>
      <c r="U266" s="1" t="s">
        <v>53</v>
      </c>
      <c r="V266" s="1">
        <f xml:space="preserve"> (148.3 - 167.7)/(20/10)</f>
        <v>-9.6999999999999886</v>
      </c>
      <c r="X266" s="1" t="s">
        <v>714</v>
      </c>
      <c r="Y266" s="1" t="s">
        <v>694</v>
      </c>
      <c r="Z266" s="1" t="s">
        <v>40</v>
      </c>
      <c r="AA266" s="1" t="s">
        <v>744</v>
      </c>
      <c r="AB266" s="1" t="s">
        <v>1333</v>
      </c>
      <c r="AC266" s="1" t="s">
        <v>44</v>
      </c>
      <c r="AD266" s="1" t="s">
        <v>40</v>
      </c>
    </row>
    <row r="267" spans="1:30">
      <c r="A267" s="1" t="s">
        <v>1332</v>
      </c>
      <c r="B267" s="1" t="s">
        <v>733</v>
      </c>
      <c r="C267" s="60">
        <v>45873</v>
      </c>
      <c r="D267" s="1" t="s">
        <v>130</v>
      </c>
      <c r="E267" s="1" t="s">
        <v>137</v>
      </c>
      <c r="F267" s="1">
        <v>2024</v>
      </c>
      <c r="G267" s="1" t="s">
        <v>734</v>
      </c>
      <c r="H267" s="1" t="s">
        <v>147</v>
      </c>
      <c r="I267" s="1">
        <v>56.6</v>
      </c>
      <c r="J267" s="1">
        <v>-2.1</v>
      </c>
      <c r="K267" s="1">
        <v>1998</v>
      </c>
      <c r="L267" s="1">
        <v>2017</v>
      </c>
      <c r="M267" s="1">
        <f t="shared" si="4"/>
        <v>20</v>
      </c>
      <c r="N267" s="1" t="s">
        <v>30</v>
      </c>
      <c r="O267" s="1" t="s">
        <v>199</v>
      </c>
      <c r="P267" s="1" t="s">
        <v>1014</v>
      </c>
      <c r="Q267" s="1" t="s">
        <v>740</v>
      </c>
      <c r="R267" s="1" t="s">
        <v>29</v>
      </c>
      <c r="S267" s="1" t="s">
        <v>743</v>
      </c>
      <c r="T267" s="1">
        <v>228</v>
      </c>
      <c r="U267" s="1" t="s">
        <v>53</v>
      </c>
      <c r="V267" s="1">
        <f xml:space="preserve"> (224.8 - 228)/(20/10)</f>
        <v>-1.5999999999999943</v>
      </c>
      <c r="X267" s="1" t="s">
        <v>713</v>
      </c>
      <c r="Y267" s="1" t="s">
        <v>694</v>
      </c>
      <c r="Z267" s="1" t="s">
        <v>40</v>
      </c>
      <c r="AA267" s="1" t="s">
        <v>744</v>
      </c>
      <c r="AB267" s="1" t="s">
        <v>1333</v>
      </c>
      <c r="AC267" s="1" t="s">
        <v>44</v>
      </c>
      <c r="AD267" s="1" t="s">
        <v>40</v>
      </c>
    </row>
    <row r="268" spans="1:30">
      <c r="A268" s="1" t="s">
        <v>1332</v>
      </c>
      <c r="B268" s="1" t="s">
        <v>733</v>
      </c>
      <c r="C268" s="60">
        <v>45873</v>
      </c>
      <c r="D268" s="1" t="s">
        <v>130</v>
      </c>
      <c r="E268" s="1" t="s">
        <v>137</v>
      </c>
      <c r="F268" s="1">
        <v>2024</v>
      </c>
      <c r="G268" s="1" t="s">
        <v>734</v>
      </c>
      <c r="H268" s="1" t="s">
        <v>147</v>
      </c>
      <c r="I268" s="1">
        <v>56.6</v>
      </c>
      <c r="J268" s="1">
        <v>-2.1</v>
      </c>
      <c r="K268" s="1">
        <v>1998</v>
      </c>
      <c r="L268" s="1">
        <v>2017</v>
      </c>
      <c r="M268" s="1">
        <f t="shared" si="4"/>
        <v>20</v>
      </c>
      <c r="N268" s="1" t="s">
        <v>30</v>
      </c>
      <c r="O268" s="1" t="s">
        <v>199</v>
      </c>
      <c r="P268" s="1" t="s">
        <v>1014</v>
      </c>
      <c r="Q268" s="1" t="s">
        <v>741</v>
      </c>
      <c r="R268" s="1" t="s">
        <v>29</v>
      </c>
      <c r="S268" s="1" t="s">
        <v>743</v>
      </c>
      <c r="T268" s="1">
        <v>209.7</v>
      </c>
      <c r="U268" s="1" t="s">
        <v>53</v>
      </c>
      <c r="V268" s="1">
        <f xml:space="preserve"> (180.6 - 209.7)/(20/10)</f>
        <v>-14.549999999999997</v>
      </c>
      <c r="X268" s="1" t="s">
        <v>716</v>
      </c>
      <c r="Y268" s="1" t="s">
        <v>694</v>
      </c>
      <c r="Z268" s="1" t="s">
        <v>40</v>
      </c>
      <c r="AA268" s="1" t="s">
        <v>744</v>
      </c>
      <c r="AB268" s="1" t="s">
        <v>1333</v>
      </c>
      <c r="AC268" s="1" t="s">
        <v>44</v>
      </c>
      <c r="AD268" s="1" t="s">
        <v>40</v>
      </c>
    </row>
    <row r="269" spans="1:30">
      <c r="A269" s="1" t="s">
        <v>1332</v>
      </c>
      <c r="B269" s="1" t="s">
        <v>733</v>
      </c>
      <c r="C269" s="60">
        <v>45873</v>
      </c>
      <c r="D269" s="1" t="s">
        <v>130</v>
      </c>
      <c r="E269" s="1" t="s">
        <v>137</v>
      </c>
      <c r="F269" s="1">
        <v>2024</v>
      </c>
      <c r="G269" s="1" t="s">
        <v>735</v>
      </c>
      <c r="H269" s="1" t="s">
        <v>27</v>
      </c>
      <c r="I269" s="1">
        <v>54.1</v>
      </c>
      <c r="J269" s="1">
        <v>7.5</v>
      </c>
      <c r="K269" s="1">
        <v>1975</v>
      </c>
      <c r="L269" s="1">
        <v>2017</v>
      </c>
      <c r="M269" s="1">
        <f t="shared" si="4"/>
        <v>43</v>
      </c>
      <c r="N269" s="1" t="s">
        <v>30</v>
      </c>
      <c r="O269" s="1" t="s">
        <v>199</v>
      </c>
      <c r="P269" s="1" t="s">
        <v>1015</v>
      </c>
      <c r="Q269" s="1" t="s">
        <v>669</v>
      </c>
      <c r="R269" s="1" t="s">
        <v>29</v>
      </c>
      <c r="S269" s="1" t="s">
        <v>743</v>
      </c>
      <c r="T269" s="1">
        <v>245.16</v>
      </c>
      <c r="U269" s="1" t="s">
        <v>54</v>
      </c>
      <c r="V269" s="1">
        <f xml:space="preserve"> (209.67 - 245.16)/(((L269+L269-9)/2) -  ((K269+K269+9)/2))*10</f>
        <v>-10.754545454545458</v>
      </c>
      <c r="X269" s="1" t="s">
        <v>716</v>
      </c>
      <c r="Y269" s="1" t="s">
        <v>694</v>
      </c>
      <c r="Z269" s="1" t="s">
        <v>40</v>
      </c>
      <c r="AA269" s="1" t="s">
        <v>744</v>
      </c>
      <c r="AB269" s="1" t="s">
        <v>745</v>
      </c>
      <c r="AC269" s="1" t="s">
        <v>44</v>
      </c>
      <c r="AD269" s="1" t="s">
        <v>40</v>
      </c>
    </row>
    <row r="270" spans="1:30">
      <c r="A270" s="1" t="s">
        <v>1332</v>
      </c>
      <c r="B270" s="1" t="s">
        <v>733</v>
      </c>
      <c r="C270" s="60">
        <v>45873</v>
      </c>
      <c r="D270" s="1" t="s">
        <v>130</v>
      </c>
      <c r="E270" s="1" t="s">
        <v>137</v>
      </c>
      <c r="F270" s="1">
        <v>2024</v>
      </c>
      <c r="G270" s="1" t="s">
        <v>742</v>
      </c>
      <c r="H270" s="1" t="s">
        <v>147</v>
      </c>
      <c r="I270" s="1">
        <v>50.1</v>
      </c>
      <c r="J270" s="1">
        <v>-4.0999999999999996</v>
      </c>
      <c r="K270" s="1">
        <v>1988</v>
      </c>
      <c r="L270" s="1">
        <v>2020</v>
      </c>
      <c r="M270" s="1">
        <f t="shared" si="4"/>
        <v>33</v>
      </c>
      <c r="N270" s="1" t="s">
        <v>30</v>
      </c>
      <c r="O270" s="1" t="s">
        <v>199</v>
      </c>
      <c r="P270" s="1" t="s">
        <v>1015</v>
      </c>
      <c r="Q270" s="1" t="s">
        <v>669</v>
      </c>
      <c r="R270" s="1" t="s">
        <v>29</v>
      </c>
      <c r="S270" s="1" t="s">
        <v>743</v>
      </c>
      <c r="T270" s="1">
        <v>151.6</v>
      </c>
      <c r="U270" s="1" t="s">
        <v>53</v>
      </c>
      <c r="V270" s="1">
        <f xml:space="preserve"> (138.7 - 151.6)/(((L270+L270-9)/2) -  ((K270+K270+9)/2))*10</f>
        <v>-5.6086956521739149</v>
      </c>
      <c r="X270" s="1" t="s">
        <v>714</v>
      </c>
      <c r="Y270" s="1" t="s">
        <v>694</v>
      </c>
      <c r="Z270" s="1" t="s">
        <v>40</v>
      </c>
      <c r="AA270" s="1" t="s">
        <v>744</v>
      </c>
      <c r="AB270" s="1" t="s">
        <v>745</v>
      </c>
      <c r="AC270" s="1" t="s">
        <v>44</v>
      </c>
      <c r="AD270" s="1" t="s">
        <v>40</v>
      </c>
    </row>
    <row r="271" spans="1:30">
      <c r="A271" s="1" t="s">
        <v>1332</v>
      </c>
      <c r="B271" s="1" t="s">
        <v>733</v>
      </c>
      <c r="C271" s="60">
        <v>45873</v>
      </c>
      <c r="D271" s="1" t="s">
        <v>130</v>
      </c>
      <c r="E271" s="1" t="s">
        <v>137</v>
      </c>
      <c r="F271" s="1">
        <v>2024</v>
      </c>
      <c r="G271" s="1" t="s">
        <v>734</v>
      </c>
      <c r="H271" s="1" t="s">
        <v>147</v>
      </c>
      <c r="I271" s="1">
        <v>56.6</v>
      </c>
      <c r="J271" s="1">
        <v>-2.1</v>
      </c>
      <c r="K271" s="1">
        <v>1998</v>
      </c>
      <c r="L271" s="1">
        <v>2017</v>
      </c>
      <c r="M271" s="1">
        <f t="shared" si="4"/>
        <v>20</v>
      </c>
      <c r="N271" s="1" t="s">
        <v>30</v>
      </c>
      <c r="O271" s="1" t="s">
        <v>199</v>
      </c>
      <c r="P271" s="1" t="s">
        <v>1015</v>
      </c>
      <c r="Q271" s="1" t="s">
        <v>669</v>
      </c>
      <c r="R271" s="1" t="s">
        <v>29</v>
      </c>
      <c r="S271" s="1" t="s">
        <v>743</v>
      </c>
      <c r="T271" s="1">
        <v>193.5</v>
      </c>
      <c r="U271" s="1" t="s">
        <v>53</v>
      </c>
      <c r="V271" s="1">
        <f xml:space="preserve"> (187.1 - 193.5)/(20/10)</f>
        <v>-3.2000000000000028</v>
      </c>
      <c r="X271" s="1" t="s">
        <v>715</v>
      </c>
      <c r="Y271" s="1" t="s">
        <v>694</v>
      </c>
      <c r="Z271" s="1" t="s">
        <v>40</v>
      </c>
      <c r="AA271" s="1" t="s">
        <v>744</v>
      </c>
      <c r="AB271" s="1" t="s">
        <v>1333</v>
      </c>
      <c r="AC271" s="1" t="s">
        <v>44</v>
      </c>
      <c r="AD271" s="1" t="s">
        <v>40</v>
      </c>
    </row>
    <row r="272" spans="1:30">
      <c r="A272" s="1" t="s">
        <v>1950</v>
      </c>
      <c r="B272" s="26" t="s">
        <v>1890</v>
      </c>
      <c r="D272" s="1" t="s">
        <v>130</v>
      </c>
      <c r="E272" s="1" t="s">
        <v>74</v>
      </c>
      <c r="F272" s="1">
        <v>2024</v>
      </c>
      <c r="G272" s="64" t="s">
        <v>1951</v>
      </c>
      <c r="H272" s="1" t="s">
        <v>147</v>
      </c>
      <c r="I272" s="61"/>
      <c r="J272" s="61"/>
      <c r="K272" s="61">
        <v>1960</v>
      </c>
      <c r="L272" s="61">
        <v>2020</v>
      </c>
      <c r="M272" s="61">
        <f t="shared" si="4"/>
        <v>61</v>
      </c>
      <c r="N272" s="1" t="s">
        <v>623</v>
      </c>
      <c r="O272" t="s">
        <v>152</v>
      </c>
      <c r="P272" s="1" t="s">
        <v>1954</v>
      </c>
      <c r="Q272" s="1" t="s">
        <v>1952</v>
      </c>
      <c r="R272" s="1" t="s">
        <v>1953</v>
      </c>
      <c r="V272" s="1">
        <v>11</v>
      </c>
      <c r="Y272" s="1" t="s">
        <v>694</v>
      </c>
      <c r="AA272" s="1" t="s">
        <v>69</v>
      </c>
      <c r="AB272" s="1" t="s">
        <v>1955</v>
      </c>
    </row>
    <row r="273" spans="1:28">
      <c r="A273" s="1" t="s">
        <v>1889</v>
      </c>
      <c r="B273" s="47" t="s">
        <v>1888</v>
      </c>
      <c r="D273" s="1" t="s">
        <v>130</v>
      </c>
      <c r="E273" s="1" t="s">
        <v>74</v>
      </c>
      <c r="F273" s="1">
        <v>2024</v>
      </c>
      <c r="G273" s="1" t="s">
        <v>692</v>
      </c>
      <c r="H273" s="1" t="s">
        <v>147</v>
      </c>
      <c r="I273" s="61"/>
      <c r="J273" s="61"/>
      <c r="K273" s="61">
        <v>1968</v>
      </c>
      <c r="L273" s="61">
        <v>2019</v>
      </c>
      <c r="M273" s="61">
        <f t="shared" si="4"/>
        <v>52</v>
      </c>
      <c r="N273" s="1" t="s">
        <v>623</v>
      </c>
      <c r="O273" t="s">
        <v>152</v>
      </c>
      <c r="Q273" s="1" t="s">
        <v>1345</v>
      </c>
      <c r="R273" s="1" t="s">
        <v>1978</v>
      </c>
      <c r="V273" s="1">
        <v>-4.8499999999999996</v>
      </c>
      <c r="Y273" s="1" t="s">
        <v>694</v>
      </c>
      <c r="AA273" s="1" t="s">
        <v>69</v>
      </c>
      <c r="AB273" s="1" t="s">
        <v>1979</v>
      </c>
    </row>
    <row r="274" spans="1:28">
      <c r="A274" s="1" t="s">
        <v>1894</v>
      </c>
      <c r="B274" s="1" t="s">
        <v>1893</v>
      </c>
      <c r="D274" s="1" t="s">
        <v>130</v>
      </c>
      <c r="E274" s="1" t="s">
        <v>74</v>
      </c>
      <c r="F274" s="1">
        <v>2024</v>
      </c>
      <c r="G274" s="1" t="s">
        <v>1973</v>
      </c>
      <c r="H274" s="1" t="s">
        <v>147</v>
      </c>
      <c r="I274" s="61"/>
      <c r="J274" s="61"/>
      <c r="K274" s="61">
        <v>1998</v>
      </c>
      <c r="L274" s="61">
        <v>2022</v>
      </c>
      <c r="M274" s="61">
        <f t="shared" si="4"/>
        <v>25</v>
      </c>
      <c r="N274" s="1" t="s">
        <v>623</v>
      </c>
      <c r="O274" s="1" t="s">
        <v>152</v>
      </c>
      <c r="Q274" s="1" t="s">
        <v>1345</v>
      </c>
      <c r="R274" s="1" t="s">
        <v>1977</v>
      </c>
      <c r="V274" s="1">
        <v>-6.5</v>
      </c>
      <c r="AA274" s="1" t="s">
        <v>69</v>
      </c>
      <c r="AB274" s="1" t="s">
        <v>1981</v>
      </c>
    </row>
    <row r="275" spans="1:28">
      <c r="A275" s="1" t="s">
        <v>1894</v>
      </c>
      <c r="B275" s="1" t="s">
        <v>1893</v>
      </c>
      <c r="D275" s="1" t="s">
        <v>130</v>
      </c>
      <c r="E275" s="1" t="s">
        <v>74</v>
      </c>
      <c r="F275" s="1">
        <v>2024</v>
      </c>
      <c r="G275" s="1" t="s">
        <v>1974</v>
      </c>
      <c r="H275" s="1" t="s">
        <v>147</v>
      </c>
      <c r="I275" s="61"/>
      <c r="J275" s="61"/>
      <c r="K275" s="61">
        <v>1998</v>
      </c>
      <c r="L275" s="61">
        <v>2022</v>
      </c>
      <c r="M275" s="61">
        <f t="shared" si="4"/>
        <v>25</v>
      </c>
      <c r="N275" s="1" t="s">
        <v>623</v>
      </c>
      <c r="O275" s="1" t="s">
        <v>152</v>
      </c>
      <c r="Q275" s="1" t="s">
        <v>1345</v>
      </c>
      <c r="R275" s="1" t="s">
        <v>1977</v>
      </c>
      <c r="V275" s="1">
        <v>-7</v>
      </c>
      <c r="AA275" s="1" t="s">
        <v>69</v>
      </c>
      <c r="AB275" s="1" t="s">
        <v>1981</v>
      </c>
    </row>
    <row r="276" spans="1:28">
      <c r="A276" s="1" t="s">
        <v>1894</v>
      </c>
      <c r="B276" s="1" t="s">
        <v>1893</v>
      </c>
      <c r="D276" s="1" t="s">
        <v>130</v>
      </c>
      <c r="E276" s="1" t="s">
        <v>74</v>
      </c>
      <c r="F276" s="1">
        <v>2024</v>
      </c>
      <c r="G276" s="1" t="s">
        <v>1975</v>
      </c>
      <c r="H276" s="1" t="s">
        <v>147</v>
      </c>
      <c r="I276" s="61"/>
      <c r="J276" s="61"/>
      <c r="K276" s="61">
        <v>1998</v>
      </c>
      <c r="L276" s="61">
        <v>2022</v>
      </c>
      <c r="M276" s="61">
        <f t="shared" si="4"/>
        <v>25</v>
      </c>
      <c r="N276" s="1" t="s">
        <v>623</v>
      </c>
      <c r="O276" s="1" t="s">
        <v>152</v>
      </c>
      <c r="Q276" s="1" t="s">
        <v>1345</v>
      </c>
      <c r="R276" s="1" t="s">
        <v>1977</v>
      </c>
      <c r="V276" s="1">
        <v>-0.54</v>
      </c>
      <c r="AA276" s="1" t="s">
        <v>69</v>
      </c>
      <c r="AB276" s="1" t="s">
        <v>1981</v>
      </c>
    </row>
    <row r="277" spans="1:28">
      <c r="A277" s="1" t="s">
        <v>1894</v>
      </c>
      <c r="B277" s="47" t="s">
        <v>1893</v>
      </c>
      <c r="D277" s="1" t="s">
        <v>130</v>
      </c>
      <c r="E277" s="1" t="s">
        <v>74</v>
      </c>
      <c r="F277" s="1">
        <v>2024</v>
      </c>
      <c r="G277" s="1" t="s">
        <v>1976</v>
      </c>
      <c r="H277" s="1" t="s">
        <v>147</v>
      </c>
      <c r="I277" s="61"/>
      <c r="J277" s="61"/>
      <c r="K277" s="61">
        <v>1998</v>
      </c>
      <c r="L277" s="61">
        <v>2022</v>
      </c>
      <c r="M277" s="61">
        <f t="shared" si="4"/>
        <v>25</v>
      </c>
      <c r="N277" s="1" t="s">
        <v>623</v>
      </c>
      <c r="O277" s="1" t="s">
        <v>152</v>
      </c>
      <c r="Q277" s="1" t="s">
        <v>1345</v>
      </c>
      <c r="R277" s="1" t="s">
        <v>1977</v>
      </c>
      <c r="V277" s="1">
        <v>-3.66</v>
      </c>
      <c r="AA277" s="1" t="s">
        <v>69</v>
      </c>
      <c r="AB277" s="1" t="s">
        <v>1981</v>
      </c>
    </row>
    <row r="278" spans="1:28">
      <c r="A278" s="1" t="s">
        <v>1898</v>
      </c>
      <c r="B278" s="47" t="s">
        <v>2071</v>
      </c>
      <c r="D278" s="1" t="s">
        <v>130</v>
      </c>
      <c r="E278" s="1" t="s">
        <v>74</v>
      </c>
      <c r="F278" s="1">
        <v>2024</v>
      </c>
      <c r="G278" s="1" t="s">
        <v>1997</v>
      </c>
      <c r="H278" s="1" t="s">
        <v>723</v>
      </c>
      <c r="I278" s="61"/>
      <c r="J278" s="61"/>
      <c r="K278" s="61">
        <v>1998</v>
      </c>
      <c r="L278" s="61">
        <v>2020</v>
      </c>
      <c r="M278" s="61">
        <f t="shared" si="4"/>
        <v>23</v>
      </c>
      <c r="N278" s="1" t="s">
        <v>623</v>
      </c>
      <c r="O278" s="1" t="s">
        <v>152</v>
      </c>
      <c r="Q278" s="1" t="s">
        <v>1345</v>
      </c>
      <c r="R278" s="1" t="s">
        <v>1994</v>
      </c>
      <c r="V278" s="1">
        <v>0</v>
      </c>
      <c r="Y278" s="1" t="s">
        <v>223</v>
      </c>
      <c r="AB278" s="1" t="s">
        <v>2072</v>
      </c>
    </row>
    <row r="279" spans="1:28">
      <c r="A279" s="1" t="s">
        <v>1898</v>
      </c>
      <c r="B279" s="1" t="s">
        <v>1897</v>
      </c>
      <c r="D279" s="1" t="s">
        <v>130</v>
      </c>
      <c r="E279" s="1" t="s">
        <v>74</v>
      </c>
      <c r="F279" s="1">
        <v>2024</v>
      </c>
      <c r="G279" s="1" t="s">
        <v>1998</v>
      </c>
      <c r="H279" s="1" t="s">
        <v>723</v>
      </c>
      <c r="I279" s="61"/>
      <c r="J279" s="61"/>
      <c r="K279" s="61">
        <v>1998</v>
      </c>
      <c r="L279" s="61">
        <v>2020</v>
      </c>
      <c r="M279" s="61">
        <f t="shared" si="4"/>
        <v>23</v>
      </c>
      <c r="N279" s="1" t="s">
        <v>623</v>
      </c>
      <c r="O279" s="1" t="s">
        <v>152</v>
      </c>
      <c r="Q279" s="1" t="s">
        <v>1345</v>
      </c>
      <c r="R279" s="1" t="s">
        <v>1994</v>
      </c>
      <c r="V279" s="1">
        <v>22.8</v>
      </c>
      <c r="Y279" s="1" t="s">
        <v>41</v>
      </c>
      <c r="AB279" s="1" t="s">
        <v>2072</v>
      </c>
    </row>
    <row r="280" spans="1:28">
      <c r="A280" s="1" t="s">
        <v>1898</v>
      </c>
      <c r="B280" s="1" t="s">
        <v>1897</v>
      </c>
      <c r="D280" s="1" t="s">
        <v>130</v>
      </c>
      <c r="E280" s="1" t="s">
        <v>74</v>
      </c>
      <c r="F280" s="1">
        <v>2024</v>
      </c>
      <c r="G280" s="1" t="s">
        <v>2000</v>
      </c>
      <c r="H280" s="1" t="s">
        <v>723</v>
      </c>
      <c r="I280" s="61"/>
      <c r="J280" s="61"/>
      <c r="K280" s="61">
        <v>1998</v>
      </c>
      <c r="L280" s="61">
        <v>2020</v>
      </c>
      <c r="M280" s="61">
        <f t="shared" si="4"/>
        <v>23</v>
      </c>
      <c r="N280" s="1" t="s">
        <v>623</v>
      </c>
      <c r="O280" s="1" t="s">
        <v>152</v>
      </c>
      <c r="Q280" s="1" t="s">
        <v>1345</v>
      </c>
      <c r="R280" s="1" t="s">
        <v>1994</v>
      </c>
      <c r="V280" s="1">
        <v>-3.5</v>
      </c>
      <c r="Y280" s="1" t="s">
        <v>694</v>
      </c>
      <c r="AB280" s="1" t="s">
        <v>2072</v>
      </c>
    </row>
    <row r="281" spans="1:28">
      <c r="A281" s="1" t="s">
        <v>1898</v>
      </c>
      <c r="B281" s="1" t="s">
        <v>1897</v>
      </c>
      <c r="D281" s="1" t="s">
        <v>130</v>
      </c>
      <c r="E281" s="1" t="s">
        <v>74</v>
      </c>
      <c r="F281" s="1">
        <v>2024</v>
      </c>
      <c r="G281" s="1" t="s">
        <v>1999</v>
      </c>
      <c r="H281" s="1" t="s">
        <v>723</v>
      </c>
      <c r="I281" s="61"/>
      <c r="J281" s="61"/>
      <c r="K281" s="61">
        <v>1998</v>
      </c>
      <c r="L281" s="61">
        <v>2020</v>
      </c>
      <c r="M281" s="61">
        <f t="shared" si="4"/>
        <v>23</v>
      </c>
      <c r="N281" s="1" t="s">
        <v>623</v>
      </c>
      <c r="O281" s="1" t="s">
        <v>152</v>
      </c>
      <c r="Q281" s="1" t="s">
        <v>1345</v>
      </c>
      <c r="R281" s="1" t="s">
        <v>1994</v>
      </c>
      <c r="V281" s="1">
        <v>-7.45</v>
      </c>
      <c r="Y281" s="1" t="s">
        <v>694</v>
      </c>
      <c r="AB281" s="1" t="s">
        <v>2072</v>
      </c>
    </row>
    <row r="282" spans="1:28">
      <c r="A282" s="1" t="s">
        <v>1898</v>
      </c>
      <c r="B282" s="1" t="s">
        <v>1897</v>
      </c>
      <c r="D282" s="1" t="s">
        <v>130</v>
      </c>
      <c r="E282" s="1" t="s">
        <v>74</v>
      </c>
      <c r="F282" s="1">
        <v>2024</v>
      </c>
      <c r="G282" s="64" t="s">
        <v>2001</v>
      </c>
      <c r="H282" s="1" t="s">
        <v>723</v>
      </c>
      <c r="I282" s="61"/>
      <c r="J282" s="61"/>
      <c r="K282" s="61">
        <v>1998</v>
      </c>
      <c r="L282" s="61">
        <v>2020</v>
      </c>
      <c r="M282" s="61">
        <f t="shared" si="4"/>
        <v>23</v>
      </c>
      <c r="N282" s="1" t="s">
        <v>623</v>
      </c>
      <c r="O282" s="1" t="s">
        <v>152</v>
      </c>
      <c r="Q282" s="1" t="s">
        <v>1345</v>
      </c>
      <c r="R282" s="1" t="s">
        <v>1994</v>
      </c>
      <c r="V282" s="1">
        <v>-7.4</v>
      </c>
      <c r="Y282" s="1" t="s">
        <v>694</v>
      </c>
      <c r="AB282" s="1" t="s">
        <v>2072</v>
      </c>
    </row>
    <row r="283" spans="1:28">
      <c r="A283" s="1" t="s">
        <v>2028</v>
      </c>
      <c r="B283" s="47" t="s">
        <v>1430</v>
      </c>
      <c r="D283" s="1" t="s">
        <v>130</v>
      </c>
      <c r="E283" s="1" t="s">
        <v>74</v>
      </c>
      <c r="F283" s="1">
        <v>2024</v>
      </c>
      <c r="G283" s="1" t="s">
        <v>2029</v>
      </c>
      <c r="H283" s="1" t="s">
        <v>723</v>
      </c>
      <c r="K283" s="1">
        <v>2001</v>
      </c>
      <c r="L283" s="1">
        <v>2022</v>
      </c>
      <c r="M283" s="61">
        <f t="shared" si="4"/>
        <v>22</v>
      </c>
      <c r="N283" s="1" t="s">
        <v>623</v>
      </c>
      <c r="O283" s="1" t="s">
        <v>1582</v>
      </c>
      <c r="Q283" s="1" t="s">
        <v>1345</v>
      </c>
      <c r="R283" s="1" t="s">
        <v>266</v>
      </c>
      <c r="V283" s="1">
        <v>5.7</v>
      </c>
      <c r="Y283" s="1" t="s">
        <v>41</v>
      </c>
      <c r="AB283" s="1" t="s">
        <v>2047</v>
      </c>
    </row>
    <row r="284" spans="1:28">
      <c r="A284" s="1" t="s">
        <v>2028</v>
      </c>
      <c r="B284" s="47" t="s">
        <v>1430</v>
      </c>
      <c r="D284" s="1" t="s">
        <v>130</v>
      </c>
      <c r="E284" s="1" t="s">
        <v>74</v>
      </c>
      <c r="F284" s="1">
        <v>2024</v>
      </c>
      <c r="G284" s="1" t="s">
        <v>2030</v>
      </c>
      <c r="H284" s="1" t="s">
        <v>723</v>
      </c>
      <c r="K284" s="1">
        <v>2001</v>
      </c>
      <c r="L284" s="1">
        <v>2022</v>
      </c>
      <c r="M284" s="61">
        <f t="shared" si="4"/>
        <v>22</v>
      </c>
      <c r="N284" s="1" t="s">
        <v>623</v>
      </c>
      <c r="O284" s="1" t="s">
        <v>1582</v>
      </c>
      <c r="Q284" s="1" t="s">
        <v>1345</v>
      </c>
      <c r="R284" s="1" t="s">
        <v>266</v>
      </c>
      <c r="V284" s="1">
        <v>13.8</v>
      </c>
      <c r="Y284" s="1" t="s">
        <v>41</v>
      </c>
      <c r="AB284" s="1" t="s">
        <v>2047</v>
      </c>
    </row>
    <row r="285" spans="1:28">
      <c r="A285" s="1" t="s">
        <v>2028</v>
      </c>
      <c r="B285" s="47" t="s">
        <v>1430</v>
      </c>
      <c r="D285" s="1" t="s">
        <v>130</v>
      </c>
      <c r="E285" s="1" t="s">
        <v>74</v>
      </c>
      <c r="F285" s="1">
        <v>2024</v>
      </c>
      <c r="G285" s="1" t="s">
        <v>2031</v>
      </c>
      <c r="H285" s="1" t="s">
        <v>723</v>
      </c>
      <c r="K285" s="1">
        <v>2001</v>
      </c>
      <c r="L285" s="1">
        <v>2022</v>
      </c>
      <c r="M285" s="61">
        <f t="shared" si="4"/>
        <v>22</v>
      </c>
      <c r="N285" s="1" t="s">
        <v>623</v>
      </c>
      <c r="O285" s="1" t="s">
        <v>1582</v>
      </c>
      <c r="Q285" s="1" t="s">
        <v>1345</v>
      </c>
      <c r="R285" s="1" t="s">
        <v>266</v>
      </c>
      <c r="V285" s="1">
        <v>7.6</v>
      </c>
      <c r="Y285" s="1" t="s">
        <v>41</v>
      </c>
      <c r="AB285" s="1" t="s">
        <v>2047</v>
      </c>
    </row>
    <row r="286" spans="1:28">
      <c r="A286" s="1" t="s">
        <v>2028</v>
      </c>
      <c r="B286" s="47" t="s">
        <v>1430</v>
      </c>
      <c r="D286" s="1" t="s">
        <v>130</v>
      </c>
      <c r="E286" s="1" t="s">
        <v>74</v>
      </c>
      <c r="F286" s="1">
        <v>2024</v>
      </c>
      <c r="G286" s="1" t="s">
        <v>2032</v>
      </c>
      <c r="H286" s="1" t="s">
        <v>723</v>
      </c>
      <c r="K286" s="1">
        <v>2001</v>
      </c>
      <c r="L286" s="1">
        <v>2022</v>
      </c>
      <c r="M286" s="61">
        <f t="shared" si="4"/>
        <v>22</v>
      </c>
      <c r="N286" s="1" t="s">
        <v>623</v>
      </c>
      <c r="O286" s="1" t="s">
        <v>1582</v>
      </c>
      <c r="Q286" s="1" t="s">
        <v>1345</v>
      </c>
      <c r="R286" s="1" t="s">
        <v>266</v>
      </c>
      <c r="V286" s="1">
        <v>10.5</v>
      </c>
      <c r="Y286" s="1" t="s">
        <v>41</v>
      </c>
      <c r="AB286" s="1" t="s">
        <v>2047</v>
      </c>
    </row>
    <row r="287" spans="1:28">
      <c r="A287" s="1" t="s">
        <v>2028</v>
      </c>
      <c r="B287" s="47" t="s">
        <v>1430</v>
      </c>
      <c r="D287" s="1" t="s">
        <v>130</v>
      </c>
      <c r="E287" s="1" t="s">
        <v>74</v>
      </c>
      <c r="F287" s="1">
        <v>2024</v>
      </c>
      <c r="G287" s="1" t="s">
        <v>2033</v>
      </c>
      <c r="H287" s="1" t="s">
        <v>723</v>
      </c>
      <c r="K287" s="1">
        <v>2001</v>
      </c>
      <c r="L287" s="1">
        <v>2022</v>
      </c>
      <c r="M287" s="61">
        <f t="shared" si="4"/>
        <v>22</v>
      </c>
      <c r="N287" s="1" t="s">
        <v>623</v>
      </c>
      <c r="O287" s="1" t="s">
        <v>1582</v>
      </c>
      <c r="Q287" s="1" t="s">
        <v>1345</v>
      </c>
      <c r="R287" s="1" t="s">
        <v>266</v>
      </c>
      <c r="V287" s="1">
        <v>3.3</v>
      </c>
      <c r="Y287" s="1" t="s">
        <v>41</v>
      </c>
      <c r="AB287" s="1" t="s">
        <v>2047</v>
      </c>
    </row>
    <row r="288" spans="1:28">
      <c r="A288" s="1" t="s">
        <v>1153</v>
      </c>
      <c r="B288" s="26" t="s">
        <v>1157</v>
      </c>
      <c r="C288" s="60">
        <v>45884</v>
      </c>
      <c r="D288" s="1" t="s">
        <v>130</v>
      </c>
      <c r="E288" s="1" t="s">
        <v>74</v>
      </c>
      <c r="F288" s="1">
        <v>2023</v>
      </c>
      <c r="G288" s="1" t="s">
        <v>1158</v>
      </c>
      <c r="H288" s="1" t="s">
        <v>147</v>
      </c>
      <c r="I288" s="1">
        <v>45.55</v>
      </c>
      <c r="J288" s="1">
        <v>3.16</v>
      </c>
      <c r="K288" s="1">
        <v>1992</v>
      </c>
      <c r="L288" s="1">
        <v>2019</v>
      </c>
      <c r="M288" s="1">
        <f t="shared" si="4"/>
        <v>28</v>
      </c>
      <c r="N288" s="1" t="s">
        <v>30</v>
      </c>
      <c r="O288" s="1" t="s">
        <v>205</v>
      </c>
      <c r="P288" s="1" t="s">
        <v>788</v>
      </c>
      <c r="Q288" s="1" t="s">
        <v>1159</v>
      </c>
      <c r="R288" s="1" t="s">
        <v>1160</v>
      </c>
      <c r="T288" s="1">
        <v>152</v>
      </c>
      <c r="U288" s="1" t="s">
        <v>52</v>
      </c>
      <c r="V288" s="1">
        <f>(134.7-152)/(M288/10)</f>
        <v>-6.1785714285714333</v>
      </c>
      <c r="Y288" s="1" t="s">
        <v>694</v>
      </c>
      <c r="AA288" s="1" t="s">
        <v>1341</v>
      </c>
      <c r="AB288" s="1" t="s">
        <v>1161</v>
      </c>
    </row>
    <row r="289" spans="1:30">
      <c r="A289" s="1" t="s">
        <v>1153</v>
      </c>
      <c r="B289" s="26" t="s">
        <v>1157</v>
      </c>
      <c r="C289" s="60">
        <v>45884</v>
      </c>
      <c r="D289" s="1" t="s">
        <v>130</v>
      </c>
      <c r="E289" s="1" t="s">
        <v>74</v>
      </c>
      <c r="F289" s="1">
        <v>2023</v>
      </c>
      <c r="G289" s="1" t="s">
        <v>1158</v>
      </c>
      <c r="H289" s="1" t="s">
        <v>147</v>
      </c>
      <c r="I289" s="1">
        <v>45.55</v>
      </c>
      <c r="J289" s="1">
        <v>3.16</v>
      </c>
      <c r="K289" s="1">
        <v>1992</v>
      </c>
      <c r="L289" s="1">
        <v>2019</v>
      </c>
      <c r="M289" s="1">
        <f t="shared" si="4"/>
        <v>28</v>
      </c>
      <c r="N289" s="1" t="s">
        <v>30</v>
      </c>
      <c r="O289" s="1" t="s">
        <v>755</v>
      </c>
      <c r="P289" s="1" t="s">
        <v>788</v>
      </c>
      <c r="Q289" s="1" t="s">
        <v>1156</v>
      </c>
      <c r="R289" s="1" t="s">
        <v>1160</v>
      </c>
      <c r="T289" s="1">
        <v>134.69999999999999</v>
      </c>
      <c r="U289" s="1" t="s">
        <v>782</v>
      </c>
      <c r="V289" s="1">
        <f>(130.1-134.7)/(M289/10)</f>
        <v>-1.642857142857141</v>
      </c>
      <c r="Y289" s="1" t="s">
        <v>694</v>
      </c>
      <c r="AA289" s="1" t="s">
        <v>1341</v>
      </c>
      <c r="AB289" s="1" t="s">
        <v>1161</v>
      </c>
    </row>
    <row r="290" spans="1:30">
      <c r="A290" s="1" t="s">
        <v>2049</v>
      </c>
      <c r="B290" s="47" t="s">
        <v>1742</v>
      </c>
      <c r="D290" s="1" t="s">
        <v>130</v>
      </c>
      <c r="E290" s="1" t="s">
        <v>74</v>
      </c>
      <c r="F290" s="1">
        <v>2023</v>
      </c>
      <c r="G290" s="1" t="s">
        <v>2050</v>
      </c>
      <c r="H290" s="1" t="s">
        <v>147</v>
      </c>
      <c r="K290" s="1">
        <v>1997</v>
      </c>
      <c r="L290" s="1">
        <v>2020</v>
      </c>
      <c r="M290" s="1">
        <f t="shared" si="4"/>
        <v>24</v>
      </c>
      <c r="N290" s="1" t="s">
        <v>623</v>
      </c>
      <c r="O290" s="1" t="s">
        <v>1582</v>
      </c>
      <c r="Q290" s="1" t="s">
        <v>1345</v>
      </c>
      <c r="R290" s="1" t="s">
        <v>2052</v>
      </c>
      <c r="V290" s="1">
        <v>6.5</v>
      </c>
      <c r="Y290" s="1" t="s">
        <v>694</v>
      </c>
      <c r="AB290" s="1" t="s">
        <v>2075</v>
      </c>
    </row>
    <row r="291" spans="1:30">
      <c r="A291" s="1" t="s">
        <v>2049</v>
      </c>
      <c r="B291" s="47" t="s">
        <v>1742</v>
      </c>
      <c r="D291" s="1" t="s">
        <v>130</v>
      </c>
      <c r="E291" s="1" t="s">
        <v>74</v>
      </c>
      <c r="F291" s="1">
        <v>2023</v>
      </c>
      <c r="G291" s="1" t="s">
        <v>132</v>
      </c>
      <c r="H291" s="1" t="s">
        <v>147</v>
      </c>
      <c r="K291" s="1">
        <v>1997</v>
      </c>
      <c r="L291" s="1">
        <v>2020</v>
      </c>
      <c r="M291" s="1">
        <f t="shared" si="4"/>
        <v>24</v>
      </c>
      <c r="N291" s="1" t="s">
        <v>623</v>
      </c>
      <c r="O291" s="1" t="s">
        <v>1582</v>
      </c>
      <c r="Q291" s="1" t="s">
        <v>1345</v>
      </c>
      <c r="R291" s="1" t="s">
        <v>2052</v>
      </c>
      <c r="V291" s="1">
        <v>11</v>
      </c>
      <c r="Y291" s="1" t="s">
        <v>694</v>
      </c>
      <c r="AB291" s="1" t="s">
        <v>2075</v>
      </c>
    </row>
    <row r="292" spans="1:30">
      <c r="A292" s="1" t="s">
        <v>2049</v>
      </c>
      <c r="B292" s="47" t="s">
        <v>1742</v>
      </c>
      <c r="D292" s="1" t="s">
        <v>130</v>
      </c>
      <c r="E292" s="1" t="s">
        <v>74</v>
      </c>
      <c r="F292" s="1">
        <v>2023</v>
      </c>
      <c r="G292" s="1" t="s">
        <v>2051</v>
      </c>
      <c r="H292" s="1" t="s">
        <v>147</v>
      </c>
      <c r="K292" s="1">
        <v>1997</v>
      </c>
      <c r="L292" s="1">
        <v>2020</v>
      </c>
      <c r="M292" s="1">
        <f t="shared" si="4"/>
        <v>24</v>
      </c>
      <c r="N292" s="1" t="s">
        <v>623</v>
      </c>
      <c r="O292" s="1" t="s">
        <v>1582</v>
      </c>
      <c r="Q292" s="1" t="s">
        <v>1345</v>
      </c>
      <c r="R292" s="1" t="s">
        <v>2052</v>
      </c>
      <c r="V292" s="1">
        <v>5.9</v>
      </c>
      <c r="Y292" s="1" t="s">
        <v>694</v>
      </c>
      <c r="AB292" s="1" t="s">
        <v>2075</v>
      </c>
    </row>
    <row r="293" spans="1:30">
      <c r="A293" s="1" t="s">
        <v>2056</v>
      </c>
      <c r="B293" s="47" t="s">
        <v>1743</v>
      </c>
      <c r="D293" s="1" t="s">
        <v>130</v>
      </c>
      <c r="E293" s="1" t="s">
        <v>74</v>
      </c>
      <c r="F293" s="1">
        <v>2023</v>
      </c>
      <c r="G293" s="1" t="s">
        <v>2058</v>
      </c>
      <c r="H293" s="1" t="s">
        <v>147</v>
      </c>
      <c r="K293" s="1">
        <v>1998</v>
      </c>
      <c r="L293" s="1">
        <v>2019</v>
      </c>
      <c r="M293" s="1">
        <f t="shared" si="4"/>
        <v>22</v>
      </c>
      <c r="N293" s="1" t="s">
        <v>623</v>
      </c>
      <c r="O293" s="1" t="s">
        <v>1582</v>
      </c>
      <c r="Q293" s="1" t="s">
        <v>1345</v>
      </c>
      <c r="R293" s="1" t="s">
        <v>2057</v>
      </c>
      <c r="V293" s="1">
        <v>-3</v>
      </c>
      <c r="Y293" s="1" t="s">
        <v>694</v>
      </c>
      <c r="AB293" s="1" t="s">
        <v>2067</v>
      </c>
    </row>
    <row r="294" spans="1:30">
      <c r="A294" s="1" t="s">
        <v>2056</v>
      </c>
      <c r="B294" s="47" t="s">
        <v>1743</v>
      </c>
      <c r="D294" s="1" t="s">
        <v>130</v>
      </c>
      <c r="E294" s="1" t="s">
        <v>74</v>
      </c>
      <c r="F294" s="1">
        <v>2023</v>
      </c>
      <c r="G294" s="1" t="s">
        <v>2059</v>
      </c>
      <c r="H294" s="1" t="s">
        <v>147</v>
      </c>
      <c r="K294" s="1">
        <v>1998</v>
      </c>
      <c r="L294" s="1">
        <v>2019</v>
      </c>
      <c r="M294" s="1">
        <f t="shared" si="4"/>
        <v>22</v>
      </c>
      <c r="N294" s="1" t="s">
        <v>623</v>
      </c>
      <c r="O294" s="1" t="s">
        <v>1582</v>
      </c>
      <c r="Q294" s="1" t="s">
        <v>1345</v>
      </c>
      <c r="R294" s="1" t="s">
        <v>2057</v>
      </c>
      <c r="V294" s="1">
        <v>-2</v>
      </c>
      <c r="Y294" s="1" t="s">
        <v>694</v>
      </c>
      <c r="AB294" s="1" t="s">
        <v>2067</v>
      </c>
    </row>
    <row r="295" spans="1:30">
      <c r="A295" s="1" t="s">
        <v>2056</v>
      </c>
      <c r="B295" s="47" t="s">
        <v>1743</v>
      </c>
      <c r="D295" s="1" t="s">
        <v>130</v>
      </c>
      <c r="E295" s="1" t="s">
        <v>74</v>
      </c>
      <c r="F295" s="1">
        <v>2023</v>
      </c>
      <c r="G295" s="1" t="s">
        <v>2061</v>
      </c>
      <c r="H295" s="1" t="s">
        <v>147</v>
      </c>
      <c r="K295" s="1">
        <v>1998</v>
      </c>
      <c r="L295" s="1">
        <v>2019</v>
      </c>
      <c r="M295" s="1">
        <f t="shared" si="4"/>
        <v>22</v>
      </c>
      <c r="N295" s="1" t="s">
        <v>623</v>
      </c>
      <c r="O295" s="1" t="s">
        <v>1582</v>
      </c>
      <c r="Q295" s="1" t="s">
        <v>1345</v>
      </c>
      <c r="R295" s="1" t="s">
        <v>2057</v>
      </c>
      <c r="V295" s="1">
        <v>-1</v>
      </c>
      <c r="Y295" s="1" t="s">
        <v>694</v>
      </c>
      <c r="AB295" s="1" t="s">
        <v>2067</v>
      </c>
    </row>
    <row r="296" spans="1:30">
      <c r="A296" s="1" t="s">
        <v>2056</v>
      </c>
      <c r="B296" s="47" t="s">
        <v>1743</v>
      </c>
      <c r="D296" s="1" t="s">
        <v>130</v>
      </c>
      <c r="E296" s="1" t="s">
        <v>74</v>
      </c>
      <c r="F296" s="1">
        <v>2023</v>
      </c>
      <c r="G296" s="1" t="s">
        <v>2060</v>
      </c>
      <c r="H296" s="1" t="s">
        <v>147</v>
      </c>
      <c r="K296" s="1">
        <v>1998</v>
      </c>
      <c r="L296" s="1">
        <v>2019</v>
      </c>
      <c r="M296" s="1">
        <f t="shared" si="4"/>
        <v>22</v>
      </c>
      <c r="N296" s="1" t="s">
        <v>623</v>
      </c>
      <c r="O296" s="1" t="s">
        <v>1582</v>
      </c>
      <c r="Q296" s="1" t="s">
        <v>1345</v>
      </c>
      <c r="R296" s="1" t="s">
        <v>2057</v>
      </c>
      <c r="V296" s="1">
        <v>-14</v>
      </c>
      <c r="Y296" s="1" t="s">
        <v>694</v>
      </c>
      <c r="AB296" s="1" t="s">
        <v>2067</v>
      </c>
    </row>
    <row r="297" spans="1:30">
      <c r="A297" s="1" t="s">
        <v>1970</v>
      </c>
      <c r="B297" s="47" t="s">
        <v>1904</v>
      </c>
      <c r="D297" s="1" t="s">
        <v>130</v>
      </c>
      <c r="E297" s="1" t="s">
        <v>74</v>
      </c>
      <c r="F297" s="1">
        <v>2022</v>
      </c>
      <c r="G297" s="1" t="s">
        <v>1971</v>
      </c>
      <c r="H297" s="1" t="s">
        <v>147</v>
      </c>
      <c r="I297" s="61"/>
      <c r="J297" s="61"/>
      <c r="K297" s="61">
        <v>2001</v>
      </c>
      <c r="L297" s="61">
        <v>2019</v>
      </c>
      <c r="M297" s="61">
        <f t="shared" si="4"/>
        <v>19</v>
      </c>
      <c r="N297" s="1" t="s">
        <v>623</v>
      </c>
      <c r="O297" s="1" t="s">
        <v>152</v>
      </c>
      <c r="Q297" s="1" t="s">
        <v>1345</v>
      </c>
      <c r="R297" s="1" t="s">
        <v>1972</v>
      </c>
      <c r="V297" s="1">
        <v>-1.46</v>
      </c>
      <c r="Y297" s="1" t="s">
        <v>694</v>
      </c>
      <c r="AA297" s="1" t="s">
        <v>69</v>
      </c>
      <c r="AB297" s="1" t="s">
        <v>1980</v>
      </c>
    </row>
    <row r="298" spans="1:30">
      <c r="A298" s="1" t="s">
        <v>1329</v>
      </c>
      <c r="B298" s="47" t="s">
        <v>604</v>
      </c>
      <c r="C298" s="60">
        <v>45870</v>
      </c>
      <c r="D298" s="1" t="s">
        <v>130</v>
      </c>
      <c r="E298" s="1" t="s">
        <v>74</v>
      </c>
      <c r="F298" s="1">
        <v>2021</v>
      </c>
      <c r="G298" s="1" t="s">
        <v>605</v>
      </c>
      <c r="H298" s="1" t="s">
        <v>147</v>
      </c>
      <c r="I298" s="1">
        <v>66.33</v>
      </c>
      <c r="J298" s="1">
        <v>33.659999999999997</v>
      </c>
      <c r="K298" s="1">
        <v>1961</v>
      </c>
      <c r="L298" s="1">
        <v>2018</v>
      </c>
      <c r="M298" s="1">
        <f t="shared" si="4"/>
        <v>58</v>
      </c>
      <c r="N298" s="1" t="s">
        <v>30</v>
      </c>
      <c r="O298" s="1" t="s">
        <v>199</v>
      </c>
      <c r="P298" s="1" t="s">
        <v>1014</v>
      </c>
      <c r="Q298" s="1" t="s">
        <v>111</v>
      </c>
      <c r="R298" s="1" t="s">
        <v>29</v>
      </c>
      <c r="S298" s="1" t="s">
        <v>608</v>
      </c>
      <c r="T298" s="1" t="s">
        <v>40</v>
      </c>
      <c r="U298" s="1" t="s">
        <v>53</v>
      </c>
      <c r="V298" s="1">
        <f>((-0.4+(-0.69))*10)/2</f>
        <v>-5.4499999999999993</v>
      </c>
      <c r="Y298" s="1" t="s">
        <v>694</v>
      </c>
      <c r="Z298" s="1" t="s">
        <v>609</v>
      </c>
      <c r="AA298" s="1" t="s">
        <v>606</v>
      </c>
      <c r="AB298" s="1" t="s">
        <v>1861</v>
      </c>
      <c r="AC298" s="1" t="s">
        <v>130</v>
      </c>
      <c r="AD298" s="1" t="s">
        <v>60</v>
      </c>
    </row>
    <row r="299" spans="1:30">
      <c r="A299" s="1" t="s">
        <v>1329</v>
      </c>
      <c r="B299" s="1" t="s">
        <v>604</v>
      </c>
      <c r="C299" s="60">
        <v>45870</v>
      </c>
      <c r="D299" s="1" t="s">
        <v>130</v>
      </c>
      <c r="E299" s="1" t="s">
        <v>74</v>
      </c>
      <c r="F299" s="1">
        <v>2021</v>
      </c>
      <c r="G299" s="1" t="s">
        <v>605</v>
      </c>
      <c r="H299" s="1" t="s">
        <v>147</v>
      </c>
      <c r="I299" s="1">
        <v>66.33</v>
      </c>
      <c r="J299" s="1">
        <v>33.659999999999997</v>
      </c>
      <c r="K299" s="1">
        <v>1961</v>
      </c>
      <c r="L299" s="1">
        <v>2018</v>
      </c>
      <c r="M299" s="1">
        <f t="shared" si="4"/>
        <v>58</v>
      </c>
      <c r="N299" s="1" t="s">
        <v>30</v>
      </c>
      <c r="O299" s="1" t="s">
        <v>199</v>
      </c>
      <c r="P299" s="1" t="s">
        <v>1014</v>
      </c>
      <c r="Q299" s="1" t="s">
        <v>603</v>
      </c>
      <c r="R299" s="1" t="s">
        <v>29</v>
      </c>
      <c r="S299" s="1" t="s">
        <v>608</v>
      </c>
      <c r="T299" s="1" t="s">
        <v>40</v>
      </c>
      <c r="U299" s="1" t="s">
        <v>53</v>
      </c>
      <c r="V299" s="1">
        <f>((-0.43+(-0.26))*10)/2</f>
        <v>-3.4499999999999997</v>
      </c>
      <c r="Y299" s="1" t="s">
        <v>694</v>
      </c>
      <c r="Z299" s="1" t="s">
        <v>609</v>
      </c>
      <c r="AA299" s="1" t="s">
        <v>606</v>
      </c>
      <c r="AB299" s="1" t="s">
        <v>1861</v>
      </c>
      <c r="AC299" s="1" t="s">
        <v>130</v>
      </c>
      <c r="AD299" s="1" t="s">
        <v>60</v>
      </c>
    </row>
    <row r="300" spans="1:30">
      <c r="A300" s="1" t="s">
        <v>1329</v>
      </c>
      <c r="B300" s="1" t="s">
        <v>604</v>
      </c>
      <c r="C300" s="60">
        <v>45870</v>
      </c>
      <c r="D300" s="1" t="s">
        <v>130</v>
      </c>
      <c r="E300" s="1" t="s">
        <v>74</v>
      </c>
      <c r="F300" s="1">
        <v>2021</v>
      </c>
      <c r="G300" s="1" t="s">
        <v>605</v>
      </c>
      <c r="H300" s="1" t="s">
        <v>147</v>
      </c>
      <c r="I300" s="1">
        <v>66.33</v>
      </c>
      <c r="J300" s="1">
        <v>33.659999999999997</v>
      </c>
      <c r="K300" s="1">
        <v>1961</v>
      </c>
      <c r="L300" s="1">
        <v>2018</v>
      </c>
      <c r="M300" s="1">
        <f t="shared" si="4"/>
        <v>58</v>
      </c>
      <c r="N300" s="1" t="s">
        <v>30</v>
      </c>
      <c r="O300" s="1" t="s">
        <v>199</v>
      </c>
      <c r="P300" s="1" t="s">
        <v>1014</v>
      </c>
      <c r="Q300" s="1" t="s">
        <v>64</v>
      </c>
      <c r="R300" s="1" t="s">
        <v>29</v>
      </c>
      <c r="S300" s="1" t="s">
        <v>608</v>
      </c>
      <c r="T300" s="1" t="s">
        <v>40</v>
      </c>
      <c r="U300" s="1" t="s">
        <v>54</v>
      </c>
      <c r="V300" s="1">
        <f>((-0.4+(-0.18))*10)/2</f>
        <v>-2.9000000000000004</v>
      </c>
      <c r="Y300" s="1" t="s">
        <v>694</v>
      </c>
      <c r="Z300" s="1" t="s">
        <v>609</v>
      </c>
      <c r="AA300" s="1" t="s">
        <v>606</v>
      </c>
      <c r="AB300" s="1" t="s">
        <v>1861</v>
      </c>
      <c r="AC300" s="1" t="s">
        <v>130</v>
      </c>
      <c r="AD300" s="1" t="s">
        <v>60</v>
      </c>
    </row>
    <row r="301" spans="1:30">
      <c r="A301" s="1" t="s">
        <v>1329</v>
      </c>
      <c r="B301" s="1" t="s">
        <v>604</v>
      </c>
      <c r="C301" s="60">
        <v>45870</v>
      </c>
      <c r="D301" s="1" t="s">
        <v>130</v>
      </c>
      <c r="E301" s="1" t="s">
        <v>74</v>
      </c>
      <c r="F301" s="1">
        <v>2021</v>
      </c>
      <c r="G301" s="1" t="s">
        <v>605</v>
      </c>
      <c r="H301" s="1" t="s">
        <v>147</v>
      </c>
      <c r="I301" s="1">
        <v>66.33</v>
      </c>
      <c r="J301" s="1">
        <v>33.659999999999997</v>
      </c>
      <c r="K301" s="1">
        <v>1961</v>
      </c>
      <c r="L301" s="1">
        <v>2018</v>
      </c>
      <c r="M301" s="1">
        <f t="shared" si="4"/>
        <v>58</v>
      </c>
      <c r="N301" s="1" t="s">
        <v>30</v>
      </c>
      <c r="O301" s="1" t="s">
        <v>199</v>
      </c>
      <c r="P301" s="1" t="s">
        <v>1014</v>
      </c>
      <c r="Q301" s="1" t="s">
        <v>110</v>
      </c>
      <c r="R301" s="1" t="s">
        <v>29</v>
      </c>
      <c r="S301" s="1" t="s">
        <v>608</v>
      </c>
      <c r="T301" s="1" t="s">
        <v>40</v>
      </c>
      <c r="U301" s="1" t="s">
        <v>54</v>
      </c>
      <c r="V301" s="1">
        <f>((-0.31+(-0.2))*10)/2</f>
        <v>-2.5499999999999998</v>
      </c>
      <c r="Y301" s="1" t="s">
        <v>694</v>
      </c>
      <c r="Z301" s="1" t="s">
        <v>609</v>
      </c>
      <c r="AA301" s="1" t="s">
        <v>606</v>
      </c>
      <c r="AB301" s="1" t="s">
        <v>1861</v>
      </c>
      <c r="AC301" s="1" t="s">
        <v>130</v>
      </c>
      <c r="AD301" s="1" t="s">
        <v>60</v>
      </c>
    </row>
    <row r="302" spans="1:30">
      <c r="A302" s="1" t="s">
        <v>1329</v>
      </c>
      <c r="B302" s="1" t="s">
        <v>604</v>
      </c>
      <c r="C302" s="60">
        <v>45870</v>
      </c>
      <c r="D302" s="1" t="s">
        <v>130</v>
      </c>
      <c r="E302" s="1" t="s">
        <v>74</v>
      </c>
      <c r="F302" s="1">
        <v>2021</v>
      </c>
      <c r="G302" s="1" t="s">
        <v>605</v>
      </c>
      <c r="H302" s="1" t="s">
        <v>147</v>
      </c>
      <c r="I302" s="1">
        <v>66.33</v>
      </c>
      <c r="J302" s="1">
        <v>33.659999999999997</v>
      </c>
      <c r="K302" s="1">
        <v>1961</v>
      </c>
      <c r="L302" s="1">
        <v>2018</v>
      </c>
      <c r="M302" s="1">
        <f t="shared" si="4"/>
        <v>58</v>
      </c>
      <c r="N302" s="1" t="s">
        <v>30</v>
      </c>
      <c r="O302" s="1" t="s">
        <v>199</v>
      </c>
      <c r="P302" s="1" t="s">
        <v>1014</v>
      </c>
      <c r="Q302" s="1" t="s">
        <v>109</v>
      </c>
      <c r="R302" s="1" t="s">
        <v>29</v>
      </c>
      <c r="S302" s="1" t="s">
        <v>608</v>
      </c>
      <c r="T302" s="1" t="s">
        <v>40</v>
      </c>
      <c r="U302" s="1" t="s">
        <v>54</v>
      </c>
      <c r="V302" s="1">
        <f>((0.07+(-0.34))*10)/2</f>
        <v>-1.35</v>
      </c>
      <c r="Y302" s="1" t="s">
        <v>694</v>
      </c>
      <c r="Z302" s="1" t="s">
        <v>609</v>
      </c>
      <c r="AA302" s="1" t="s">
        <v>606</v>
      </c>
      <c r="AB302" s="1" t="s">
        <v>1861</v>
      </c>
      <c r="AC302" s="1" t="s">
        <v>130</v>
      </c>
      <c r="AD302" s="1" t="s">
        <v>60</v>
      </c>
    </row>
    <row r="303" spans="1:30">
      <c r="A303" s="1" t="s">
        <v>1329</v>
      </c>
      <c r="B303" s="1" t="s">
        <v>604</v>
      </c>
      <c r="C303" s="60">
        <v>45870</v>
      </c>
      <c r="D303" s="1" t="s">
        <v>130</v>
      </c>
      <c r="E303" s="1" t="s">
        <v>74</v>
      </c>
      <c r="F303" s="1">
        <v>2021</v>
      </c>
      <c r="G303" s="1" t="s">
        <v>605</v>
      </c>
      <c r="H303" s="1" t="s">
        <v>147</v>
      </c>
      <c r="I303" s="1">
        <v>66.33</v>
      </c>
      <c r="J303" s="1">
        <v>33.659999999999997</v>
      </c>
      <c r="K303" s="1">
        <v>1961</v>
      </c>
      <c r="L303" s="1">
        <v>2018</v>
      </c>
      <c r="M303" s="1">
        <f t="shared" si="4"/>
        <v>58</v>
      </c>
      <c r="N303" s="1" t="s">
        <v>30</v>
      </c>
      <c r="O303" s="1" t="s">
        <v>199</v>
      </c>
      <c r="P303" s="1" t="s">
        <v>1015</v>
      </c>
      <c r="Q303" s="1" t="s">
        <v>115</v>
      </c>
      <c r="R303" s="1" t="s">
        <v>29</v>
      </c>
      <c r="S303" s="1" t="s">
        <v>608</v>
      </c>
      <c r="T303" s="1" t="s">
        <v>40</v>
      </c>
      <c r="U303" s="1" t="s">
        <v>607</v>
      </c>
      <c r="V303" s="1">
        <f>((-0.16+(0.17))*10)/2</f>
        <v>5.0000000000000044E-2</v>
      </c>
      <c r="Y303" s="1" t="s">
        <v>41</v>
      </c>
      <c r="Z303" s="1" t="s">
        <v>609</v>
      </c>
      <c r="AA303" s="1" t="s">
        <v>606</v>
      </c>
      <c r="AB303" s="1" t="s">
        <v>1861</v>
      </c>
      <c r="AC303" s="1" t="s">
        <v>130</v>
      </c>
      <c r="AD303" s="1" t="s">
        <v>60</v>
      </c>
    </row>
    <row r="304" spans="1:30">
      <c r="A304" s="1" t="s">
        <v>1329</v>
      </c>
      <c r="B304" s="1" t="s">
        <v>604</v>
      </c>
      <c r="C304" s="60">
        <v>45870</v>
      </c>
      <c r="D304" s="1" t="s">
        <v>130</v>
      </c>
      <c r="E304" s="1" t="s">
        <v>74</v>
      </c>
      <c r="F304" s="1">
        <v>2021</v>
      </c>
      <c r="G304" s="1" t="s">
        <v>605</v>
      </c>
      <c r="H304" s="1" t="s">
        <v>147</v>
      </c>
      <c r="I304" s="1">
        <v>66.33</v>
      </c>
      <c r="J304" s="1">
        <v>33.659999999999997</v>
      </c>
      <c r="K304" s="1">
        <v>1961</v>
      </c>
      <c r="L304" s="1">
        <v>2018</v>
      </c>
      <c r="M304" s="1">
        <f t="shared" si="4"/>
        <v>58</v>
      </c>
      <c r="N304" s="1" t="s">
        <v>30</v>
      </c>
      <c r="O304" s="1" t="s">
        <v>199</v>
      </c>
      <c r="P304" s="1" t="s">
        <v>1015</v>
      </c>
      <c r="Q304" s="1" t="s">
        <v>114</v>
      </c>
      <c r="R304" s="1" t="s">
        <v>29</v>
      </c>
      <c r="S304" s="1" t="s">
        <v>608</v>
      </c>
      <c r="T304" s="1" t="s">
        <v>40</v>
      </c>
      <c r="U304" s="1" t="s">
        <v>53</v>
      </c>
      <c r="V304" s="1">
        <f>((-0.39+(-0.28))*10)/2</f>
        <v>-3.35</v>
      </c>
      <c r="Y304" s="1" t="s">
        <v>694</v>
      </c>
      <c r="Z304" s="1" t="s">
        <v>609</v>
      </c>
      <c r="AA304" s="1" t="s">
        <v>606</v>
      </c>
      <c r="AB304" s="1" t="s">
        <v>1861</v>
      </c>
      <c r="AC304" s="1" t="s">
        <v>130</v>
      </c>
      <c r="AD304" s="1" t="s">
        <v>60</v>
      </c>
    </row>
    <row r="305" spans="1:31">
      <c r="A305" s="1" t="s">
        <v>869</v>
      </c>
      <c r="C305" s="60">
        <v>45877</v>
      </c>
      <c r="D305" s="1" t="s">
        <v>130</v>
      </c>
      <c r="E305" s="1" t="s">
        <v>909</v>
      </c>
      <c r="F305" s="1">
        <v>2021</v>
      </c>
      <c r="G305" s="1" t="s">
        <v>870</v>
      </c>
      <c r="H305" s="1" t="s">
        <v>147</v>
      </c>
      <c r="I305" s="1">
        <v>53.75</v>
      </c>
      <c r="J305" s="1">
        <v>-4.75</v>
      </c>
      <c r="K305" s="1">
        <v>1982</v>
      </c>
      <c r="L305" s="1">
        <v>2010</v>
      </c>
      <c r="M305" s="1">
        <v>29</v>
      </c>
      <c r="N305" s="1" t="s">
        <v>871</v>
      </c>
      <c r="O305" s="1" t="s">
        <v>205</v>
      </c>
      <c r="P305" s="1" t="s">
        <v>964</v>
      </c>
      <c r="Q305" s="1" t="s">
        <v>873</v>
      </c>
      <c r="R305" s="1" t="s">
        <v>636</v>
      </c>
      <c r="T305" s="1">
        <v>121.9</v>
      </c>
      <c r="U305" s="1" t="s">
        <v>52</v>
      </c>
      <c r="V305" s="1">
        <v>-11.9375</v>
      </c>
      <c r="Y305" s="1" t="s">
        <v>694</v>
      </c>
      <c r="Z305" s="1" t="s">
        <v>875</v>
      </c>
      <c r="AA305" s="1" t="s">
        <v>876</v>
      </c>
      <c r="AB305" s="1" t="s">
        <v>877</v>
      </c>
      <c r="AC305" s="1" t="s">
        <v>130</v>
      </c>
      <c r="AD305" s="1" t="s">
        <v>878</v>
      </c>
      <c r="AE305" s="1" t="s">
        <v>778</v>
      </c>
    </row>
    <row r="306" spans="1:31">
      <c r="A306" s="1" t="s">
        <v>1900</v>
      </c>
      <c r="B306" s="47" t="s">
        <v>1899</v>
      </c>
      <c r="D306" s="1" t="s">
        <v>130</v>
      </c>
      <c r="E306" s="1" t="s">
        <v>74</v>
      </c>
      <c r="F306" s="1">
        <v>2021</v>
      </c>
      <c r="G306" s="64" t="s">
        <v>2002</v>
      </c>
      <c r="H306" s="1" t="s">
        <v>147</v>
      </c>
      <c r="I306" s="61"/>
      <c r="J306" s="61"/>
      <c r="K306" s="61">
        <v>1998</v>
      </c>
      <c r="L306" s="61">
        <v>2020</v>
      </c>
      <c r="M306" s="61">
        <f t="shared" ref="M306:M322" si="5">L306-K306+1</f>
        <v>23</v>
      </c>
      <c r="N306" s="1" t="s">
        <v>623</v>
      </c>
      <c r="O306" s="1" t="s">
        <v>152</v>
      </c>
      <c r="Q306" s="1" t="s">
        <v>1345</v>
      </c>
      <c r="R306" s="1" t="s">
        <v>1994</v>
      </c>
      <c r="V306" s="1">
        <v>-15.5</v>
      </c>
      <c r="Y306" s="1" t="s">
        <v>694</v>
      </c>
      <c r="AB306" s="1" t="s">
        <v>2004</v>
      </c>
    </row>
    <row r="307" spans="1:31">
      <c r="A307" s="1" t="s">
        <v>1896</v>
      </c>
      <c r="B307" s="47" t="s">
        <v>2069</v>
      </c>
      <c r="D307" s="1" t="s">
        <v>44</v>
      </c>
      <c r="E307" s="1" t="s">
        <v>74</v>
      </c>
      <c r="F307" s="1">
        <v>2021</v>
      </c>
      <c r="G307" s="1" t="s">
        <v>1989</v>
      </c>
      <c r="H307" s="1" t="s">
        <v>147</v>
      </c>
      <c r="I307" s="61"/>
      <c r="J307" s="61"/>
      <c r="K307" s="61">
        <v>1998</v>
      </c>
      <c r="L307" s="61">
        <v>2018</v>
      </c>
      <c r="M307" s="61">
        <f t="shared" si="5"/>
        <v>21</v>
      </c>
      <c r="N307" s="1" t="s">
        <v>623</v>
      </c>
      <c r="O307" s="1" t="s">
        <v>152</v>
      </c>
      <c r="Q307" s="1" t="s">
        <v>1345</v>
      </c>
      <c r="R307" s="1" t="s">
        <v>1994</v>
      </c>
      <c r="V307" s="1">
        <v>12.5</v>
      </c>
      <c r="Y307" s="1" t="s">
        <v>41</v>
      </c>
      <c r="AB307" s="1" t="s">
        <v>2070</v>
      </c>
      <c r="AC307" s="1" t="s">
        <v>1995</v>
      </c>
      <c r="AD307" s="1" t="s">
        <v>1996</v>
      </c>
    </row>
    <row r="308" spans="1:31">
      <c r="A308" s="1" t="s">
        <v>1896</v>
      </c>
      <c r="B308" s="1" t="s">
        <v>1895</v>
      </c>
      <c r="D308" s="1" t="s">
        <v>44</v>
      </c>
      <c r="E308" s="1" t="s">
        <v>74</v>
      </c>
      <c r="F308" s="1">
        <v>2021</v>
      </c>
      <c r="G308" s="1" t="s">
        <v>1990</v>
      </c>
      <c r="H308" s="1" t="s">
        <v>147</v>
      </c>
      <c r="I308" s="61"/>
      <c r="J308" s="61"/>
      <c r="K308" s="61">
        <v>1998</v>
      </c>
      <c r="L308" s="61">
        <v>2018</v>
      </c>
      <c r="M308" s="61">
        <f t="shared" si="5"/>
        <v>21</v>
      </c>
      <c r="N308" s="1" t="s">
        <v>623</v>
      </c>
      <c r="O308" s="1" t="s">
        <v>152</v>
      </c>
      <c r="Q308" s="1" t="s">
        <v>1345</v>
      </c>
      <c r="R308" s="1" t="s">
        <v>1994</v>
      </c>
      <c r="V308" s="1">
        <v>9.5</v>
      </c>
      <c r="Y308" s="1" t="s">
        <v>41</v>
      </c>
      <c r="AB308" s="1" t="s">
        <v>2070</v>
      </c>
    </row>
    <row r="309" spans="1:31">
      <c r="A309" s="1" t="s">
        <v>1896</v>
      </c>
      <c r="B309" s="1" t="s">
        <v>1895</v>
      </c>
      <c r="D309" s="1" t="s">
        <v>44</v>
      </c>
      <c r="E309" s="1" t="s">
        <v>74</v>
      </c>
      <c r="F309" s="1">
        <v>2021</v>
      </c>
      <c r="G309" s="1" t="s">
        <v>1991</v>
      </c>
      <c r="H309" s="1" t="s">
        <v>147</v>
      </c>
      <c r="I309" s="61"/>
      <c r="J309" s="61"/>
      <c r="K309" s="61">
        <v>1998</v>
      </c>
      <c r="L309" s="61">
        <v>2018</v>
      </c>
      <c r="M309" s="61">
        <f t="shared" si="5"/>
        <v>21</v>
      </c>
      <c r="N309" s="1" t="s">
        <v>623</v>
      </c>
      <c r="O309" s="1" t="s">
        <v>152</v>
      </c>
      <c r="Q309" s="1" t="s">
        <v>1345</v>
      </c>
      <c r="R309" s="1" t="s">
        <v>1994</v>
      </c>
      <c r="V309" s="1">
        <v>30.4</v>
      </c>
      <c r="Y309" s="1" t="s">
        <v>41</v>
      </c>
      <c r="AB309" s="1" t="s">
        <v>2070</v>
      </c>
    </row>
    <row r="310" spans="1:31">
      <c r="A310" s="1" t="s">
        <v>1896</v>
      </c>
      <c r="B310" s="1" t="s">
        <v>1895</v>
      </c>
      <c r="D310" s="1" t="s">
        <v>44</v>
      </c>
      <c r="E310" s="1" t="s">
        <v>74</v>
      </c>
      <c r="F310" s="1">
        <v>2021</v>
      </c>
      <c r="G310" s="1" t="s">
        <v>1992</v>
      </c>
      <c r="H310" s="1" t="s">
        <v>147</v>
      </c>
      <c r="I310" s="61"/>
      <c r="J310" s="61"/>
      <c r="K310" s="61">
        <v>1998</v>
      </c>
      <c r="L310" s="61">
        <v>2018</v>
      </c>
      <c r="M310" s="61">
        <f t="shared" si="5"/>
        <v>21</v>
      </c>
      <c r="N310" s="1" t="s">
        <v>623</v>
      </c>
      <c r="O310" s="1" t="s">
        <v>152</v>
      </c>
      <c r="Q310" s="1" t="s">
        <v>1345</v>
      </c>
      <c r="R310" s="1" t="s">
        <v>1994</v>
      </c>
      <c r="V310" s="1">
        <v>30.3</v>
      </c>
      <c r="Y310" s="1" t="s">
        <v>41</v>
      </c>
      <c r="AB310" s="1" t="s">
        <v>2070</v>
      </c>
    </row>
    <row r="311" spans="1:31">
      <c r="A311" s="1" t="s">
        <v>1896</v>
      </c>
      <c r="B311" s="1" t="s">
        <v>1895</v>
      </c>
      <c r="D311" s="1" t="s">
        <v>44</v>
      </c>
      <c r="E311" s="1" t="s">
        <v>74</v>
      </c>
      <c r="F311" s="1">
        <v>2021</v>
      </c>
      <c r="G311" s="1" t="s">
        <v>1993</v>
      </c>
      <c r="H311" s="1" t="s">
        <v>147</v>
      </c>
      <c r="I311" s="61"/>
      <c r="J311" s="61"/>
      <c r="K311" s="61">
        <v>1998</v>
      </c>
      <c r="L311" s="61">
        <v>2018</v>
      </c>
      <c r="M311" s="61">
        <f t="shared" si="5"/>
        <v>21</v>
      </c>
      <c r="N311" s="1" t="s">
        <v>623</v>
      </c>
      <c r="O311" s="1" t="s">
        <v>152</v>
      </c>
      <c r="Q311" s="1" t="s">
        <v>1345</v>
      </c>
      <c r="R311" s="1" t="s">
        <v>1994</v>
      </c>
      <c r="V311" s="1">
        <v>36.6</v>
      </c>
      <c r="Y311" s="1" t="s">
        <v>41</v>
      </c>
      <c r="AB311" s="1" t="s">
        <v>2070</v>
      </c>
    </row>
    <row r="312" spans="1:31">
      <c r="A312" s="1" t="s">
        <v>1900</v>
      </c>
      <c r="B312" s="1" t="s">
        <v>1899</v>
      </c>
      <c r="D312" s="1" t="s">
        <v>44</v>
      </c>
      <c r="E312" s="1" t="s">
        <v>74</v>
      </c>
      <c r="F312" s="1">
        <v>2021</v>
      </c>
      <c r="G312" s="64" t="s">
        <v>2002</v>
      </c>
      <c r="H312" s="1" t="s">
        <v>147</v>
      </c>
      <c r="I312" s="61"/>
      <c r="J312" s="61"/>
      <c r="K312" s="61">
        <v>1998</v>
      </c>
      <c r="L312" s="61">
        <v>2020</v>
      </c>
      <c r="M312" s="61">
        <f t="shared" si="5"/>
        <v>23</v>
      </c>
      <c r="N312" s="1" t="s">
        <v>623</v>
      </c>
      <c r="O312" s="1" t="s">
        <v>152</v>
      </c>
      <c r="Q312" s="1" t="s">
        <v>1345</v>
      </c>
      <c r="R312" s="1" t="s">
        <v>2003</v>
      </c>
      <c r="AB312" s="1" t="s">
        <v>2005</v>
      </c>
      <c r="AE312" s="1" t="s">
        <v>2073</v>
      </c>
    </row>
    <row r="313" spans="1:31">
      <c r="A313" s="1" t="s">
        <v>879</v>
      </c>
      <c r="B313" s="1" t="s">
        <v>963</v>
      </c>
      <c r="C313" s="60">
        <v>45877</v>
      </c>
      <c r="D313" s="1" t="s">
        <v>130</v>
      </c>
      <c r="E313" s="1" t="s">
        <v>751</v>
      </c>
      <c r="F313" s="1">
        <v>2020</v>
      </c>
      <c r="G313" s="1" t="s">
        <v>880</v>
      </c>
      <c r="H313" s="1" t="s">
        <v>27</v>
      </c>
      <c r="I313" s="1">
        <v>34.6</v>
      </c>
      <c r="J313" s="1">
        <v>-77.2</v>
      </c>
      <c r="K313" s="1">
        <v>1986</v>
      </c>
      <c r="L313" s="1">
        <v>2013</v>
      </c>
      <c r="M313" s="1">
        <f t="shared" si="5"/>
        <v>28</v>
      </c>
      <c r="N313" s="1" t="s">
        <v>30</v>
      </c>
      <c r="O313" s="1" t="s">
        <v>205</v>
      </c>
      <c r="P313" s="1" t="s">
        <v>788</v>
      </c>
      <c r="Q313" s="1" t="s">
        <v>882</v>
      </c>
      <c r="R313" s="1" t="s">
        <v>863</v>
      </c>
      <c r="S313" s="1" t="s">
        <v>71</v>
      </c>
      <c r="U313" s="1" t="s">
        <v>55</v>
      </c>
      <c r="V313" s="1">
        <v>-0.1</v>
      </c>
      <c r="Y313" s="1" t="s">
        <v>694</v>
      </c>
      <c r="Z313" s="1" t="s">
        <v>883</v>
      </c>
      <c r="AA313" s="1" t="s">
        <v>884</v>
      </c>
      <c r="AB313" s="1" t="s">
        <v>885</v>
      </c>
      <c r="AC313" s="1" t="s">
        <v>130</v>
      </c>
      <c r="AD313" s="1" t="s">
        <v>886</v>
      </c>
      <c r="AE313" s="1" t="s">
        <v>778</v>
      </c>
    </row>
    <row r="314" spans="1:31">
      <c r="A314" s="1" t="s">
        <v>879</v>
      </c>
      <c r="B314" s="1" t="s">
        <v>963</v>
      </c>
      <c r="C314" s="60">
        <v>45877</v>
      </c>
      <c r="D314" s="1" t="s">
        <v>130</v>
      </c>
      <c r="E314" s="1" t="s">
        <v>751</v>
      </c>
      <c r="F314" s="1">
        <v>2020</v>
      </c>
      <c r="G314" s="1" t="s">
        <v>880</v>
      </c>
      <c r="H314" s="1" t="s">
        <v>27</v>
      </c>
      <c r="I314" s="1">
        <v>34.6</v>
      </c>
      <c r="J314" s="1">
        <v>-77.2</v>
      </c>
      <c r="K314" s="1">
        <v>1986</v>
      </c>
      <c r="L314" s="1">
        <v>2013</v>
      </c>
      <c r="M314" s="1">
        <f t="shared" si="5"/>
        <v>28</v>
      </c>
      <c r="N314" s="1" t="s">
        <v>30</v>
      </c>
      <c r="O314" s="1" t="s">
        <v>205</v>
      </c>
      <c r="P314" s="1" t="s">
        <v>788</v>
      </c>
      <c r="Q314" s="1" t="s">
        <v>888</v>
      </c>
      <c r="R314" s="1" t="s">
        <v>863</v>
      </c>
      <c r="S314" s="1" t="s">
        <v>71</v>
      </c>
      <c r="U314" s="1" t="s">
        <v>55</v>
      </c>
      <c r="V314" s="1">
        <v>-10.9</v>
      </c>
      <c r="Y314" s="1" t="s">
        <v>694</v>
      </c>
      <c r="Z314" s="1" t="s">
        <v>883</v>
      </c>
      <c r="AA314" s="1" t="s">
        <v>884</v>
      </c>
      <c r="AB314" s="1" t="s">
        <v>885</v>
      </c>
      <c r="AC314" s="1" t="s">
        <v>130</v>
      </c>
      <c r="AD314" s="1" t="s">
        <v>886</v>
      </c>
      <c r="AE314" s="1" t="s">
        <v>778</v>
      </c>
    </row>
    <row r="315" spans="1:31">
      <c r="A315" s="1" t="s">
        <v>879</v>
      </c>
      <c r="B315" s="1" t="s">
        <v>963</v>
      </c>
      <c r="C315" s="60">
        <v>45877</v>
      </c>
      <c r="D315" s="1" t="s">
        <v>130</v>
      </c>
      <c r="E315" s="1" t="s">
        <v>751</v>
      </c>
      <c r="F315" s="1">
        <v>2020</v>
      </c>
      <c r="G315" s="1" t="s">
        <v>880</v>
      </c>
      <c r="H315" s="1" t="s">
        <v>27</v>
      </c>
      <c r="I315" s="1">
        <v>34.6</v>
      </c>
      <c r="J315" s="1">
        <v>-77.2</v>
      </c>
      <c r="K315" s="1">
        <v>1986</v>
      </c>
      <c r="L315" s="1">
        <v>2013</v>
      </c>
      <c r="M315" s="1">
        <f t="shared" si="5"/>
        <v>28</v>
      </c>
      <c r="N315" s="1" t="s">
        <v>30</v>
      </c>
      <c r="O315" s="1" t="s">
        <v>205</v>
      </c>
      <c r="P315" s="1" t="s">
        <v>788</v>
      </c>
      <c r="Q315" s="1" t="s">
        <v>890</v>
      </c>
      <c r="R315" s="1" t="s">
        <v>863</v>
      </c>
      <c r="S315" s="1" t="s">
        <v>71</v>
      </c>
      <c r="U315" s="1" t="s">
        <v>55</v>
      </c>
      <c r="V315" s="1">
        <v>-1.5</v>
      </c>
      <c r="Y315" s="1" t="s">
        <v>694</v>
      </c>
      <c r="Z315" s="1" t="s">
        <v>883</v>
      </c>
      <c r="AA315" s="1" t="s">
        <v>884</v>
      </c>
      <c r="AB315" s="1" t="s">
        <v>885</v>
      </c>
      <c r="AC315" s="1" t="s">
        <v>130</v>
      </c>
      <c r="AD315" s="1" t="s">
        <v>886</v>
      </c>
      <c r="AE315" s="1" t="s">
        <v>778</v>
      </c>
    </row>
    <row r="316" spans="1:31">
      <c r="A316" s="1" t="s">
        <v>879</v>
      </c>
      <c r="B316" s="1" t="s">
        <v>963</v>
      </c>
      <c r="C316" s="60">
        <v>45877</v>
      </c>
      <c r="D316" s="1" t="s">
        <v>130</v>
      </c>
      <c r="E316" s="1" t="s">
        <v>751</v>
      </c>
      <c r="F316" s="1">
        <v>2020</v>
      </c>
      <c r="G316" s="1" t="s">
        <v>880</v>
      </c>
      <c r="H316" s="1" t="s">
        <v>27</v>
      </c>
      <c r="I316" s="1">
        <v>34.6</v>
      </c>
      <c r="J316" s="1">
        <v>-77.2</v>
      </c>
      <c r="K316" s="1">
        <v>1986</v>
      </c>
      <c r="L316" s="1">
        <v>2013</v>
      </c>
      <c r="M316" s="1">
        <f t="shared" si="5"/>
        <v>28</v>
      </c>
      <c r="N316" s="1" t="s">
        <v>30</v>
      </c>
      <c r="O316" s="1" t="s">
        <v>205</v>
      </c>
      <c r="P316" s="1" t="s">
        <v>788</v>
      </c>
      <c r="Q316" s="1" t="s">
        <v>892</v>
      </c>
      <c r="R316" s="1" t="s">
        <v>863</v>
      </c>
      <c r="S316" s="1" t="s">
        <v>71</v>
      </c>
      <c r="U316" s="1" t="s">
        <v>55</v>
      </c>
      <c r="V316" s="1">
        <v>-2.1</v>
      </c>
      <c r="Y316" s="1" t="s">
        <v>694</v>
      </c>
      <c r="Z316" s="1" t="s">
        <v>883</v>
      </c>
      <c r="AA316" s="1" t="s">
        <v>884</v>
      </c>
      <c r="AB316" s="1" t="s">
        <v>885</v>
      </c>
      <c r="AC316" s="1" t="s">
        <v>130</v>
      </c>
      <c r="AD316" s="1" t="s">
        <v>886</v>
      </c>
      <c r="AE316" s="1" t="s">
        <v>778</v>
      </c>
    </row>
    <row r="317" spans="1:31">
      <c r="A317" s="1" t="s">
        <v>879</v>
      </c>
      <c r="B317" s="1" t="s">
        <v>963</v>
      </c>
      <c r="C317" s="60">
        <v>45877</v>
      </c>
      <c r="D317" s="1" t="s">
        <v>130</v>
      </c>
      <c r="E317" s="1" t="s">
        <v>751</v>
      </c>
      <c r="F317" s="1">
        <v>2020</v>
      </c>
      <c r="G317" s="1" t="s">
        <v>880</v>
      </c>
      <c r="H317" s="1" t="s">
        <v>27</v>
      </c>
      <c r="I317" s="1">
        <v>34.6</v>
      </c>
      <c r="J317" s="1">
        <v>-77.2</v>
      </c>
      <c r="K317" s="1">
        <v>1986</v>
      </c>
      <c r="L317" s="1">
        <v>2013</v>
      </c>
      <c r="M317" s="1">
        <f t="shared" si="5"/>
        <v>28</v>
      </c>
      <c r="N317" s="1" t="s">
        <v>30</v>
      </c>
      <c r="O317" s="1" t="s">
        <v>205</v>
      </c>
      <c r="P317" s="1" t="s">
        <v>788</v>
      </c>
      <c r="Q317" s="1" t="s">
        <v>894</v>
      </c>
      <c r="R317" s="1" t="s">
        <v>863</v>
      </c>
      <c r="S317" s="1" t="s">
        <v>71</v>
      </c>
      <c r="U317" s="1" t="s">
        <v>55</v>
      </c>
      <c r="V317" s="1">
        <v>-9.1</v>
      </c>
      <c r="Y317" s="1" t="s">
        <v>694</v>
      </c>
      <c r="Z317" s="1" t="s">
        <v>883</v>
      </c>
      <c r="AA317" s="1" t="s">
        <v>884</v>
      </c>
      <c r="AB317" s="1" t="s">
        <v>885</v>
      </c>
      <c r="AC317" s="1" t="s">
        <v>130</v>
      </c>
      <c r="AD317" s="1" t="s">
        <v>886</v>
      </c>
      <c r="AE317" s="1" t="s">
        <v>778</v>
      </c>
    </row>
    <row r="318" spans="1:31">
      <c r="A318" s="1" t="s">
        <v>879</v>
      </c>
      <c r="B318" s="1" t="s">
        <v>963</v>
      </c>
      <c r="C318" s="60">
        <v>45877</v>
      </c>
      <c r="D318" s="1" t="s">
        <v>130</v>
      </c>
      <c r="E318" s="1" t="s">
        <v>751</v>
      </c>
      <c r="F318" s="1">
        <v>2020</v>
      </c>
      <c r="G318" s="1" t="s">
        <v>880</v>
      </c>
      <c r="H318" s="1" t="s">
        <v>27</v>
      </c>
      <c r="I318" s="1">
        <v>34.6</v>
      </c>
      <c r="J318" s="1">
        <v>-77.2</v>
      </c>
      <c r="K318" s="1">
        <v>1986</v>
      </c>
      <c r="L318" s="1">
        <v>2013</v>
      </c>
      <c r="M318" s="1">
        <f t="shared" si="5"/>
        <v>28</v>
      </c>
      <c r="N318" s="1" t="s">
        <v>30</v>
      </c>
      <c r="O318" s="1" t="s">
        <v>205</v>
      </c>
      <c r="P318" s="1" t="s">
        <v>788</v>
      </c>
      <c r="Q318" s="1" t="s">
        <v>896</v>
      </c>
      <c r="R318" s="1" t="s">
        <v>863</v>
      </c>
      <c r="S318" s="1" t="s">
        <v>71</v>
      </c>
      <c r="U318" s="1" t="s">
        <v>55</v>
      </c>
      <c r="V318" s="1">
        <v>-14.5</v>
      </c>
      <c r="Y318" s="1" t="s">
        <v>694</v>
      </c>
      <c r="Z318" s="1" t="s">
        <v>883</v>
      </c>
      <c r="AA318" s="1" t="s">
        <v>884</v>
      </c>
      <c r="AB318" s="1" t="s">
        <v>885</v>
      </c>
      <c r="AC318" s="1" t="s">
        <v>130</v>
      </c>
      <c r="AD318" s="1" t="s">
        <v>886</v>
      </c>
      <c r="AE318" s="1" t="s">
        <v>778</v>
      </c>
    </row>
    <row r="319" spans="1:31">
      <c r="A319" s="1" t="s">
        <v>879</v>
      </c>
      <c r="B319" s="1" t="s">
        <v>963</v>
      </c>
      <c r="C319" s="60">
        <v>45877</v>
      </c>
      <c r="D319" s="1" t="s">
        <v>130</v>
      </c>
      <c r="E319" s="1" t="s">
        <v>751</v>
      </c>
      <c r="F319" s="1">
        <v>2020</v>
      </c>
      <c r="G319" s="1" t="s">
        <v>880</v>
      </c>
      <c r="H319" s="1" t="s">
        <v>27</v>
      </c>
      <c r="I319" s="1">
        <v>34.6</v>
      </c>
      <c r="J319" s="1">
        <v>-77.2</v>
      </c>
      <c r="K319" s="1">
        <v>1986</v>
      </c>
      <c r="L319" s="1">
        <v>2013</v>
      </c>
      <c r="M319" s="1">
        <f t="shared" si="5"/>
        <v>28</v>
      </c>
      <c r="N319" s="1" t="s">
        <v>30</v>
      </c>
      <c r="O319" s="1" t="s">
        <v>205</v>
      </c>
      <c r="P319" s="1" t="s">
        <v>788</v>
      </c>
      <c r="Q319" s="1" t="s">
        <v>898</v>
      </c>
      <c r="R319" s="1" t="s">
        <v>863</v>
      </c>
      <c r="S319" s="1" t="s">
        <v>71</v>
      </c>
      <c r="U319" s="1" t="s">
        <v>55</v>
      </c>
      <c r="V319" s="1">
        <v>-14.399999999999999</v>
      </c>
      <c r="Y319" s="1" t="s">
        <v>694</v>
      </c>
      <c r="Z319" s="1" t="s">
        <v>883</v>
      </c>
      <c r="AA319" s="1" t="s">
        <v>884</v>
      </c>
      <c r="AB319" s="1" t="s">
        <v>885</v>
      </c>
      <c r="AC319" s="1" t="s">
        <v>130</v>
      </c>
      <c r="AD319" s="1" t="s">
        <v>886</v>
      </c>
      <c r="AE319" s="1" t="s">
        <v>778</v>
      </c>
    </row>
    <row r="320" spans="1:31">
      <c r="A320" s="1" t="s">
        <v>879</v>
      </c>
      <c r="B320" s="1" t="s">
        <v>963</v>
      </c>
      <c r="C320" s="60">
        <v>45877</v>
      </c>
      <c r="D320" s="1" t="s">
        <v>130</v>
      </c>
      <c r="E320" s="1" t="s">
        <v>751</v>
      </c>
      <c r="F320" s="1">
        <v>2020</v>
      </c>
      <c r="G320" s="1" t="s">
        <v>880</v>
      </c>
      <c r="H320" s="1" t="s">
        <v>27</v>
      </c>
      <c r="I320" s="1">
        <v>34.6</v>
      </c>
      <c r="J320" s="1">
        <v>-77.2</v>
      </c>
      <c r="K320" s="1">
        <v>1986</v>
      </c>
      <c r="L320" s="1">
        <v>2013</v>
      </c>
      <c r="M320" s="1">
        <f t="shared" si="5"/>
        <v>28</v>
      </c>
      <c r="N320" s="1" t="s">
        <v>30</v>
      </c>
      <c r="O320" s="1" t="s">
        <v>205</v>
      </c>
      <c r="P320" s="1" t="s">
        <v>788</v>
      </c>
      <c r="Q320" s="1" t="s">
        <v>900</v>
      </c>
      <c r="R320" s="1" t="s">
        <v>863</v>
      </c>
      <c r="S320" s="1" t="s">
        <v>71</v>
      </c>
      <c r="U320" s="1" t="s">
        <v>55</v>
      </c>
      <c r="V320" s="1">
        <v>-13.899999999999999</v>
      </c>
      <c r="Y320" s="1" t="s">
        <v>694</v>
      </c>
      <c r="Z320" s="1" t="s">
        <v>883</v>
      </c>
      <c r="AA320" s="1" t="s">
        <v>884</v>
      </c>
      <c r="AB320" s="1" t="s">
        <v>885</v>
      </c>
      <c r="AC320" s="1" t="s">
        <v>130</v>
      </c>
      <c r="AD320" s="1" t="s">
        <v>886</v>
      </c>
      <c r="AE320" s="1" t="s">
        <v>778</v>
      </c>
    </row>
    <row r="321" spans="1:31">
      <c r="A321" s="1" t="s">
        <v>879</v>
      </c>
      <c r="B321" s="1" t="s">
        <v>963</v>
      </c>
      <c r="C321" s="60">
        <v>45877</v>
      </c>
      <c r="D321" s="1" t="s">
        <v>130</v>
      </c>
      <c r="E321" s="1" t="s">
        <v>751</v>
      </c>
      <c r="F321" s="1">
        <v>2020</v>
      </c>
      <c r="G321" s="1" t="s">
        <v>880</v>
      </c>
      <c r="H321" s="1" t="s">
        <v>27</v>
      </c>
      <c r="I321" s="1">
        <v>34.6</v>
      </c>
      <c r="J321" s="1">
        <v>-77.2</v>
      </c>
      <c r="K321" s="1">
        <v>1986</v>
      </c>
      <c r="L321" s="1">
        <v>2013</v>
      </c>
      <c r="M321" s="1">
        <f t="shared" si="5"/>
        <v>28</v>
      </c>
      <c r="N321" s="1" t="s">
        <v>30</v>
      </c>
      <c r="O321" s="1" t="s">
        <v>205</v>
      </c>
      <c r="P321" s="1" t="s">
        <v>788</v>
      </c>
      <c r="Q321" s="1" t="s">
        <v>902</v>
      </c>
      <c r="R321" s="1" t="s">
        <v>863</v>
      </c>
      <c r="S321" s="1" t="s">
        <v>71</v>
      </c>
      <c r="U321" s="1" t="s">
        <v>55</v>
      </c>
      <c r="V321" s="1">
        <v>-4.2</v>
      </c>
      <c r="Y321" s="1" t="s">
        <v>694</v>
      </c>
      <c r="Z321" s="1" t="s">
        <v>883</v>
      </c>
      <c r="AA321" s="1" t="s">
        <v>884</v>
      </c>
      <c r="AB321" s="1" t="s">
        <v>885</v>
      </c>
      <c r="AC321" s="1" t="s">
        <v>130</v>
      </c>
      <c r="AD321" s="1" t="s">
        <v>886</v>
      </c>
      <c r="AE321" s="1" t="s">
        <v>778</v>
      </c>
    </row>
    <row r="322" spans="1:31">
      <c r="A322" s="1" t="s">
        <v>879</v>
      </c>
      <c r="B322" s="1" t="s">
        <v>963</v>
      </c>
      <c r="C322" s="60">
        <v>45877</v>
      </c>
      <c r="D322" s="1" t="s">
        <v>130</v>
      </c>
      <c r="E322" s="1" t="s">
        <v>751</v>
      </c>
      <c r="F322" s="1">
        <v>2020</v>
      </c>
      <c r="G322" s="1" t="s">
        <v>880</v>
      </c>
      <c r="H322" s="1" t="s">
        <v>27</v>
      </c>
      <c r="I322" s="1">
        <v>34.6</v>
      </c>
      <c r="J322" s="1">
        <v>-77.2</v>
      </c>
      <c r="K322" s="1">
        <v>1986</v>
      </c>
      <c r="L322" s="1">
        <v>2013</v>
      </c>
      <c r="M322" s="1">
        <f t="shared" si="5"/>
        <v>28</v>
      </c>
      <c r="N322" s="1" t="s">
        <v>30</v>
      </c>
      <c r="O322" s="1" t="s">
        <v>205</v>
      </c>
      <c r="P322" s="1" t="s">
        <v>788</v>
      </c>
      <c r="Q322" s="1" t="s">
        <v>904</v>
      </c>
      <c r="R322" s="1" t="s">
        <v>863</v>
      </c>
      <c r="S322" s="1" t="s">
        <v>71</v>
      </c>
      <c r="U322" s="1" t="s">
        <v>55</v>
      </c>
      <c r="V322" s="1">
        <v>-2.8000000000000003</v>
      </c>
      <c r="Y322" s="1" t="s">
        <v>694</v>
      </c>
      <c r="Z322" s="1" t="s">
        <v>883</v>
      </c>
      <c r="AA322" s="1" t="s">
        <v>884</v>
      </c>
      <c r="AB322" s="1" t="s">
        <v>885</v>
      </c>
      <c r="AC322" s="1" t="s">
        <v>130</v>
      </c>
      <c r="AD322" s="1" t="s">
        <v>886</v>
      </c>
      <c r="AE322" s="1" t="s">
        <v>778</v>
      </c>
    </row>
    <row r="323" spans="1:31">
      <c r="A323" s="1" t="s">
        <v>860</v>
      </c>
      <c r="C323" s="60">
        <v>45877</v>
      </c>
      <c r="D323" s="1" t="s">
        <v>130</v>
      </c>
      <c r="E323" s="1" t="s">
        <v>909</v>
      </c>
      <c r="F323" s="1">
        <v>2020</v>
      </c>
      <c r="G323" s="1" t="s">
        <v>861</v>
      </c>
      <c r="H323" s="1" t="s">
        <v>147</v>
      </c>
      <c r="I323" s="1">
        <v>47.5</v>
      </c>
      <c r="J323" s="1">
        <v>-63</v>
      </c>
      <c r="K323" s="1">
        <v>1982</v>
      </c>
      <c r="L323" s="1">
        <v>2012</v>
      </c>
      <c r="M323" s="1">
        <v>31</v>
      </c>
      <c r="N323" s="1" t="s">
        <v>623</v>
      </c>
      <c r="O323" s="1" t="s">
        <v>205</v>
      </c>
      <c r="P323" s="1" t="s">
        <v>964</v>
      </c>
      <c r="Q323" s="1" t="s">
        <v>412</v>
      </c>
      <c r="R323" s="1" t="s">
        <v>863</v>
      </c>
      <c r="U323" s="1" t="s">
        <v>53</v>
      </c>
      <c r="V323" s="1" t="s">
        <v>40</v>
      </c>
      <c r="Y323" s="1" t="s">
        <v>694</v>
      </c>
      <c r="Z323" s="1" t="s">
        <v>864</v>
      </c>
      <c r="AA323" s="1" t="s">
        <v>865</v>
      </c>
      <c r="AB323" s="1" t="s">
        <v>866</v>
      </c>
      <c r="AC323" s="1" t="s">
        <v>130</v>
      </c>
      <c r="AD323" s="1" t="s">
        <v>129</v>
      </c>
      <c r="AE323" s="1" t="s">
        <v>778</v>
      </c>
    </row>
    <row r="324" spans="1:31">
      <c r="A324" s="1" t="s">
        <v>860</v>
      </c>
      <c r="C324" s="60">
        <v>45877</v>
      </c>
      <c r="D324" s="1" t="s">
        <v>130</v>
      </c>
      <c r="E324" s="1" t="s">
        <v>909</v>
      </c>
      <c r="F324" s="1">
        <v>2020</v>
      </c>
      <c r="G324" s="1" t="s">
        <v>861</v>
      </c>
      <c r="H324" s="1" t="s">
        <v>147</v>
      </c>
      <c r="I324" s="1">
        <v>47.5</v>
      </c>
      <c r="J324" s="1">
        <v>-63</v>
      </c>
      <c r="K324" s="1">
        <v>1982</v>
      </c>
      <c r="L324" s="1">
        <v>2012</v>
      </c>
      <c r="M324" s="1">
        <v>31</v>
      </c>
      <c r="N324" s="1" t="s">
        <v>623</v>
      </c>
      <c r="O324" s="1" t="s">
        <v>205</v>
      </c>
      <c r="P324" s="1" t="s">
        <v>964</v>
      </c>
      <c r="Q324" s="1" t="s">
        <v>868</v>
      </c>
      <c r="R324" s="1" t="s">
        <v>863</v>
      </c>
      <c r="U324" s="1" t="s">
        <v>53</v>
      </c>
      <c r="V324" s="1" t="s">
        <v>40</v>
      </c>
      <c r="Y324" s="1" t="s">
        <v>694</v>
      </c>
      <c r="Z324" s="1" t="s">
        <v>864</v>
      </c>
      <c r="AA324" s="1" t="s">
        <v>865</v>
      </c>
      <c r="AB324" s="1" t="s">
        <v>866</v>
      </c>
      <c r="AC324" s="1" t="s">
        <v>130</v>
      </c>
      <c r="AD324" s="1" t="s">
        <v>129</v>
      </c>
      <c r="AE324" s="1" t="s">
        <v>778</v>
      </c>
    </row>
    <row r="325" spans="1:31">
      <c r="A325" t="s">
        <v>1413</v>
      </c>
      <c r="B325"/>
      <c r="C325" s="60">
        <v>45889</v>
      </c>
      <c r="D325" s="1" t="s">
        <v>130</v>
      </c>
      <c r="E325" s="1" t="s">
        <v>751</v>
      </c>
      <c r="F325">
        <v>2020</v>
      </c>
      <c r="G325" s="32" t="s">
        <v>861</v>
      </c>
      <c r="H325" t="s">
        <v>147</v>
      </c>
      <c r="I325" s="21">
        <v>44.9</v>
      </c>
      <c r="J325" s="21">
        <v>-66.7</v>
      </c>
      <c r="K325" s="21">
        <v>1988</v>
      </c>
      <c r="L325" s="21">
        <v>2014</v>
      </c>
      <c r="M325" s="21">
        <v>27</v>
      </c>
      <c r="N325" t="s">
        <v>623</v>
      </c>
      <c r="O325" t="s">
        <v>152</v>
      </c>
      <c r="P325" t="s">
        <v>1078</v>
      </c>
      <c r="Q325" t="s">
        <v>1414</v>
      </c>
      <c r="R325" t="s">
        <v>1415</v>
      </c>
      <c r="S325" t="s">
        <v>624</v>
      </c>
      <c r="T325">
        <v>175</v>
      </c>
      <c r="U325" t="s">
        <v>53</v>
      </c>
      <c r="V325">
        <v>-7.5</v>
      </c>
      <c r="W325"/>
      <c r="X325"/>
      <c r="Y325" t="s">
        <v>694</v>
      </c>
      <c r="Z325" t="s">
        <v>1416</v>
      </c>
      <c r="AA325" t="s">
        <v>1417</v>
      </c>
      <c r="AB325" t="s">
        <v>1418</v>
      </c>
      <c r="AC325" t="s">
        <v>44</v>
      </c>
      <c r="AD325" t="s">
        <v>40</v>
      </c>
    </row>
    <row r="326" spans="1:31">
      <c r="A326" s="1" t="s">
        <v>2006</v>
      </c>
      <c r="B326" s="47" t="s">
        <v>1901</v>
      </c>
      <c r="D326" s="1" t="s">
        <v>130</v>
      </c>
      <c r="E326" s="1" t="s">
        <v>74</v>
      </c>
      <c r="F326" s="1">
        <v>2020</v>
      </c>
      <c r="G326" s="64" t="s">
        <v>2007</v>
      </c>
      <c r="H326" s="1" t="s">
        <v>147</v>
      </c>
      <c r="I326" s="61"/>
      <c r="J326" s="61"/>
      <c r="K326" s="61">
        <v>1998</v>
      </c>
      <c r="L326" s="61">
        <v>2017</v>
      </c>
      <c r="M326" s="61">
        <f t="shared" ref="M326:M332" si="6">L326-K326+1</f>
        <v>20</v>
      </c>
      <c r="N326" s="1" t="s">
        <v>623</v>
      </c>
      <c r="O326" s="1" t="s">
        <v>152</v>
      </c>
      <c r="Q326" s="1" t="s">
        <v>1345</v>
      </c>
      <c r="R326" s="1" t="s">
        <v>1994</v>
      </c>
      <c r="V326" s="1">
        <v>-16.399999999999999</v>
      </c>
      <c r="Y326" s="1" t="s">
        <v>694</v>
      </c>
      <c r="AB326" s="1" t="s">
        <v>2010</v>
      </c>
    </row>
    <row r="327" spans="1:31">
      <c r="A327" s="1" t="s">
        <v>2006</v>
      </c>
      <c r="B327" s="1" t="s">
        <v>1901</v>
      </c>
      <c r="D327" s="1" t="s">
        <v>130</v>
      </c>
      <c r="E327" s="1" t="s">
        <v>74</v>
      </c>
      <c r="F327" s="1">
        <v>2020</v>
      </c>
      <c r="G327" s="64" t="s">
        <v>2008</v>
      </c>
      <c r="H327" s="1" t="s">
        <v>147</v>
      </c>
      <c r="I327" s="61"/>
      <c r="J327" s="61"/>
      <c r="K327" s="61">
        <v>1998</v>
      </c>
      <c r="L327" s="61">
        <v>2017</v>
      </c>
      <c r="M327" s="61">
        <f t="shared" si="6"/>
        <v>20</v>
      </c>
      <c r="N327" s="1" t="s">
        <v>623</v>
      </c>
      <c r="O327" s="1" t="s">
        <v>152</v>
      </c>
      <c r="Q327" s="1" t="s">
        <v>1345</v>
      </c>
      <c r="R327" s="1" t="s">
        <v>1994</v>
      </c>
      <c r="V327" s="1">
        <v>-4.2</v>
      </c>
      <c r="Y327" s="1" t="s">
        <v>694</v>
      </c>
      <c r="AB327" s="1" t="s">
        <v>2010</v>
      </c>
    </row>
    <row r="328" spans="1:31">
      <c r="A328" s="1" t="s">
        <v>2006</v>
      </c>
      <c r="B328" s="1" t="s">
        <v>1901</v>
      </c>
      <c r="D328" s="1" t="s">
        <v>130</v>
      </c>
      <c r="E328" s="1" t="s">
        <v>74</v>
      </c>
      <c r="F328" s="1">
        <v>2020</v>
      </c>
      <c r="G328" s="64" t="s">
        <v>2009</v>
      </c>
      <c r="H328" s="1" t="s">
        <v>147</v>
      </c>
      <c r="I328" s="61"/>
      <c r="J328" s="61"/>
      <c r="K328" s="61">
        <v>1998</v>
      </c>
      <c r="L328" s="61">
        <v>2017</v>
      </c>
      <c r="M328" s="61">
        <f t="shared" si="6"/>
        <v>20</v>
      </c>
      <c r="N328" s="1" t="s">
        <v>623</v>
      </c>
      <c r="O328" s="1" t="s">
        <v>152</v>
      </c>
      <c r="Q328" s="1" t="s">
        <v>1345</v>
      </c>
      <c r="R328" s="1" t="s">
        <v>1994</v>
      </c>
      <c r="V328" s="1">
        <v>-4.2</v>
      </c>
      <c r="Y328" s="1" t="s">
        <v>694</v>
      </c>
      <c r="AB328" s="1" t="s">
        <v>2010</v>
      </c>
    </row>
    <row r="329" spans="1:31">
      <c r="A329" s="1" t="s">
        <v>2011</v>
      </c>
      <c r="B329" s="47" t="s">
        <v>1902</v>
      </c>
      <c r="D329" s="1" t="s">
        <v>130</v>
      </c>
      <c r="E329" s="1" t="s">
        <v>74</v>
      </c>
      <c r="F329" s="1">
        <v>2020</v>
      </c>
      <c r="G329" s="64" t="s">
        <v>2012</v>
      </c>
      <c r="H329" s="1" t="s">
        <v>147</v>
      </c>
      <c r="I329" s="61"/>
      <c r="J329" s="61"/>
      <c r="K329" s="61">
        <v>1979</v>
      </c>
      <c r="L329" s="61">
        <v>2018</v>
      </c>
      <c r="M329" s="61">
        <f t="shared" si="6"/>
        <v>40</v>
      </c>
      <c r="N329" s="1" t="s">
        <v>623</v>
      </c>
      <c r="O329" s="1" t="s">
        <v>152</v>
      </c>
      <c r="Q329" s="1" t="s">
        <v>1345</v>
      </c>
      <c r="R329" s="1" t="s">
        <v>1994</v>
      </c>
      <c r="V329" s="1">
        <v>-6.7</v>
      </c>
      <c r="Y329" s="1" t="s">
        <v>694</v>
      </c>
      <c r="AB329" s="1" t="s">
        <v>2013</v>
      </c>
    </row>
    <row r="330" spans="1:31">
      <c r="A330" s="1" t="s">
        <v>57</v>
      </c>
      <c r="B330" s="26" t="s">
        <v>79</v>
      </c>
      <c r="C330" s="54">
        <v>45863</v>
      </c>
      <c r="D330" s="1" t="s">
        <v>130</v>
      </c>
      <c r="E330" s="1" t="s">
        <v>751</v>
      </c>
      <c r="F330" s="1">
        <v>2019</v>
      </c>
      <c r="G330" s="1" t="s">
        <v>28</v>
      </c>
      <c r="H330" s="1" t="s">
        <v>27</v>
      </c>
      <c r="I330" s="1">
        <v>45.56</v>
      </c>
      <c r="J330" s="1">
        <v>-3.16</v>
      </c>
      <c r="K330" s="1">
        <v>1970</v>
      </c>
      <c r="L330" s="1">
        <v>2012</v>
      </c>
      <c r="M330" s="1">
        <f t="shared" si="6"/>
        <v>43</v>
      </c>
      <c r="N330" s="1" t="s">
        <v>30</v>
      </c>
      <c r="O330" s="1" t="s">
        <v>199</v>
      </c>
      <c r="P330" s="1" t="s">
        <v>1014</v>
      </c>
      <c r="Q330" s="58" t="s">
        <v>56</v>
      </c>
      <c r="R330" s="1" t="s">
        <v>29</v>
      </c>
      <c r="S330" s="1" t="s">
        <v>38</v>
      </c>
      <c r="T330" s="1">
        <v>205</v>
      </c>
      <c r="U330" s="1" t="s">
        <v>53</v>
      </c>
      <c r="V330" s="1">
        <f>(210-140)/(1970-2012)*10</f>
        <v>-16.666666666666668</v>
      </c>
      <c r="X330" s="1" t="s">
        <v>40</v>
      </c>
      <c r="Y330" s="1" t="s">
        <v>694</v>
      </c>
      <c r="Z330" s="1" t="s">
        <v>58</v>
      </c>
      <c r="AA330" s="1" t="s">
        <v>59</v>
      </c>
      <c r="AB330" s="1" t="s">
        <v>155</v>
      </c>
      <c r="AC330" s="1" t="s">
        <v>130</v>
      </c>
      <c r="AD330" s="1" t="s">
        <v>60</v>
      </c>
      <c r="AE330" s="1" t="s">
        <v>40</v>
      </c>
    </row>
    <row r="331" spans="1:31">
      <c r="A331" s="1" t="s">
        <v>749</v>
      </c>
      <c r="B331" s="26" t="s">
        <v>131</v>
      </c>
      <c r="C331" s="54">
        <v>45868</v>
      </c>
      <c r="D331" s="1" t="s">
        <v>130</v>
      </c>
      <c r="E331" s="1" t="s">
        <v>74</v>
      </c>
      <c r="F331" s="1">
        <v>2019</v>
      </c>
      <c r="G331" s="1" t="s">
        <v>132</v>
      </c>
      <c r="H331" s="1" t="s">
        <v>27</v>
      </c>
      <c r="I331" s="1">
        <v>43.13</v>
      </c>
      <c r="J331" s="1">
        <v>-68.33</v>
      </c>
      <c r="K331" s="1">
        <v>1961</v>
      </c>
      <c r="L331" s="1">
        <v>2013</v>
      </c>
      <c r="M331" s="1">
        <f t="shared" si="6"/>
        <v>53</v>
      </c>
      <c r="N331" s="1" t="s">
        <v>133</v>
      </c>
      <c r="O331" s="1" t="s">
        <v>199</v>
      </c>
      <c r="P331" s="1" t="s">
        <v>1014</v>
      </c>
      <c r="Q331" s="1" t="s">
        <v>65</v>
      </c>
      <c r="R331" s="1" t="s">
        <v>29</v>
      </c>
      <c r="S331" s="1" t="s">
        <v>38</v>
      </c>
      <c r="T331" s="1">
        <v>196</v>
      </c>
      <c r="U331" s="1" t="s">
        <v>53</v>
      </c>
      <c r="V331" s="1">
        <f>(166-196)/((2007-1967.5)/10)</f>
        <v>-7.5949367088607591</v>
      </c>
      <c r="X331" s="1" t="s">
        <v>40</v>
      </c>
      <c r="Y331" s="1" t="s">
        <v>694</v>
      </c>
      <c r="Z331" s="1" t="s">
        <v>40</v>
      </c>
      <c r="AA331" s="1" t="s">
        <v>135</v>
      </c>
      <c r="AB331" s="1" t="s">
        <v>1324</v>
      </c>
      <c r="AC331" s="1" t="s">
        <v>44</v>
      </c>
      <c r="AD331" s="1" t="s">
        <v>40</v>
      </c>
    </row>
    <row r="332" spans="1:31">
      <c r="A332" s="1" t="s">
        <v>749</v>
      </c>
      <c r="B332" s="26" t="s">
        <v>131</v>
      </c>
      <c r="C332" s="54">
        <v>45868</v>
      </c>
      <c r="D332" s="1" t="s">
        <v>130</v>
      </c>
      <c r="E332" s="1" t="s">
        <v>74</v>
      </c>
      <c r="F332" s="1">
        <v>2019</v>
      </c>
      <c r="G332" s="1" t="s">
        <v>132</v>
      </c>
      <c r="H332" s="1" t="s">
        <v>27</v>
      </c>
      <c r="I332" s="1">
        <v>43.13</v>
      </c>
      <c r="J332" s="1">
        <v>-68.33</v>
      </c>
      <c r="K332" s="1">
        <v>1961</v>
      </c>
      <c r="L332" s="1">
        <v>2013</v>
      </c>
      <c r="M332" s="1">
        <f t="shared" si="6"/>
        <v>53</v>
      </c>
      <c r="N332" s="1" t="s">
        <v>133</v>
      </c>
      <c r="O332" s="1" t="s">
        <v>199</v>
      </c>
      <c r="P332" s="1" t="s">
        <v>1014</v>
      </c>
      <c r="Q332" s="1" t="s">
        <v>134</v>
      </c>
      <c r="R332" s="1" t="s">
        <v>29</v>
      </c>
      <c r="S332" s="1" t="s">
        <v>38</v>
      </c>
      <c r="T332" s="1">
        <v>135</v>
      </c>
      <c r="U332" s="1" t="s">
        <v>52</v>
      </c>
      <c r="V332" s="1">
        <f>(187.3-187.78)/((2007-1967.5)/10)</f>
        <v>-0.12151898734176955</v>
      </c>
      <c r="X332" s="1" t="s">
        <v>40</v>
      </c>
      <c r="Y332" s="1" t="s">
        <v>694</v>
      </c>
      <c r="Z332" s="1" t="s">
        <v>40</v>
      </c>
      <c r="AA332" s="1" t="s">
        <v>135</v>
      </c>
      <c r="AB332" s="1" t="s">
        <v>1325</v>
      </c>
      <c r="AC332" s="1" t="s">
        <v>44</v>
      </c>
      <c r="AD332" s="1" t="s">
        <v>40</v>
      </c>
      <c r="AE332" s="1" t="s">
        <v>149</v>
      </c>
    </row>
    <row r="333" spans="1:31">
      <c r="A333" t="s">
        <v>1364</v>
      </c>
      <c r="B333"/>
      <c r="C333" s="60">
        <v>45889</v>
      </c>
      <c r="D333" s="1" t="s">
        <v>130</v>
      </c>
      <c r="E333" s="1" t="s">
        <v>751</v>
      </c>
      <c r="F333">
        <v>2019</v>
      </c>
      <c r="G333" t="s">
        <v>1365</v>
      </c>
      <c r="H333" t="s">
        <v>147</v>
      </c>
      <c r="I333" s="21">
        <v>55</v>
      </c>
      <c r="J333" s="21">
        <v>5</v>
      </c>
      <c r="K333" s="21">
        <v>1958</v>
      </c>
      <c r="L333" s="21">
        <v>2016</v>
      </c>
      <c r="M333" s="21">
        <v>59</v>
      </c>
      <c r="N333" t="s">
        <v>623</v>
      </c>
      <c r="O333" t="s">
        <v>152</v>
      </c>
      <c r="P333" t="s">
        <v>1078</v>
      </c>
      <c r="Q333" t="s">
        <v>1071</v>
      </c>
      <c r="R333" t="s">
        <v>29</v>
      </c>
      <c r="S333" t="s">
        <v>624</v>
      </c>
      <c r="T333">
        <v>231.92708333333334</v>
      </c>
      <c r="U333" t="s">
        <v>53</v>
      </c>
      <c r="V333">
        <v>-5.6959322033898303</v>
      </c>
      <c r="W333"/>
      <c r="X333"/>
      <c r="Y333" t="s">
        <v>694</v>
      </c>
      <c r="Z333" t="s">
        <v>1366</v>
      </c>
      <c r="AA333" t="s">
        <v>1367</v>
      </c>
      <c r="AB333" t="s">
        <v>1368</v>
      </c>
      <c r="AC333" t="s">
        <v>130</v>
      </c>
      <c r="AD333" t="s">
        <v>60</v>
      </c>
    </row>
    <row r="334" spans="1:31">
      <c r="A334" t="s">
        <v>1364</v>
      </c>
      <c r="B334"/>
      <c r="C334" s="60">
        <v>45889</v>
      </c>
      <c r="D334" s="1" t="s">
        <v>130</v>
      </c>
      <c r="E334" s="1" t="s">
        <v>751</v>
      </c>
      <c r="F334">
        <v>2019</v>
      </c>
      <c r="G334" t="s">
        <v>1365</v>
      </c>
      <c r="H334" t="s">
        <v>147</v>
      </c>
      <c r="I334" s="21">
        <v>55</v>
      </c>
      <c r="J334" s="21">
        <v>5</v>
      </c>
      <c r="K334" s="21">
        <v>1958</v>
      </c>
      <c r="L334" s="21">
        <v>2016</v>
      </c>
      <c r="M334" s="21">
        <v>59</v>
      </c>
      <c r="N334" t="s">
        <v>623</v>
      </c>
      <c r="O334" t="s">
        <v>152</v>
      </c>
      <c r="P334" t="s">
        <v>1078</v>
      </c>
      <c r="Q334" t="s">
        <v>1064</v>
      </c>
      <c r="R334" t="s">
        <v>29</v>
      </c>
      <c r="S334" t="s">
        <v>624</v>
      </c>
      <c r="T334">
        <v>224.99208333333334</v>
      </c>
      <c r="U334" t="s">
        <v>53</v>
      </c>
      <c r="V334">
        <v>-6.9032203389830507</v>
      </c>
      <c r="W334"/>
      <c r="X334"/>
      <c r="Y334" t="s">
        <v>694</v>
      </c>
      <c r="Z334" t="s">
        <v>1366</v>
      </c>
      <c r="AA334" t="s">
        <v>1367</v>
      </c>
      <c r="AB334" t="s">
        <v>1368</v>
      </c>
      <c r="AC334" t="s">
        <v>130</v>
      </c>
      <c r="AD334" t="s">
        <v>60</v>
      </c>
    </row>
    <row r="335" spans="1:31">
      <c r="A335" t="s">
        <v>1364</v>
      </c>
      <c r="B335"/>
      <c r="C335" s="60">
        <v>45889</v>
      </c>
      <c r="D335" s="1" t="s">
        <v>130</v>
      </c>
      <c r="E335" s="1" t="s">
        <v>751</v>
      </c>
      <c r="F335">
        <v>2019</v>
      </c>
      <c r="G335" t="s">
        <v>1365</v>
      </c>
      <c r="H335" t="s">
        <v>147</v>
      </c>
      <c r="I335" s="21">
        <v>55</v>
      </c>
      <c r="J335" s="21">
        <v>5</v>
      </c>
      <c r="K335" s="21">
        <v>1958</v>
      </c>
      <c r="L335" s="21">
        <v>2016</v>
      </c>
      <c r="M335" s="21">
        <v>59</v>
      </c>
      <c r="N335" t="s">
        <v>623</v>
      </c>
      <c r="O335" t="s">
        <v>152</v>
      </c>
      <c r="P335" t="s">
        <v>1078</v>
      </c>
      <c r="Q335" t="s">
        <v>1354</v>
      </c>
      <c r="R335" t="s">
        <v>29</v>
      </c>
      <c r="S335" t="s">
        <v>624</v>
      </c>
      <c r="T335">
        <v>225.78291666666667</v>
      </c>
      <c r="U335" t="s">
        <v>53</v>
      </c>
      <c r="V335">
        <v>-6.0020338983050845</v>
      </c>
      <c r="W335"/>
      <c r="X335"/>
      <c r="Y335" t="s">
        <v>694</v>
      </c>
      <c r="Z335" t="s">
        <v>1366</v>
      </c>
      <c r="AA335" t="s">
        <v>1367</v>
      </c>
      <c r="AB335" t="s">
        <v>1368</v>
      </c>
      <c r="AC335" t="s">
        <v>130</v>
      </c>
      <c r="AD335" t="s">
        <v>60</v>
      </c>
    </row>
    <row r="336" spans="1:31">
      <c r="A336" t="s">
        <v>1364</v>
      </c>
      <c r="B336"/>
      <c r="C336" s="60">
        <v>45889</v>
      </c>
      <c r="D336" s="1" t="s">
        <v>130</v>
      </c>
      <c r="E336" s="1" t="s">
        <v>751</v>
      </c>
      <c r="F336">
        <v>2019</v>
      </c>
      <c r="G336" t="s">
        <v>1365</v>
      </c>
      <c r="H336" t="s">
        <v>147</v>
      </c>
      <c r="I336" s="21">
        <v>55</v>
      </c>
      <c r="J336" s="21">
        <v>5</v>
      </c>
      <c r="K336" s="21">
        <v>1958</v>
      </c>
      <c r="L336" s="21">
        <v>2016</v>
      </c>
      <c r="M336" s="21">
        <v>59</v>
      </c>
      <c r="N336" t="s">
        <v>623</v>
      </c>
      <c r="O336" t="s">
        <v>152</v>
      </c>
      <c r="P336" t="s">
        <v>1078</v>
      </c>
      <c r="Q336" t="s">
        <v>1069</v>
      </c>
      <c r="R336" t="s">
        <v>29</v>
      </c>
      <c r="S336" t="s">
        <v>624</v>
      </c>
      <c r="T336">
        <v>216.93166666666667</v>
      </c>
      <c r="U336" t="s">
        <v>53</v>
      </c>
      <c r="V336">
        <v>-4.9667796610169486</v>
      </c>
      <c r="W336"/>
      <c r="X336"/>
      <c r="Y336" t="s">
        <v>694</v>
      </c>
      <c r="Z336" t="s">
        <v>1366</v>
      </c>
      <c r="AA336" t="s">
        <v>1367</v>
      </c>
      <c r="AB336" t="s">
        <v>1368</v>
      </c>
      <c r="AC336" t="s">
        <v>130</v>
      </c>
      <c r="AD336" t="s">
        <v>60</v>
      </c>
    </row>
    <row r="337" spans="1:30">
      <c r="A337" t="s">
        <v>1364</v>
      </c>
      <c r="B337"/>
      <c r="C337" s="60">
        <v>45889</v>
      </c>
      <c r="D337" s="1" t="s">
        <v>130</v>
      </c>
      <c r="E337" s="1" t="s">
        <v>751</v>
      </c>
      <c r="F337">
        <v>2019</v>
      </c>
      <c r="G337" t="s">
        <v>1365</v>
      </c>
      <c r="H337" t="s">
        <v>147</v>
      </c>
      <c r="I337" s="21">
        <v>55</v>
      </c>
      <c r="J337" s="21">
        <v>5</v>
      </c>
      <c r="K337" s="21">
        <v>1958</v>
      </c>
      <c r="L337" s="21">
        <v>2016</v>
      </c>
      <c r="M337" s="21">
        <v>59</v>
      </c>
      <c r="N337" t="s">
        <v>623</v>
      </c>
      <c r="O337" t="s">
        <v>152</v>
      </c>
      <c r="P337" t="s">
        <v>1078</v>
      </c>
      <c r="Q337" t="s">
        <v>1073</v>
      </c>
      <c r="R337" t="s">
        <v>29</v>
      </c>
      <c r="S337" t="s">
        <v>624</v>
      </c>
      <c r="T337">
        <v>190.22583333333333</v>
      </c>
      <c r="U337" t="s">
        <v>53</v>
      </c>
      <c r="V337">
        <v>-3.2905084745762716</v>
      </c>
      <c r="W337"/>
      <c r="X337"/>
      <c r="Y337" t="s">
        <v>694</v>
      </c>
      <c r="Z337" t="s">
        <v>1366</v>
      </c>
      <c r="AA337" t="s">
        <v>1367</v>
      </c>
      <c r="AB337" t="s">
        <v>1368</v>
      </c>
      <c r="AC337" t="s">
        <v>130</v>
      </c>
      <c r="AD337" t="s">
        <v>60</v>
      </c>
    </row>
    <row r="338" spans="1:30">
      <c r="A338" t="s">
        <v>1364</v>
      </c>
      <c r="B338"/>
      <c r="C338" s="60">
        <v>45889</v>
      </c>
      <c r="D338" s="1" t="s">
        <v>130</v>
      </c>
      <c r="E338" s="1" t="s">
        <v>751</v>
      </c>
      <c r="F338">
        <v>2019</v>
      </c>
      <c r="G338" t="s">
        <v>1365</v>
      </c>
      <c r="H338" t="s">
        <v>147</v>
      </c>
      <c r="I338" s="21">
        <v>55</v>
      </c>
      <c r="J338" s="21">
        <v>5</v>
      </c>
      <c r="K338" s="21">
        <v>1958</v>
      </c>
      <c r="L338" s="21">
        <v>2016</v>
      </c>
      <c r="M338" s="21">
        <v>59</v>
      </c>
      <c r="N338" t="s">
        <v>623</v>
      </c>
      <c r="O338" t="s">
        <v>152</v>
      </c>
      <c r="P338" t="s">
        <v>1078</v>
      </c>
      <c r="Q338" t="s">
        <v>1075</v>
      </c>
      <c r="R338" t="s">
        <v>29</v>
      </c>
      <c r="S338" t="s">
        <v>624</v>
      </c>
      <c r="T338">
        <v>248.23041666666666</v>
      </c>
      <c r="U338" t="s">
        <v>54</v>
      </c>
      <c r="V338">
        <v>-8.9700000000000006</v>
      </c>
      <c r="W338"/>
      <c r="X338"/>
      <c r="Y338" t="s">
        <v>694</v>
      </c>
      <c r="Z338" t="s">
        <v>1366</v>
      </c>
      <c r="AA338" t="s">
        <v>1367</v>
      </c>
      <c r="AB338" t="s">
        <v>1368</v>
      </c>
      <c r="AC338" t="s">
        <v>130</v>
      </c>
      <c r="AD338" t="s">
        <v>60</v>
      </c>
    </row>
    <row r="339" spans="1:30">
      <c r="A339" t="s">
        <v>1364</v>
      </c>
      <c r="B339"/>
      <c r="C339" s="60">
        <v>45889</v>
      </c>
      <c r="D339" s="1" t="s">
        <v>130</v>
      </c>
      <c r="E339" s="1" t="s">
        <v>751</v>
      </c>
      <c r="F339">
        <v>2019</v>
      </c>
      <c r="G339" t="s">
        <v>1365</v>
      </c>
      <c r="H339" t="s">
        <v>147</v>
      </c>
      <c r="I339" s="21">
        <v>55</v>
      </c>
      <c r="J339" s="21">
        <v>5</v>
      </c>
      <c r="K339" s="21">
        <v>1958</v>
      </c>
      <c r="L339" s="21">
        <v>2016</v>
      </c>
      <c r="M339" s="21">
        <v>59</v>
      </c>
      <c r="N339" t="s">
        <v>623</v>
      </c>
      <c r="O339" t="s">
        <v>152</v>
      </c>
      <c r="P339" t="s">
        <v>1078</v>
      </c>
      <c r="Q339" t="s">
        <v>1066</v>
      </c>
      <c r="R339" t="s">
        <v>29</v>
      </c>
      <c r="S339" t="s">
        <v>624</v>
      </c>
      <c r="T339">
        <v>225.87416666666667</v>
      </c>
      <c r="U339" t="s">
        <v>53</v>
      </c>
      <c r="V339">
        <v>-8.3528813559322028</v>
      </c>
      <c r="W339"/>
      <c r="X339"/>
      <c r="Y339" t="s">
        <v>694</v>
      </c>
      <c r="Z339" t="s">
        <v>1366</v>
      </c>
      <c r="AA339" t="s">
        <v>1367</v>
      </c>
      <c r="AB339" t="s">
        <v>1368</v>
      </c>
      <c r="AC339" t="s">
        <v>130</v>
      </c>
      <c r="AD339" t="s">
        <v>60</v>
      </c>
    </row>
    <row r="340" spans="1:30">
      <c r="A340" t="s">
        <v>1364</v>
      </c>
      <c r="B340"/>
      <c r="C340" s="60">
        <v>45889</v>
      </c>
      <c r="D340" s="1" t="s">
        <v>130</v>
      </c>
      <c r="E340" s="1" t="s">
        <v>751</v>
      </c>
      <c r="F340">
        <v>2019</v>
      </c>
      <c r="G340" t="s">
        <v>1365</v>
      </c>
      <c r="H340" t="s">
        <v>147</v>
      </c>
      <c r="I340" s="21">
        <v>55</v>
      </c>
      <c r="J340" s="21">
        <v>5</v>
      </c>
      <c r="K340" s="21">
        <v>1958</v>
      </c>
      <c r="L340" s="21">
        <v>2016</v>
      </c>
      <c r="M340" s="21">
        <v>59</v>
      </c>
      <c r="N340" t="s">
        <v>623</v>
      </c>
      <c r="O340" t="s">
        <v>152</v>
      </c>
      <c r="P340" t="s">
        <v>1078</v>
      </c>
      <c r="Q340" t="s">
        <v>1055</v>
      </c>
      <c r="R340" t="s">
        <v>29</v>
      </c>
      <c r="S340" t="s">
        <v>624</v>
      </c>
      <c r="T340">
        <v>213.06875000000002</v>
      </c>
      <c r="U340" t="s">
        <v>53</v>
      </c>
      <c r="V340">
        <v>-4.0864406779661016</v>
      </c>
      <c r="W340"/>
      <c r="X340"/>
      <c r="Y340" t="s">
        <v>694</v>
      </c>
      <c r="Z340" t="s">
        <v>1366</v>
      </c>
      <c r="AA340" t="s">
        <v>1367</v>
      </c>
      <c r="AB340" t="s">
        <v>1368</v>
      </c>
      <c r="AC340" t="s">
        <v>130</v>
      </c>
      <c r="AD340" t="s">
        <v>60</v>
      </c>
    </row>
    <row r="341" spans="1:30">
      <c r="A341" t="s">
        <v>1364</v>
      </c>
      <c r="B341"/>
      <c r="C341" s="60">
        <v>45889</v>
      </c>
      <c r="D341" s="1" t="s">
        <v>130</v>
      </c>
      <c r="E341" s="1" t="s">
        <v>751</v>
      </c>
      <c r="F341">
        <v>2019</v>
      </c>
      <c r="G341" t="s">
        <v>1365</v>
      </c>
      <c r="H341" t="s">
        <v>147</v>
      </c>
      <c r="I341" s="21">
        <v>55</v>
      </c>
      <c r="J341" s="21">
        <v>5</v>
      </c>
      <c r="K341" s="21">
        <v>1958</v>
      </c>
      <c r="L341" s="21">
        <v>2016</v>
      </c>
      <c r="M341" s="21">
        <v>59</v>
      </c>
      <c r="N341" t="s">
        <v>623</v>
      </c>
      <c r="O341" t="s">
        <v>152</v>
      </c>
      <c r="P341" t="s">
        <v>1078</v>
      </c>
      <c r="Q341" t="s">
        <v>1072</v>
      </c>
      <c r="R341" t="s">
        <v>29</v>
      </c>
      <c r="S341" t="s">
        <v>624</v>
      </c>
      <c r="T341">
        <v>234.66458333333333</v>
      </c>
      <c r="U341" t="s">
        <v>53</v>
      </c>
      <c r="V341">
        <v>-5.2454237288135594</v>
      </c>
      <c r="W341"/>
      <c r="X341"/>
      <c r="Y341" t="s">
        <v>694</v>
      </c>
      <c r="Z341" t="s">
        <v>1366</v>
      </c>
      <c r="AA341" t="s">
        <v>1367</v>
      </c>
      <c r="AB341" t="s">
        <v>1368</v>
      </c>
      <c r="AC341" t="s">
        <v>130</v>
      </c>
      <c r="AD341" t="s">
        <v>60</v>
      </c>
    </row>
    <row r="342" spans="1:30">
      <c r="A342" t="s">
        <v>1364</v>
      </c>
      <c r="B342"/>
      <c r="C342" s="60">
        <v>45889</v>
      </c>
      <c r="D342" s="1" t="s">
        <v>130</v>
      </c>
      <c r="E342" s="1" t="s">
        <v>751</v>
      </c>
      <c r="F342">
        <v>2019</v>
      </c>
      <c r="G342" t="s">
        <v>1365</v>
      </c>
      <c r="H342" t="s">
        <v>147</v>
      </c>
      <c r="I342" s="21">
        <v>55</v>
      </c>
      <c r="J342" s="21">
        <v>5</v>
      </c>
      <c r="K342" s="21">
        <v>1958</v>
      </c>
      <c r="L342" s="21">
        <v>2016</v>
      </c>
      <c r="M342" s="21">
        <v>59</v>
      </c>
      <c r="N342" t="s">
        <v>623</v>
      </c>
      <c r="O342" t="s">
        <v>152</v>
      </c>
      <c r="P342" t="s">
        <v>1078</v>
      </c>
      <c r="Q342" t="s">
        <v>1061</v>
      </c>
      <c r="R342" t="s">
        <v>29</v>
      </c>
      <c r="S342" t="s">
        <v>624</v>
      </c>
      <c r="T342">
        <v>206.16416666666666</v>
      </c>
      <c r="U342" t="s">
        <v>53</v>
      </c>
      <c r="V342">
        <v>-7.65</v>
      </c>
      <c r="W342"/>
      <c r="X342"/>
      <c r="Y342" t="s">
        <v>694</v>
      </c>
      <c r="Z342" t="s">
        <v>1366</v>
      </c>
      <c r="AA342" t="s">
        <v>1367</v>
      </c>
      <c r="AB342" t="s">
        <v>1368</v>
      </c>
      <c r="AC342" t="s">
        <v>130</v>
      </c>
      <c r="AD342" t="s">
        <v>60</v>
      </c>
    </row>
    <row r="343" spans="1:30">
      <c r="A343" t="s">
        <v>1364</v>
      </c>
      <c r="B343"/>
      <c r="C343" s="60">
        <v>45889</v>
      </c>
      <c r="D343" s="1" t="s">
        <v>130</v>
      </c>
      <c r="E343" s="1" t="s">
        <v>751</v>
      </c>
      <c r="F343">
        <v>2019</v>
      </c>
      <c r="G343" t="s">
        <v>1365</v>
      </c>
      <c r="H343" t="s">
        <v>147</v>
      </c>
      <c r="I343" s="21">
        <v>55</v>
      </c>
      <c r="J343" s="21">
        <v>5</v>
      </c>
      <c r="K343" s="21">
        <v>1958</v>
      </c>
      <c r="L343" s="21">
        <v>2016</v>
      </c>
      <c r="M343" s="21">
        <v>59</v>
      </c>
      <c r="N343" t="s">
        <v>623</v>
      </c>
      <c r="O343" t="s">
        <v>152</v>
      </c>
      <c r="P343" t="s">
        <v>217</v>
      </c>
      <c r="Q343" t="s">
        <v>1369</v>
      </c>
      <c r="R343" t="s">
        <v>29</v>
      </c>
      <c r="S343" t="s">
        <v>624</v>
      </c>
      <c r="T343">
        <v>126.29</v>
      </c>
      <c r="U343" t="s">
        <v>52</v>
      </c>
      <c r="V343">
        <v>-5.2215254237288136</v>
      </c>
      <c r="W343"/>
      <c r="X343"/>
      <c r="Y343" t="s">
        <v>694</v>
      </c>
      <c r="Z343" t="s">
        <v>1366</v>
      </c>
      <c r="AA343" t="s">
        <v>1367</v>
      </c>
      <c r="AB343" t="s">
        <v>1368</v>
      </c>
      <c r="AC343" t="s">
        <v>130</v>
      </c>
      <c r="AD343" t="s">
        <v>60</v>
      </c>
    </row>
    <row r="344" spans="1:30">
      <c r="A344" t="s">
        <v>1364</v>
      </c>
      <c r="B344"/>
      <c r="C344" s="60">
        <v>45889</v>
      </c>
      <c r="D344" s="1" t="s">
        <v>130</v>
      </c>
      <c r="E344" s="1" t="s">
        <v>751</v>
      </c>
      <c r="F344">
        <v>2019</v>
      </c>
      <c r="G344" t="s">
        <v>1365</v>
      </c>
      <c r="H344" t="s">
        <v>147</v>
      </c>
      <c r="I344" s="21">
        <v>55</v>
      </c>
      <c r="J344" s="21">
        <v>5</v>
      </c>
      <c r="K344" s="21">
        <v>1958</v>
      </c>
      <c r="L344" s="21">
        <v>2016</v>
      </c>
      <c r="M344" s="21">
        <v>59</v>
      </c>
      <c r="N344" t="s">
        <v>623</v>
      </c>
      <c r="O344" t="s">
        <v>152</v>
      </c>
      <c r="P344" t="s">
        <v>217</v>
      </c>
      <c r="Q344" t="s">
        <v>1370</v>
      </c>
      <c r="R344" t="s">
        <v>29</v>
      </c>
      <c r="S344" t="s">
        <v>624</v>
      </c>
      <c r="T344">
        <v>246.83125000000001</v>
      </c>
      <c r="U344" t="s">
        <v>54</v>
      </c>
      <c r="V344">
        <v>-3.1820338983050851</v>
      </c>
      <c r="W344"/>
      <c r="X344"/>
      <c r="Y344" t="s">
        <v>694</v>
      </c>
      <c r="Z344" t="s">
        <v>1366</v>
      </c>
      <c r="AA344" t="s">
        <v>1367</v>
      </c>
      <c r="AB344" t="s">
        <v>1368</v>
      </c>
      <c r="AC344" t="s">
        <v>130</v>
      </c>
      <c r="AD344" t="s">
        <v>60</v>
      </c>
    </row>
    <row r="345" spans="1:30">
      <c r="A345" t="s">
        <v>1364</v>
      </c>
      <c r="B345"/>
      <c r="C345" s="60">
        <v>45889</v>
      </c>
      <c r="D345" s="1" t="s">
        <v>130</v>
      </c>
      <c r="E345" s="1" t="s">
        <v>751</v>
      </c>
      <c r="F345">
        <v>2019</v>
      </c>
      <c r="G345" t="s">
        <v>1365</v>
      </c>
      <c r="H345" t="s">
        <v>147</v>
      </c>
      <c r="I345" s="21">
        <v>55</v>
      </c>
      <c r="J345" s="21">
        <v>5</v>
      </c>
      <c r="K345" s="21">
        <v>1958</v>
      </c>
      <c r="L345" s="21">
        <v>2016</v>
      </c>
      <c r="M345" s="21">
        <v>59</v>
      </c>
      <c r="N345" t="s">
        <v>623</v>
      </c>
      <c r="O345" t="s">
        <v>152</v>
      </c>
      <c r="P345" t="s">
        <v>217</v>
      </c>
      <c r="Q345" t="s">
        <v>1370</v>
      </c>
      <c r="R345" t="s">
        <v>29</v>
      </c>
      <c r="S345" t="s">
        <v>624</v>
      </c>
      <c r="T345">
        <v>100.95291666666667</v>
      </c>
      <c r="U345" t="s">
        <v>52</v>
      </c>
      <c r="V345">
        <v>-0.31440677966101693</v>
      </c>
      <c r="W345"/>
      <c r="X345"/>
      <c r="Y345" t="s">
        <v>694</v>
      </c>
      <c r="Z345" t="s">
        <v>1366</v>
      </c>
      <c r="AA345" t="s">
        <v>1367</v>
      </c>
      <c r="AB345" t="s">
        <v>1368</v>
      </c>
      <c r="AC345" t="s">
        <v>130</v>
      </c>
      <c r="AD345" t="s">
        <v>60</v>
      </c>
    </row>
    <row r="346" spans="1:30">
      <c r="A346" t="s">
        <v>1364</v>
      </c>
      <c r="B346"/>
      <c r="C346" s="60">
        <v>45889</v>
      </c>
      <c r="D346" s="1" t="s">
        <v>130</v>
      </c>
      <c r="E346" s="1" t="s">
        <v>751</v>
      </c>
      <c r="F346">
        <v>2019</v>
      </c>
      <c r="G346" t="s">
        <v>1365</v>
      </c>
      <c r="H346" t="s">
        <v>147</v>
      </c>
      <c r="I346" s="21">
        <v>55</v>
      </c>
      <c r="J346" s="21">
        <v>5</v>
      </c>
      <c r="K346" s="21">
        <v>1958</v>
      </c>
      <c r="L346" s="21">
        <v>2016</v>
      </c>
      <c r="M346" s="21">
        <v>59</v>
      </c>
      <c r="N346" t="s">
        <v>623</v>
      </c>
      <c r="O346" t="s">
        <v>152</v>
      </c>
      <c r="P346" t="s">
        <v>217</v>
      </c>
      <c r="Q346" t="s">
        <v>1371</v>
      </c>
      <c r="R346" t="s">
        <v>29</v>
      </c>
      <c r="S346" t="s">
        <v>624</v>
      </c>
      <c r="T346">
        <v>247.7741666666667</v>
      </c>
      <c r="U346" t="s">
        <v>54</v>
      </c>
      <c r="V346">
        <v>1.9886440677966102</v>
      </c>
      <c r="W346"/>
      <c r="X346"/>
      <c r="Y346" t="s">
        <v>41</v>
      </c>
      <c r="Z346" t="s">
        <v>1366</v>
      </c>
      <c r="AA346" t="s">
        <v>1367</v>
      </c>
      <c r="AB346" t="s">
        <v>1368</v>
      </c>
      <c r="AC346" t="s">
        <v>130</v>
      </c>
      <c r="AD346" t="s">
        <v>60</v>
      </c>
    </row>
    <row r="347" spans="1:30">
      <c r="A347" t="s">
        <v>1364</v>
      </c>
      <c r="B347"/>
      <c r="C347" s="60">
        <v>45889</v>
      </c>
      <c r="D347" s="1" t="s">
        <v>130</v>
      </c>
      <c r="E347" s="1" t="s">
        <v>751</v>
      </c>
      <c r="F347">
        <v>2019</v>
      </c>
      <c r="G347" t="s">
        <v>1365</v>
      </c>
      <c r="H347" t="s">
        <v>147</v>
      </c>
      <c r="I347" s="21">
        <v>55</v>
      </c>
      <c r="J347" s="21">
        <v>5</v>
      </c>
      <c r="K347" s="21">
        <v>1958</v>
      </c>
      <c r="L347" s="21">
        <v>2016</v>
      </c>
      <c r="M347" s="21">
        <v>59</v>
      </c>
      <c r="N347" t="s">
        <v>623</v>
      </c>
      <c r="O347" t="s">
        <v>152</v>
      </c>
      <c r="P347" t="s">
        <v>217</v>
      </c>
      <c r="Q347" t="s">
        <v>1371</v>
      </c>
      <c r="R347" t="s">
        <v>29</v>
      </c>
      <c r="S347" t="s">
        <v>624</v>
      </c>
      <c r="T347">
        <v>101.98708333333333</v>
      </c>
      <c r="U347" t="s">
        <v>52</v>
      </c>
      <c r="V347">
        <v>-2.659491525423729</v>
      </c>
      <c r="W347"/>
      <c r="X347"/>
      <c r="Y347" t="s">
        <v>694</v>
      </c>
      <c r="Z347" t="s">
        <v>1366</v>
      </c>
      <c r="AA347" t="s">
        <v>1367</v>
      </c>
      <c r="AB347" t="s">
        <v>1368</v>
      </c>
      <c r="AC347" t="s">
        <v>130</v>
      </c>
      <c r="AD347" t="s">
        <v>60</v>
      </c>
    </row>
    <row r="348" spans="1:30">
      <c r="A348" t="s">
        <v>1364</v>
      </c>
      <c r="B348"/>
      <c r="C348" s="60">
        <v>45889</v>
      </c>
      <c r="D348" s="1" t="s">
        <v>130</v>
      </c>
      <c r="E348" s="1" t="s">
        <v>751</v>
      </c>
      <c r="F348">
        <v>2019</v>
      </c>
      <c r="G348" t="s">
        <v>1365</v>
      </c>
      <c r="H348" t="s">
        <v>147</v>
      </c>
      <c r="I348" s="21">
        <v>55</v>
      </c>
      <c r="J348" s="21">
        <v>5</v>
      </c>
      <c r="K348" s="21">
        <v>1958</v>
      </c>
      <c r="L348" s="21">
        <v>2016</v>
      </c>
      <c r="M348" s="21">
        <v>59</v>
      </c>
      <c r="N348" t="s">
        <v>623</v>
      </c>
      <c r="O348" t="s">
        <v>152</v>
      </c>
      <c r="P348" t="s">
        <v>217</v>
      </c>
      <c r="Q348" t="s">
        <v>1372</v>
      </c>
      <c r="R348" t="s">
        <v>29</v>
      </c>
      <c r="S348" t="s">
        <v>624</v>
      </c>
      <c r="T348">
        <v>261.58333333333331</v>
      </c>
      <c r="U348" t="s">
        <v>54</v>
      </c>
      <c r="V348">
        <v>3.5254237288135593E-2</v>
      </c>
      <c r="W348"/>
      <c r="X348"/>
      <c r="Y348" t="s">
        <v>41</v>
      </c>
      <c r="Z348" t="s">
        <v>1366</v>
      </c>
      <c r="AA348" t="s">
        <v>1367</v>
      </c>
      <c r="AB348" t="s">
        <v>1368</v>
      </c>
      <c r="AC348" t="s">
        <v>130</v>
      </c>
      <c r="AD348" t="s">
        <v>60</v>
      </c>
    </row>
    <row r="349" spans="1:30">
      <c r="A349" t="s">
        <v>1364</v>
      </c>
      <c r="B349"/>
      <c r="C349" s="60">
        <v>45889</v>
      </c>
      <c r="D349" s="1" t="s">
        <v>130</v>
      </c>
      <c r="E349" s="1" t="s">
        <v>751</v>
      </c>
      <c r="F349">
        <v>2019</v>
      </c>
      <c r="G349" t="s">
        <v>1365</v>
      </c>
      <c r="H349" t="s">
        <v>147</v>
      </c>
      <c r="I349" s="21">
        <v>55</v>
      </c>
      <c r="J349" s="21">
        <v>5</v>
      </c>
      <c r="K349" s="21">
        <v>1958</v>
      </c>
      <c r="L349" s="21">
        <v>2016</v>
      </c>
      <c r="M349" s="21">
        <v>59</v>
      </c>
      <c r="N349" t="s">
        <v>623</v>
      </c>
      <c r="O349" t="s">
        <v>152</v>
      </c>
      <c r="P349" t="s">
        <v>217</v>
      </c>
      <c r="Q349" t="s">
        <v>1372</v>
      </c>
      <c r="R349" t="s">
        <v>29</v>
      </c>
      <c r="S349" t="s">
        <v>624</v>
      </c>
      <c r="T349">
        <v>91.827916666666681</v>
      </c>
      <c r="U349" t="s">
        <v>52</v>
      </c>
      <c r="V349">
        <v>-1.3918644067796611</v>
      </c>
      <c r="W349"/>
      <c r="X349"/>
      <c r="Y349" t="s">
        <v>694</v>
      </c>
      <c r="Z349" t="s">
        <v>1366</v>
      </c>
      <c r="AA349" t="s">
        <v>1367</v>
      </c>
      <c r="AB349" t="s">
        <v>1368</v>
      </c>
      <c r="AC349" t="s">
        <v>130</v>
      </c>
      <c r="AD349" t="s">
        <v>60</v>
      </c>
    </row>
    <row r="350" spans="1:30">
      <c r="A350" t="s">
        <v>1364</v>
      </c>
      <c r="B350"/>
      <c r="C350" s="60">
        <v>45889</v>
      </c>
      <c r="D350" s="1" t="s">
        <v>130</v>
      </c>
      <c r="E350" s="1" t="s">
        <v>751</v>
      </c>
      <c r="F350">
        <v>2019</v>
      </c>
      <c r="G350" t="s">
        <v>1365</v>
      </c>
      <c r="H350" t="s">
        <v>147</v>
      </c>
      <c r="I350" s="21">
        <v>55</v>
      </c>
      <c r="J350" s="21">
        <v>5</v>
      </c>
      <c r="K350" s="21">
        <v>1958</v>
      </c>
      <c r="L350" s="21">
        <v>2016</v>
      </c>
      <c r="M350" s="21">
        <v>59</v>
      </c>
      <c r="N350" t="s">
        <v>623</v>
      </c>
      <c r="O350" t="s">
        <v>152</v>
      </c>
      <c r="P350" t="s">
        <v>217</v>
      </c>
      <c r="Q350" t="s">
        <v>1373</v>
      </c>
      <c r="R350" t="s">
        <v>29</v>
      </c>
      <c r="S350" t="s">
        <v>624</v>
      </c>
      <c r="T350">
        <v>300.54708333333338</v>
      </c>
      <c r="U350" t="s">
        <v>54</v>
      </c>
      <c r="V350">
        <v>-8.2677966101694924</v>
      </c>
      <c r="W350"/>
      <c r="X350"/>
      <c r="Y350" t="s">
        <v>694</v>
      </c>
      <c r="Z350" t="s">
        <v>1366</v>
      </c>
      <c r="AA350" t="s">
        <v>1367</v>
      </c>
      <c r="AB350" t="s">
        <v>1368</v>
      </c>
      <c r="AC350" t="s">
        <v>130</v>
      </c>
      <c r="AD350" t="s">
        <v>60</v>
      </c>
    </row>
    <row r="351" spans="1:30">
      <c r="A351" t="s">
        <v>1364</v>
      </c>
      <c r="B351"/>
      <c r="C351" s="60">
        <v>45889</v>
      </c>
      <c r="D351" s="1" t="s">
        <v>130</v>
      </c>
      <c r="E351" s="1" t="s">
        <v>751</v>
      </c>
      <c r="F351">
        <v>2019</v>
      </c>
      <c r="G351" t="s">
        <v>1365</v>
      </c>
      <c r="H351" t="s">
        <v>147</v>
      </c>
      <c r="I351" s="21">
        <v>55</v>
      </c>
      <c r="J351" s="21">
        <v>5</v>
      </c>
      <c r="K351" s="21">
        <v>1958</v>
      </c>
      <c r="L351" s="21">
        <v>2016</v>
      </c>
      <c r="M351" s="21">
        <v>59</v>
      </c>
      <c r="N351" t="s">
        <v>623</v>
      </c>
      <c r="O351" t="s">
        <v>152</v>
      </c>
      <c r="P351" t="s">
        <v>217</v>
      </c>
      <c r="Q351" t="s">
        <v>1373</v>
      </c>
      <c r="R351" t="s">
        <v>29</v>
      </c>
      <c r="S351" t="s">
        <v>624</v>
      </c>
      <c r="T351">
        <v>76.497916666666669</v>
      </c>
      <c r="U351" t="s">
        <v>52</v>
      </c>
      <c r="V351">
        <v>2.7627118644067798E-2</v>
      </c>
      <c r="W351"/>
      <c r="X351"/>
      <c r="Y351" t="s">
        <v>41</v>
      </c>
      <c r="Z351" t="s">
        <v>1366</v>
      </c>
      <c r="AA351" t="s">
        <v>1367</v>
      </c>
      <c r="AB351" t="s">
        <v>1368</v>
      </c>
      <c r="AC351" t="s">
        <v>130</v>
      </c>
      <c r="AD351" t="s">
        <v>60</v>
      </c>
    </row>
    <row r="352" spans="1:30">
      <c r="A352" t="s">
        <v>1364</v>
      </c>
      <c r="B352"/>
      <c r="C352" s="60">
        <v>45889</v>
      </c>
      <c r="D352" s="1" t="s">
        <v>130</v>
      </c>
      <c r="E352" s="1" t="s">
        <v>751</v>
      </c>
      <c r="F352">
        <v>2019</v>
      </c>
      <c r="G352" t="s">
        <v>1365</v>
      </c>
      <c r="H352" t="s">
        <v>147</v>
      </c>
      <c r="I352" s="21">
        <v>55</v>
      </c>
      <c r="J352" s="21">
        <v>5</v>
      </c>
      <c r="K352" s="21">
        <v>1958</v>
      </c>
      <c r="L352" s="21">
        <v>2016</v>
      </c>
      <c r="M352" s="21">
        <v>59</v>
      </c>
      <c r="N352" t="s">
        <v>623</v>
      </c>
      <c r="O352" t="s">
        <v>152</v>
      </c>
      <c r="P352" t="s">
        <v>217</v>
      </c>
      <c r="Q352" t="s">
        <v>1054</v>
      </c>
      <c r="R352" t="s">
        <v>29</v>
      </c>
      <c r="S352" t="s">
        <v>624</v>
      </c>
      <c r="T352">
        <v>261.73541666666671</v>
      </c>
      <c r="U352" t="s">
        <v>54</v>
      </c>
      <c r="V352">
        <v>1.432542372881356</v>
      </c>
      <c r="W352"/>
      <c r="X352"/>
      <c r="Y352" t="s">
        <v>41</v>
      </c>
      <c r="Z352" t="s">
        <v>1366</v>
      </c>
      <c r="AA352" t="s">
        <v>1367</v>
      </c>
      <c r="AB352" t="s">
        <v>1368</v>
      </c>
      <c r="AC352" t="s">
        <v>130</v>
      </c>
      <c r="AD352" t="s">
        <v>60</v>
      </c>
    </row>
    <row r="353" spans="1:30">
      <c r="A353" t="s">
        <v>1364</v>
      </c>
      <c r="B353"/>
      <c r="C353" s="60">
        <v>45889</v>
      </c>
      <c r="D353" s="1" t="s">
        <v>130</v>
      </c>
      <c r="E353" s="1" t="s">
        <v>751</v>
      </c>
      <c r="F353">
        <v>2019</v>
      </c>
      <c r="G353" t="s">
        <v>1365</v>
      </c>
      <c r="H353" t="s">
        <v>147</v>
      </c>
      <c r="I353" s="21">
        <v>55</v>
      </c>
      <c r="J353" s="21">
        <v>5</v>
      </c>
      <c r="K353" s="21">
        <v>1958</v>
      </c>
      <c r="L353" s="21">
        <v>2016</v>
      </c>
      <c r="M353" s="21">
        <v>59</v>
      </c>
      <c r="N353" t="s">
        <v>623</v>
      </c>
      <c r="O353" t="s">
        <v>152</v>
      </c>
      <c r="P353" t="s">
        <v>217</v>
      </c>
      <c r="Q353" t="s">
        <v>1054</v>
      </c>
      <c r="R353" t="s">
        <v>29</v>
      </c>
      <c r="S353" t="s">
        <v>624</v>
      </c>
      <c r="T353">
        <v>93.044583333333335</v>
      </c>
      <c r="U353" t="s">
        <v>52</v>
      </c>
      <c r="V353">
        <v>0.33440677966101695</v>
      </c>
      <c r="W353"/>
      <c r="X353"/>
      <c r="Y353" t="s">
        <v>41</v>
      </c>
      <c r="Z353" t="s">
        <v>1366</v>
      </c>
      <c r="AA353" t="s">
        <v>1367</v>
      </c>
      <c r="AB353" t="s">
        <v>1368</v>
      </c>
      <c r="AC353" t="s">
        <v>130</v>
      </c>
      <c r="AD353" t="s">
        <v>60</v>
      </c>
    </row>
    <row r="354" spans="1:30">
      <c r="A354" t="s">
        <v>1364</v>
      </c>
      <c r="B354"/>
      <c r="C354" s="60">
        <v>45889</v>
      </c>
      <c r="D354" s="1" t="s">
        <v>130</v>
      </c>
      <c r="E354" s="1" t="s">
        <v>751</v>
      </c>
      <c r="F354">
        <v>2019</v>
      </c>
      <c r="G354" t="s">
        <v>1365</v>
      </c>
      <c r="H354" t="s">
        <v>147</v>
      </c>
      <c r="I354" s="21">
        <v>55</v>
      </c>
      <c r="J354" s="21">
        <v>5</v>
      </c>
      <c r="K354" s="21">
        <v>1958</v>
      </c>
      <c r="L354" s="21">
        <v>2016</v>
      </c>
      <c r="M354" s="21">
        <v>59</v>
      </c>
      <c r="N354" t="s">
        <v>623</v>
      </c>
      <c r="O354" t="s">
        <v>152</v>
      </c>
      <c r="P354" t="s">
        <v>217</v>
      </c>
      <c r="Q354" t="s">
        <v>1352</v>
      </c>
      <c r="R354" t="s">
        <v>29</v>
      </c>
      <c r="S354" t="s">
        <v>624</v>
      </c>
      <c r="T354">
        <v>121.69708333333335</v>
      </c>
      <c r="U354" t="s">
        <v>52</v>
      </c>
      <c r="V354">
        <v>-3.2688135593220342</v>
      </c>
      <c r="W354"/>
      <c r="X354"/>
      <c r="Y354" t="s">
        <v>694</v>
      </c>
      <c r="Z354" t="s">
        <v>1366</v>
      </c>
      <c r="AA354" t="s">
        <v>1367</v>
      </c>
      <c r="AB354" t="s">
        <v>1368</v>
      </c>
      <c r="AC354" t="s">
        <v>130</v>
      </c>
      <c r="AD354" t="s">
        <v>60</v>
      </c>
    </row>
    <row r="355" spans="1:30">
      <c r="A355" t="s">
        <v>1364</v>
      </c>
      <c r="B355"/>
      <c r="C355" s="60">
        <v>45889</v>
      </c>
      <c r="D355" s="1" t="s">
        <v>130</v>
      </c>
      <c r="E355" s="1" t="s">
        <v>751</v>
      </c>
      <c r="F355">
        <v>2019</v>
      </c>
      <c r="G355" t="s">
        <v>1365</v>
      </c>
      <c r="H355" t="s">
        <v>147</v>
      </c>
      <c r="I355" s="21">
        <v>55</v>
      </c>
      <c r="J355" s="21">
        <v>5</v>
      </c>
      <c r="K355" s="21">
        <v>1958</v>
      </c>
      <c r="L355" s="21">
        <v>2016</v>
      </c>
      <c r="M355" s="21">
        <v>59</v>
      </c>
      <c r="N355" t="s">
        <v>623</v>
      </c>
      <c r="O355" t="s">
        <v>152</v>
      </c>
      <c r="P355" t="s">
        <v>217</v>
      </c>
      <c r="Q355" t="s">
        <v>1374</v>
      </c>
      <c r="R355" t="s">
        <v>29</v>
      </c>
      <c r="S355" t="s">
        <v>624</v>
      </c>
      <c r="T355">
        <v>277.06541666666669</v>
      </c>
      <c r="U355" t="s">
        <v>54</v>
      </c>
      <c r="V355">
        <v>-2.0320338983050847</v>
      </c>
      <c r="W355"/>
      <c r="X355"/>
      <c r="Y355" t="s">
        <v>694</v>
      </c>
      <c r="Z355" t="s">
        <v>1366</v>
      </c>
      <c r="AA355" t="s">
        <v>1367</v>
      </c>
      <c r="AB355" t="s">
        <v>1368</v>
      </c>
      <c r="AC355" t="s">
        <v>130</v>
      </c>
      <c r="AD355" t="s">
        <v>60</v>
      </c>
    </row>
    <row r="356" spans="1:30">
      <c r="A356" t="s">
        <v>1364</v>
      </c>
      <c r="B356"/>
      <c r="C356" s="60">
        <v>45889</v>
      </c>
      <c r="D356" s="1" t="s">
        <v>130</v>
      </c>
      <c r="E356" s="1" t="s">
        <v>751</v>
      </c>
      <c r="F356">
        <v>2019</v>
      </c>
      <c r="G356" t="s">
        <v>1365</v>
      </c>
      <c r="H356" t="s">
        <v>147</v>
      </c>
      <c r="I356" s="21">
        <v>55</v>
      </c>
      <c r="J356" s="21">
        <v>5</v>
      </c>
      <c r="K356" s="21">
        <v>1958</v>
      </c>
      <c r="L356" s="21">
        <v>2016</v>
      </c>
      <c r="M356" s="21">
        <v>59</v>
      </c>
      <c r="N356" t="s">
        <v>623</v>
      </c>
      <c r="O356" t="s">
        <v>152</v>
      </c>
      <c r="P356" t="s">
        <v>217</v>
      </c>
      <c r="Q356" t="s">
        <v>1374</v>
      </c>
      <c r="R356" t="s">
        <v>29</v>
      </c>
      <c r="S356" t="s">
        <v>624</v>
      </c>
      <c r="T356">
        <v>56.544583333333335</v>
      </c>
      <c r="U356" t="s">
        <v>52</v>
      </c>
      <c r="V356">
        <v>2.827796610169492</v>
      </c>
      <c r="W356"/>
      <c r="X356"/>
      <c r="Y356" t="s">
        <v>41</v>
      </c>
      <c r="Z356" t="s">
        <v>1366</v>
      </c>
      <c r="AA356" t="s">
        <v>1367</v>
      </c>
      <c r="AB356" t="s">
        <v>1368</v>
      </c>
      <c r="AC356" t="s">
        <v>130</v>
      </c>
      <c r="AD356" t="s">
        <v>60</v>
      </c>
    </row>
    <row r="357" spans="1:30">
      <c r="A357" t="s">
        <v>1364</v>
      </c>
      <c r="B357"/>
      <c r="C357" s="60">
        <v>45889</v>
      </c>
      <c r="D357" s="1" t="s">
        <v>130</v>
      </c>
      <c r="E357" s="1" t="s">
        <v>751</v>
      </c>
      <c r="F357">
        <v>2019</v>
      </c>
      <c r="G357" t="s">
        <v>1365</v>
      </c>
      <c r="H357" t="s">
        <v>147</v>
      </c>
      <c r="I357" s="21">
        <v>55</v>
      </c>
      <c r="J357" s="21">
        <v>5</v>
      </c>
      <c r="K357" s="21">
        <v>1958</v>
      </c>
      <c r="L357" s="21">
        <v>2016</v>
      </c>
      <c r="M357" s="21">
        <v>59</v>
      </c>
      <c r="N357" t="s">
        <v>623</v>
      </c>
      <c r="O357" t="s">
        <v>152</v>
      </c>
      <c r="P357" t="s">
        <v>217</v>
      </c>
      <c r="Q357" t="s">
        <v>1375</v>
      </c>
      <c r="R357" t="s">
        <v>29</v>
      </c>
      <c r="S357" t="s">
        <v>624</v>
      </c>
      <c r="T357">
        <v>283.17916666666667</v>
      </c>
      <c r="U357" t="s">
        <v>54</v>
      </c>
      <c r="V357">
        <v>0.87796610169491518</v>
      </c>
      <c r="W357"/>
      <c r="X357"/>
      <c r="Y357" t="s">
        <v>41</v>
      </c>
      <c r="Z357" t="s">
        <v>1366</v>
      </c>
      <c r="AA357" t="s">
        <v>1367</v>
      </c>
      <c r="AB357" t="s">
        <v>1368</v>
      </c>
      <c r="AC357" t="s">
        <v>130</v>
      </c>
      <c r="AD357" t="s">
        <v>60</v>
      </c>
    </row>
    <row r="358" spans="1:30">
      <c r="A358" t="s">
        <v>1364</v>
      </c>
      <c r="B358"/>
      <c r="C358" s="60">
        <v>45889</v>
      </c>
      <c r="D358" s="1" t="s">
        <v>130</v>
      </c>
      <c r="E358" s="1" t="s">
        <v>751</v>
      </c>
      <c r="F358">
        <v>2019</v>
      </c>
      <c r="G358" t="s">
        <v>1365</v>
      </c>
      <c r="H358" t="s">
        <v>147</v>
      </c>
      <c r="I358" s="21">
        <v>55</v>
      </c>
      <c r="J358" s="21">
        <v>5</v>
      </c>
      <c r="K358" s="21">
        <v>1958</v>
      </c>
      <c r="L358" s="21">
        <v>2016</v>
      </c>
      <c r="M358" s="21">
        <v>59</v>
      </c>
      <c r="N358" t="s">
        <v>623</v>
      </c>
      <c r="O358" t="s">
        <v>152</v>
      </c>
      <c r="P358" t="s">
        <v>217</v>
      </c>
      <c r="Q358" t="s">
        <v>1375</v>
      </c>
      <c r="R358" t="s">
        <v>29</v>
      </c>
      <c r="S358" t="s">
        <v>624</v>
      </c>
      <c r="T358">
        <v>81.455833333333331</v>
      </c>
      <c r="U358" t="s">
        <v>52</v>
      </c>
      <c r="V358">
        <v>-4.0167796610169493</v>
      </c>
      <c r="W358"/>
      <c r="X358"/>
      <c r="Y358" t="s">
        <v>694</v>
      </c>
      <c r="Z358" t="s">
        <v>1366</v>
      </c>
      <c r="AA358" t="s">
        <v>1367</v>
      </c>
      <c r="AB358" t="s">
        <v>1368</v>
      </c>
      <c r="AC358" t="s">
        <v>130</v>
      </c>
      <c r="AD358" t="s">
        <v>60</v>
      </c>
    </row>
    <row r="359" spans="1:30">
      <c r="A359" t="s">
        <v>1364</v>
      </c>
      <c r="B359"/>
      <c r="C359" s="60">
        <v>45889</v>
      </c>
      <c r="D359" s="1" t="s">
        <v>130</v>
      </c>
      <c r="E359" s="1" t="s">
        <v>751</v>
      </c>
      <c r="F359">
        <v>2019</v>
      </c>
      <c r="G359" t="s">
        <v>1365</v>
      </c>
      <c r="H359" t="s">
        <v>147</v>
      </c>
      <c r="I359" s="21">
        <v>55</v>
      </c>
      <c r="J359" s="21">
        <v>5</v>
      </c>
      <c r="K359" s="21">
        <v>1958</v>
      </c>
      <c r="L359" s="21">
        <v>2016</v>
      </c>
      <c r="M359" s="21">
        <v>59</v>
      </c>
      <c r="N359" t="s">
        <v>623</v>
      </c>
      <c r="O359" t="s">
        <v>152</v>
      </c>
      <c r="P359" t="s">
        <v>217</v>
      </c>
      <c r="Q359" t="s">
        <v>1351</v>
      </c>
      <c r="R359" t="s">
        <v>29</v>
      </c>
      <c r="S359" t="s">
        <v>624</v>
      </c>
      <c r="T359">
        <v>81.455833333333331</v>
      </c>
      <c r="U359" t="s">
        <v>52</v>
      </c>
      <c r="V359">
        <v>-3.4883050847457624</v>
      </c>
      <c r="W359"/>
      <c r="X359"/>
      <c r="Y359" t="s">
        <v>694</v>
      </c>
      <c r="Z359" t="s">
        <v>1366</v>
      </c>
      <c r="AA359" t="s">
        <v>1367</v>
      </c>
      <c r="AB359" t="s">
        <v>1368</v>
      </c>
      <c r="AC359" t="s">
        <v>130</v>
      </c>
      <c r="AD359" t="s">
        <v>60</v>
      </c>
    </row>
    <row r="360" spans="1:30">
      <c r="A360" t="s">
        <v>1364</v>
      </c>
      <c r="B360"/>
      <c r="C360" s="60">
        <v>45889</v>
      </c>
      <c r="D360" s="1" t="s">
        <v>130</v>
      </c>
      <c r="E360" s="1" t="s">
        <v>751</v>
      </c>
      <c r="F360">
        <v>2019</v>
      </c>
      <c r="G360" t="s">
        <v>1365</v>
      </c>
      <c r="H360" t="s">
        <v>147</v>
      </c>
      <c r="I360" s="21">
        <v>55</v>
      </c>
      <c r="J360" s="21">
        <v>5</v>
      </c>
      <c r="K360" s="21">
        <v>1958</v>
      </c>
      <c r="L360" s="21">
        <v>2016</v>
      </c>
      <c r="M360" s="21">
        <v>59</v>
      </c>
      <c r="N360" t="s">
        <v>623</v>
      </c>
      <c r="O360" t="s">
        <v>152</v>
      </c>
      <c r="P360" t="s">
        <v>217</v>
      </c>
      <c r="Q360" t="s">
        <v>1357</v>
      </c>
      <c r="R360" t="s">
        <v>29</v>
      </c>
      <c r="S360" t="s">
        <v>624</v>
      </c>
      <c r="T360">
        <v>256.10833333333335</v>
      </c>
      <c r="U360" t="s">
        <v>54</v>
      </c>
      <c r="V360">
        <v>-1.0262711864406779</v>
      </c>
      <c r="W360"/>
      <c r="X360"/>
      <c r="Y360" t="s">
        <v>694</v>
      </c>
      <c r="Z360" t="s">
        <v>1366</v>
      </c>
      <c r="AA360" t="s">
        <v>1367</v>
      </c>
      <c r="AB360" t="s">
        <v>1368</v>
      </c>
      <c r="AC360" t="s">
        <v>130</v>
      </c>
      <c r="AD360" t="s">
        <v>60</v>
      </c>
    </row>
    <row r="361" spans="1:30">
      <c r="A361" t="s">
        <v>1364</v>
      </c>
      <c r="B361"/>
      <c r="C361" s="60">
        <v>45889</v>
      </c>
      <c r="D361" s="1" t="s">
        <v>130</v>
      </c>
      <c r="E361" s="1" t="s">
        <v>751</v>
      </c>
      <c r="F361">
        <v>2019</v>
      </c>
      <c r="G361" t="s">
        <v>1365</v>
      </c>
      <c r="H361" t="s">
        <v>147</v>
      </c>
      <c r="I361" s="21">
        <v>55</v>
      </c>
      <c r="J361" s="21">
        <v>5</v>
      </c>
      <c r="K361" s="21">
        <v>1958</v>
      </c>
      <c r="L361" s="21">
        <v>2016</v>
      </c>
      <c r="M361" s="21">
        <v>59</v>
      </c>
      <c r="N361" t="s">
        <v>623</v>
      </c>
      <c r="O361" t="s">
        <v>152</v>
      </c>
      <c r="P361" t="s">
        <v>217</v>
      </c>
      <c r="Q361" t="s">
        <v>1356</v>
      </c>
      <c r="R361" t="s">
        <v>29</v>
      </c>
      <c r="S361" t="s">
        <v>624</v>
      </c>
      <c r="T361">
        <v>192.96333333333334</v>
      </c>
      <c r="U361" t="s">
        <v>53</v>
      </c>
      <c r="V361">
        <v>-1.6677966101694917</v>
      </c>
      <c r="W361"/>
      <c r="X361"/>
      <c r="Y361" t="s">
        <v>694</v>
      </c>
      <c r="Z361" t="s">
        <v>1366</v>
      </c>
      <c r="AA361" t="s">
        <v>1367</v>
      </c>
      <c r="AB361" t="s">
        <v>1368</v>
      </c>
      <c r="AC361" t="s">
        <v>130</v>
      </c>
      <c r="AD361" t="s">
        <v>60</v>
      </c>
    </row>
    <row r="362" spans="1:30">
      <c r="A362" t="s">
        <v>1364</v>
      </c>
      <c r="B362"/>
      <c r="C362" s="60">
        <v>45889</v>
      </c>
      <c r="D362" s="1" t="s">
        <v>130</v>
      </c>
      <c r="E362" s="1" t="s">
        <v>751</v>
      </c>
      <c r="F362">
        <v>2019</v>
      </c>
      <c r="G362" t="s">
        <v>1365</v>
      </c>
      <c r="H362" t="s">
        <v>147</v>
      </c>
      <c r="I362" s="21">
        <v>55</v>
      </c>
      <c r="J362" s="21">
        <v>5</v>
      </c>
      <c r="K362" s="21">
        <v>1958</v>
      </c>
      <c r="L362" s="21">
        <v>2016</v>
      </c>
      <c r="M362" s="21">
        <v>59</v>
      </c>
      <c r="N362" t="s">
        <v>623</v>
      </c>
      <c r="O362" t="s">
        <v>152</v>
      </c>
      <c r="P362" t="s">
        <v>217</v>
      </c>
      <c r="Q362" t="s">
        <v>1376</v>
      </c>
      <c r="R362" t="s">
        <v>29</v>
      </c>
      <c r="S362" t="s">
        <v>624</v>
      </c>
      <c r="T362">
        <v>222.55875</v>
      </c>
      <c r="U362" t="s">
        <v>53</v>
      </c>
      <c r="V362">
        <v>-6.0222033898305085</v>
      </c>
      <c r="W362"/>
      <c r="X362"/>
      <c r="Y362" t="s">
        <v>694</v>
      </c>
      <c r="Z362" t="s">
        <v>1366</v>
      </c>
      <c r="AA362" t="s">
        <v>1367</v>
      </c>
      <c r="AB362" t="s">
        <v>1368</v>
      </c>
      <c r="AC362" t="s">
        <v>130</v>
      </c>
      <c r="AD362" t="s">
        <v>60</v>
      </c>
    </row>
    <row r="363" spans="1:30">
      <c r="A363" t="s">
        <v>1364</v>
      </c>
      <c r="B363"/>
      <c r="C363" s="60">
        <v>45889</v>
      </c>
      <c r="D363" s="1" t="s">
        <v>130</v>
      </c>
      <c r="E363" s="1" t="s">
        <v>751</v>
      </c>
      <c r="F363">
        <v>2019</v>
      </c>
      <c r="G363" t="s">
        <v>1365</v>
      </c>
      <c r="H363" t="s">
        <v>147</v>
      </c>
      <c r="I363" s="21">
        <v>55</v>
      </c>
      <c r="J363" s="21">
        <v>5</v>
      </c>
      <c r="K363" s="21">
        <v>1958</v>
      </c>
      <c r="L363" s="21">
        <v>2016</v>
      </c>
      <c r="M363" s="21">
        <v>59</v>
      </c>
      <c r="N363" t="s">
        <v>623</v>
      </c>
      <c r="O363" t="s">
        <v>152</v>
      </c>
      <c r="P363" t="s">
        <v>217</v>
      </c>
      <c r="Q363" t="s">
        <v>1377</v>
      </c>
      <c r="R363" t="s">
        <v>29</v>
      </c>
      <c r="S363" t="s">
        <v>624</v>
      </c>
      <c r="T363">
        <v>238.52750000000003</v>
      </c>
      <c r="U363" t="s">
        <v>54</v>
      </c>
      <c r="V363">
        <v>8.1694915254237277E-2</v>
      </c>
      <c r="W363"/>
      <c r="X363"/>
      <c r="Y363" t="s">
        <v>41</v>
      </c>
      <c r="Z363" t="s">
        <v>1366</v>
      </c>
      <c r="AA363" t="s">
        <v>1367</v>
      </c>
      <c r="AB363" t="s">
        <v>1368</v>
      </c>
      <c r="AC363" t="s">
        <v>130</v>
      </c>
      <c r="AD363" t="s">
        <v>60</v>
      </c>
    </row>
    <row r="364" spans="1:30">
      <c r="A364" t="s">
        <v>1364</v>
      </c>
      <c r="B364"/>
      <c r="C364" s="60">
        <v>45889</v>
      </c>
      <c r="D364" s="1" t="s">
        <v>130</v>
      </c>
      <c r="E364" s="1" t="s">
        <v>751</v>
      </c>
      <c r="F364">
        <v>2019</v>
      </c>
      <c r="G364" t="s">
        <v>1365</v>
      </c>
      <c r="H364" t="s">
        <v>147</v>
      </c>
      <c r="I364" s="21">
        <v>55</v>
      </c>
      <c r="J364" s="21">
        <v>5</v>
      </c>
      <c r="K364" s="21">
        <v>1958</v>
      </c>
      <c r="L364" s="21">
        <v>2016</v>
      </c>
      <c r="M364" s="21">
        <v>59</v>
      </c>
      <c r="N364" t="s">
        <v>623</v>
      </c>
      <c r="O364" t="s">
        <v>152</v>
      </c>
      <c r="P364" t="s">
        <v>217</v>
      </c>
      <c r="Q364" t="s">
        <v>1377</v>
      </c>
      <c r="R364" t="s">
        <v>29</v>
      </c>
      <c r="S364" t="s">
        <v>624</v>
      </c>
      <c r="T364">
        <v>92.557916666666671</v>
      </c>
      <c r="U364" t="s">
        <v>52</v>
      </c>
      <c r="V364">
        <v>3.2737288135593223</v>
      </c>
      <c r="W364"/>
      <c r="X364"/>
      <c r="Y364" t="s">
        <v>41</v>
      </c>
      <c r="Z364" t="s">
        <v>1366</v>
      </c>
      <c r="AA364" t="s">
        <v>1367</v>
      </c>
      <c r="AB364" t="s">
        <v>1368</v>
      </c>
      <c r="AC364" t="s">
        <v>130</v>
      </c>
      <c r="AD364" t="s">
        <v>60</v>
      </c>
    </row>
    <row r="365" spans="1:30">
      <c r="A365" t="s">
        <v>1364</v>
      </c>
      <c r="B365"/>
      <c r="C365" s="60">
        <v>45889</v>
      </c>
      <c r="D365" s="1" t="s">
        <v>130</v>
      </c>
      <c r="E365" s="1" t="s">
        <v>751</v>
      </c>
      <c r="F365">
        <v>2019</v>
      </c>
      <c r="G365" t="s">
        <v>1365</v>
      </c>
      <c r="H365" t="s">
        <v>147</v>
      </c>
      <c r="I365" s="21">
        <v>55</v>
      </c>
      <c r="J365" s="21">
        <v>5</v>
      </c>
      <c r="K365" s="21">
        <v>1958</v>
      </c>
      <c r="L365" s="21">
        <v>2016</v>
      </c>
      <c r="M365" s="21">
        <v>59</v>
      </c>
      <c r="N365" t="s">
        <v>623</v>
      </c>
      <c r="O365" t="s">
        <v>152</v>
      </c>
      <c r="P365" t="s">
        <v>217</v>
      </c>
      <c r="Q365" t="s">
        <v>1378</v>
      </c>
      <c r="R365" t="s">
        <v>29</v>
      </c>
      <c r="S365" t="s">
        <v>624</v>
      </c>
      <c r="T365">
        <v>263.28666666666669</v>
      </c>
      <c r="U365" t="s">
        <v>54</v>
      </c>
      <c r="V365">
        <v>-6.5671186440677962</v>
      </c>
      <c r="W365"/>
      <c r="X365"/>
      <c r="Y365" t="s">
        <v>694</v>
      </c>
      <c r="Z365" t="s">
        <v>1366</v>
      </c>
      <c r="AA365" t="s">
        <v>1367</v>
      </c>
      <c r="AB365" t="s">
        <v>1368</v>
      </c>
      <c r="AC365" t="s">
        <v>130</v>
      </c>
      <c r="AD365" t="s">
        <v>60</v>
      </c>
    </row>
    <row r="366" spans="1:30">
      <c r="A366" t="s">
        <v>1364</v>
      </c>
      <c r="B366"/>
      <c r="C366" s="60">
        <v>45889</v>
      </c>
      <c r="D366" s="1" t="s">
        <v>130</v>
      </c>
      <c r="E366" s="1" t="s">
        <v>751</v>
      </c>
      <c r="F366">
        <v>2019</v>
      </c>
      <c r="G366" t="s">
        <v>1365</v>
      </c>
      <c r="H366" t="s">
        <v>147</v>
      </c>
      <c r="I366" s="21">
        <v>55</v>
      </c>
      <c r="J366" s="21">
        <v>5</v>
      </c>
      <c r="K366" s="21">
        <v>1958</v>
      </c>
      <c r="L366" s="21">
        <v>2016</v>
      </c>
      <c r="M366" s="21">
        <v>59</v>
      </c>
      <c r="N366" t="s">
        <v>623</v>
      </c>
      <c r="O366" t="s">
        <v>152</v>
      </c>
      <c r="P366" t="s">
        <v>217</v>
      </c>
      <c r="Q366" t="s">
        <v>1378</v>
      </c>
      <c r="R366" t="s">
        <v>29</v>
      </c>
      <c r="S366" t="s">
        <v>624</v>
      </c>
      <c r="T366">
        <v>95.99499999999999</v>
      </c>
      <c r="U366" t="s">
        <v>52</v>
      </c>
      <c r="V366">
        <v>-0.13779661016949152</v>
      </c>
      <c r="W366"/>
      <c r="X366"/>
      <c r="Y366" t="s">
        <v>694</v>
      </c>
      <c r="Z366" t="s">
        <v>1366</v>
      </c>
      <c r="AA366" t="s">
        <v>1367</v>
      </c>
      <c r="AB366" t="s">
        <v>1368</v>
      </c>
      <c r="AC366" t="s">
        <v>130</v>
      </c>
      <c r="AD366" t="s">
        <v>60</v>
      </c>
    </row>
    <row r="367" spans="1:30">
      <c r="A367" t="s">
        <v>1364</v>
      </c>
      <c r="B367"/>
      <c r="C367" s="60">
        <v>45889</v>
      </c>
      <c r="D367" s="1" t="s">
        <v>130</v>
      </c>
      <c r="E367" s="1" t="s">
        <v>751</v>
      </c>
      <c r="F367">
        <v>2019</v>
      </c>
      <c r="G367" t="s">
        <v>1365</v>
      </c>
      <c r="H367" t="s">
        <v>147</v>
      </c>
      <c r="I367" s="21">
        <v>55</v>
      </c>
      <c r="J367" s="21">
        <v>5</v>
      </c>
      <c r="K367" s="21">
        <v>1958</v>
      </c>
      <c r="L367" s="21">
        <v>2016</v>
      </c>
      <c r="M367" s="21">
        <v>59</v>
      </c>
      <c r="N367" t="s">
        <v>623</v>
      </c>
      <c r="O367" t="s">
        <v>152</v>
      </c>
      <c r="P367" t="s">
        <v>217</v>
      </c>
      <c r="Q367" t="s">
        <v>1379</v>
      </c>
      <c r="R367" t="s">
        <v>29</v>
      </c>
      <c r="S367" t="s">
        <v>624</v>
      </c>
      <c r="T367">
        <v>256.26041666666669</v>
      </c>
      <c r="U367" t="s">
        <v>54</v>
      </c>
      <c r="V367">
        <v>-1.2306779661016949</v>
      </c>
      <c r="W367"/>
      <c r="X367"/>
      <c r="Y367" t="s">
        <v>694</v>
      </c>
      <c r="Z367" t="s">
        <v>1366</v>
      </c>
      <c r="AA367" t="s">
        <v>1367</v>
      </c>
      <c r="AB367" t="s">
        <v>1368</v>
      </c>
      <c r="AC367" t="s">
        <v>130</v>
      </c>
      <c r="AD367" t="s">
        <v>60</v>
      </c>
    </row>
    <row r="368" spans="1:30">
      <c r="A368" t="s">
        <v>1364</v>
      </c>
      <c r="B368"/>
      <c r="C368" s="60">
        <v>45889</v>
      </c>
      <c r="D368" s="1" t="s">
        <v>130</v>
      </c>
      <c r="E368" s="1" t="s">
        <v>751</v>
      </c>
      <c r="F368">
        <v>2019</v>
      </c>
      <c r="G368" t="s">
        <v>1365</v>
      </c>
      <c r="H368" t="s">
        <v>147</v>
      </c>
      <c r="I368" s="21">
        <v>55</v>
      </c>
      <c r="J368" s="21">
        <v>5</v>
      </c>
      <c r="K368" s="21">
        <v>1958</v>
      </c>
      <c r="L368" s="21">
        <v>2016</v>
      </c>
      <c r="M368" s="21">
        <v>59</v>
      </c>
      <c r="N368" t="s">
        <v>623</v>
      </c>
      <c r="O368" t="s">
        <v>152</v>
      </c>
      <c r="P368" t="s">
        <v>217</v>
      </c>
      <c r="Q368" t="s">
        <v>1379</v>
      </c>
      <c r="R368" t="s">
        <v>29</v>
      </c>
      <c r="S368" t="s">
        <v>624</v>
      </c>
      <c r="T368">
        <v>97.242083333333341</v>
      </c>
      <c r="U368" t="s">
        <v>52</v>
      </c>
      <c r="V368">
        <v>-1.6891525423728813</v>
      </c>
      <c r="W368"/>
      <c r="X368"/>
      <c r="Y368" t="s">
        <v>694</v>
      </c>
      <c r="Z368" t="s">
        <v>1366</v>
      </c>
      <c r="AA368" t="s">
        <v>1367</v>
      </c>
      <c r="AB368" t="s">
        <v>1368</v>
      </c>
      <c r="AC368" t="s">
        <v>130</v>
      </c>
      <c r="AD368" t="s">
        <v>60</v>
      </c>
    </row>
    <row r="369" spans="1:30">
      <c r="A369" t="s">
        <v>1364</v>
      </c>
      <c r="B369"/>
      <c r="C369" s="60">
        <v>45889</v>
      </c>
      <c r="D369" s="1" t="s">
        <v>130</v>
      </c>
      <c r="E369" s="1" t="s">
        <v>751</v>
      </c>
      <c r="F369">
        <v>2019</v>
      </c>
      <c r="G369" t="s">
        <v>1365</v>
      </c>
      <c r="H369" t="s">
        <v>147</v>
      </c>
      <c r="I369" s="21">
        <v>55</v>
      </c>
      <c r="J369" s="21">
        <v>5</v>
      </c>
      <c r="K369" s="21">
        <v>1958</v>
      </c>
      <c r="L369" s="21">
        <v>2016</v>
      </c>
      <c r="M369" s="21">
        <v>59</v>
      </c>
      <c r="N369" t="s">
        <v>623</v>
      </c>
      <c r="O369" t="s">
        <v>152</v>
      </c>
      <c r="P369" t="s">
        <v>217</v>
      </c>
      <c r="Q369" t="s">
        <v>1380</v>
      </c>
      <c r="R369" t="s">
        <v>29</v>
      </c>
      <c r="S369" t="s">
        <v>624</v>
      </c>
      <c r="T369">
        <v>147.52083333333331</v>
      </c>
      <c r="U369" t="s">
        <v>52</v>
      </c>
      <c r="V369">
        <v>0.69830508474576269</v>
      </c>
      <c r="W369"/>
      <c r="X369"/>
      <c r="Y369" t="s">
        <v>694</v>
      </c>
      <c r="Z369" t="s">
        <v>1366</v>
      </c>
      <c r="AA369" t="s">
        <v>1367</v>
      </c>
      <c r="AB369" t="s">
        <v>1368</v>
      </c>
      <c r="AC369" t="s">
        <v>130</v>
      </c>
      <c r="AD369" t="s">
        <v>60</v>
      </c>
    </row>
    <row r="370" spans="1:30">
      <c r="A370" t="s">
        <v>1364</v>
      </c>
      <c r="B370"/>
      <c r="C370" s="60">
        <v>45889</v>
      </c>
      <c r="D370" s="1" t="s">
        <v>130</v>
      </c>
      <c r="E370" s="1" t="s">
        <v>751</v>
      </c>
      <c r="F370">
        <v>2019</v>
      </c>
      <c r="G370" t="s">
        <v>1365</v>
      </c>
      <c r="H370" t="s">
        <v>147</v>
      </c>
      <c r="I370" s="21">
        <v>55</v>
      </c>
      <c r="J370" s="21">
        <v>5</v>
      </c>
      <c r="K370" s="21">
        <v>1958</v>
      </c>
      <c r="L370" s="21">
        <v>2016</v>
      </c>
      <c r="M370" s="21">
        <v>59</v>
      </c>
      <c r="N370" t="s">
        <v>623</v>
      </c>
      <c r="O370" t="s">
        <v>152</v>
      </c>
      <c r="P370" t="s">
        <v>217</v>
      </c>
      <c r="Q370" t="s">
        <v>1058</v>
      </c>
      <c r="R370" t="s">
        <v>29</v>
      </c>
      <c r="S370" t="s">
        <v>624</v>
      </c>
      <c r="T370">
        <v>209.93583333333333</v>
      </c>
      <c r="U370" t="s">
        <v>53</v>
      </c>
      <c r="V370">
        <v>-6.4854237288135597</v>
      </c>
      <c r="W370"/>
      <c r="X370"/>
      <c r="Y370" t="s">
        <v>694</v>
      </c>
      <c r="Z370" t="s">
        <v>1366</v>
      </c>
      <c r="AA370" t="s">
        <v>1367</v>
      </c>
      <c r="AB370" t="s">
        <v>1368</v>
      </c>
      <c r="AC370" t="s">
        <v>130</v>
      </c>
      <c r="AD370" t="s">
        <v>60</v>
      </c>
    </row>
    <row r="371" spans="1:30">
      <c r="A371" t="s">
        <v>1364</v>
      </c>
      <c r="B371"/>
      <c r="C371" s="60">
        <v>45889</v>
      </c>
      <c r="D371" s="1" t="s">
        <v>130</v>
      </c>
      <c r="E371" s="1" t="s">
        <v>751</v>
      </c>
      <c r="F371">
        <v>2019</v>
      </c>
      <c r="G371" t="s">
        <v>1365</v>
      </c>
      <c r="H371" t="s">
        <v>147</v>
      </c>
      <c r="I371" s="21">
        <v>55</v>
      </c>
      <c r="J371" s="21">
        <v>5</v>
      </c>
      <c r="K371" s="21">
        <v>1958</v>
      </c>
      <c r="L371" s="21">
        <v>2016</v>
      </c>
      <c r="M371" s="21">
        <v>59</v>
      </c>
      <c r="N371" t="s">
        <v>623</v>
      </c>
      <c r="O371" t="s">
        <v>152</v>
      </c>
      <c r="P371" t="s">
        <v>217</v>
      </c>
      <c r="Q371" t="s">
        <v>1057</v>
      </c>
      <c r="R371" t="s">
        <v>29</v>
      </c>
      <c r="S371" t="s">
        <v>624</v>
      </c>
      <c r="T371">
        <v>275.11875000000003</v>
      </c>
      <c r="U371" t="s">
        <v>54</v>
      </c>
      <c r="V371">
        <v>-1.6228813559322033</v>
      </c>
      <c r="W371"/>
      <c r="X371"/>
      <c r="Y371" t="s">
        <v>694</v>
      </c>
      <c r="Z371" t="s">
        <v>1366</v>
      </c>
      <c r="AA371" t="s">
        <v>1367</v>
      </c>
      <c r="AB371" t="s">
        <v>1368</v>
      </c>
      <c r="AC371" t="s">
        <v>130</v>
      </c>
      <c r="AD371" t="s">
        <v>60</v>
      </c>
    </row>
    <row r="372" spans="1:30">
      <c r="A372" t="s">
        <v>1364</v>
      </c>
      <c r="B372"/>
      <c r="C372" s="60">
        <v>45889</v>
      </c>
      <c r="D372" s="1" t="s">
        <v>130</v>
      </c>
      <c r="E372" s="1" t="s">
        <v>751</v>
      </c>
      <c r="F372">
        <v>2019</v>
      </c>
      <c r="G372" t="s">
        <v>1365</v>
      </c>
      <c r="H372" t="s">
        <v>147</v>
      </c>
      <c r="I372" s="21">
        <v>55</v>
      </c>
      <c r="J372" s="21">
        <v>5</v>
      </c>
      <c r="K372" s="21">
        <v>1958</v>
      </c>
      <c r="L372" s="21">
        <v>2016</v>
      </c>
      <c r="M372" s="21">
        <v>59</v>
      </c>
      <c r="N372" t="s">
        <v>623</v>
      </c>
      <c r="O372" t="s">
        <v>152</v>
      </c>
      <c r="P372" t="s">
        <v>217</v>
      </c>
      <c r="Q372" t="s">
        <v>1057</v>
      </c>
      <c r="R372" t="s">
        <v>29</v>
      </c>
      <c r="S372" t="s">
        <v>624</v>
      </c>
      <c r="T372">
        <v>97.637500000000003</v>
      </c>
      <c r="U372" t="s">
        <v>52</v>
      </c>
      <c r="V372">
        <v>-2.9877966101694913</v>
      </c>
      <c r="W372"/>
      <c r="X372"/>
      <c r="Y372" t="s">
        <v>694</v>
      </c>
      <c r="Z372" t="s">
        <v>1366</v>
      </c>
      <c r="AA372" t="s">
        <v>1367</v>
      </c>
      <c r="AB372" t="s">
        <v>1368</v>
      </c>
      <c r="AC372" t="s">
        <v>130</v>
      </c>
      <c r="AD372" t="s">
        <v>60</v>
      </c>
    </row>
    <row r="373" spans="1:30">
      <c r="A373" t="s">
        <v>1364</v>
      </c>
      <c r="B373"/>
      <c r="C373" s="60">
        <v>45889</v>
      </c>
      <c r="D373" s="1" t="s">
        <v>130</v>
      </c>
      <c r="E373" s="1" t="s">
        <v>751</v>
      </c>
      <c r="F373">
        <v>2019</v>
      </c>
      <c r="G373" t="s">
        <v>1365</v>
      </c>
      <c r="H373" t="s">
        <v>147</v>
      </c>
      <c r="I373" s="21">
        <v>55</v>
      </c>
      <c r="J373" s="21">
        <v>5</v>
      </c>
      <c r="K373" s="21">
        <v>1958</v>
      </c>
      <c r="L373" s="21">
        <v>2016</v>
      </c>
      <c r="M373" s="21">
        <v>59</v>
      </c>
      <c r="N373" t="s">
        <v>623</v>
      </c>
      <c r="O373" t="s">
        <v>152</v>
      </c>
      <c r="P373" t="s">
        <v>217</v>
      </c>
      <c r="Q373" t="s">
        <v>1067</v>
      </c>
      <c r="R373" t="s">
        <v>29</v>
      </c>
      <c r="S373" t="s">
        <v>624</v>
      </c>
      <c r="T373">
        <v>113.14999999999999</v>
      </c>
      <c r="U373" t="s">
        <v>52</v>
      </c>
      <c r="V373">
        <v>-5.0652542372881362</v>
      </c>
      <c r="W373"/>
      <c r="X373"/>
      <c r="Y373" t="s">
        <v>694</v>
      </c>
      <c r="Z373" t="s">
        <v>1366</v>
      </c>
      <c r="AA373" t="s">
        <v>1367</v>
      </c>
      <c r="AB373" t="s">
        <v>1368</v>
      </c>
      <c r="AC373" t="s">
        <v>130</v>
      </c>
      <c r="AD373" t="s">
        <v>60</v>
      </c>
    </row>
    <row r="374" spans="1:30">
      <c r="A374" t="s">
        <v>1364</v>
      </c>
      <c r="B374"/>
      <c r="C374" s="60">
        <v>45889</v>
      </c>
      <c r="D374" s="1" t="s">
        <v>130</v>
      </c>
      <c r="E374" s="1" t="s">
        <v>751</v>
      </c>
      <c r="F374">
        <v>2019</v>
      </c>
      <c r="G374" t="s">
        <v>1365</v>
      </c>
      <c r="H374" t="s">
        <v>147</v>
      </c>
      <c r="I374" s="21">
        <v>55</v>
      </c>
      <c r="J374" s="21">
        <v>5</v>
      </c>
      <c r="K374" s="21">
        <v>1958</v>
      </c>
      <c r="L374" s="21">
        <v>2016</v>
      </c>
      <c r="M374" s="21">
        <v>59</v>
      </c>
      <c r="N374" t="s">
        <v>623</v>
      </c>
      <c r="O374" t="s">
        <v>152</v>
      </c>
      <c r="P374" t="s">
        <v>217</v>
      </c>
      <c r="Q374" t="s">
        <v>1381</v>
      </c>
      <c r="R374" t="s">
        <v>29</v>
      </c>
      <c r="S374" t="s">
        <v>624</v>
      </c>
      <c r="T374">
        <v>285.27791666666667</v>
      </c>
      <c r="U374" t="s">
        <v>54</v>
      </c>
      <c r="V374">
        <v>-0.6688135593220339</v>
      </c>
      <c r="W374"/>
      <c r="X374"/>
      <c r="Y374" t="s">
        <v>694</v>
      </c>
      <c r="Z374" t="s">
        <v>1366</v>
      </c>
      <c r="AA374" t="s">
        <v>1367</v>
      </c>
      <c r="AB374" t="s">
        <v>1368</v>
      </c>
      <c r="AC374" t="s">
        <v>130</v>
      </c>
      <c r="AD374" t="s">
        <v>60</v>
      </c>
    </row>
    <row r="375" spans="1:30">
      <c r="A375" t="s">
        <v>1364</v>
      </c>
      <c r="B375"/>
      <c r="C375" s="60">
        <v>45889</v>
      </c>
      <c r="D375" s="1" t="s">
        <v>130</v>
      </c>
      <c r="E375" s="1" t="s">
        <v>751</v>
      </c>
      <c r="F375">
        <v>2019</v>
      </c>
      <c r="G375" t="s">
        <v>1365</v>
      </c>
      <c r="H375" t="s">
        <v>147</v>
      </c>
      <c r="I375" s="21">
        <v>55</v>
      </c>
      <c r="J375" s="21">
        <v>5</v>
      </c>
      <c r="K375" s="21">
        <v>1958</v>
      </c>
      <c r="L375" s="21">
        <v>2016</v>
      </c>
      <c r="M375" s="21">
        <v>59</v>
      </c>
      <c r="N375" t="s">
        <v>623</v>
      </c>
      <c r="O375" t="s">
        <v>152</v>
      </c>
      <c r="P375" t="s">
        <v>217</v>
      </c>
      <c r="Q375" t="s">
        <v>1381</v>
      </c>
      <c r="R375" t="s">
        <v>29</v>
      </c>
      <c r="S375" t="s">
        <v>624</v>
      </c>
      <c r="T375">
        <v>70.749166666666667</v>
      </c>
      <c r="U375" t="s">
        <v>52</v>
      </c>
      <c r="V375">
        <v>-1.4901694915254238</v>
      </c>
      <c r="W375"/>
      <c r="X375"/>
      <c r="Y375" t="s">
        <v>694</v>
      </c>
      <c r="Z375" t="s">
        <v>1366</v>
      </c>
      <c r="AA375" t="s">
        <v>1367</v>
      </c>
      <c r="AB375" t="s">
        <v>1368</v>
      </c>
      <c r="AC375" t="s">
        <v>130</v>
      </c>
      <c r="AD375" t="s">
        <v>60</v>
      </c>
    </row>
    <row r="376" spans="1:30">
      <c r="A376" t="s">
        <v>1364</v>
      </c>
      <c r="B376"/>
      <c r="C376" s="60">
        <v>45889</v>
      </c>
      <c r="D376" s="1" t="s">
        <v>130</v>
      </c>
      <c r="E376" s="1" t="s">
        <v>751</v>
      </c>
      <c r="F376">
        <v>2019</v>
      </c>
      <c r="G376" t="s">
        <v>1365</v>
      </c>
      <c r="H376" t="s">
        <v>147</v>
      </c>
      <c r="I376" s="21">
        <v>55</v>
      </c>
      <c r="J376" s="21">
        <v>5</v>
      </c>
      <c r="K376" s="21">
        <v>1958</v>
      </c>
      <c r="L376" s="21">
        <v>2016</v>
      </c>
      <c r="M376" s="21">
        <v>59</v>
      </c>
      <c r="N376" t="s">
        <v>623</v>
      </c>
      <c r="O376" t="s">
        <v>152</v>
      </c>
      <c r="P376" t="s">
        <v>217</v>
      </c>
      <c r="Q376" t="s">
        <v>1056</v>
      </c>
      <c r="R376" t="s">
        <v>29</v>
      </c>
      <c r="S376" t="s">
        <v>624</v>
      </c>
      <c r="T376">
        <v>105.63708333333334</v>
      </c>
      <c r="U376" t="s">
        <v>52</v>
      </c>
      <c r="V376">
        <v>0.13966101694915253</v>
      </c>
      <c r="W376"/>
      <c r="X376"/>
      <c r="Y376" t="s">
        <v>41</v>
      </c>
      <c r="Z376" t="s">
        <v>1366</v>
      </c>
      <c r="AA376" t="s">
        <v>1367</v>
      </c>
      <c r="AB376" t="s">
        <v>1368</v>
      </c>
      <c r="AC376" t="s">
        <v>130</v>
      </c>
      <c r="AD376" t="s">
        <v>60</v>
      </c>
    </row>
    <row r="377" spans="1:30">
      <c r="A377" t="s">
        <v>1364</v>
      </c>
      <c r="B377"/>
      <c r="C377" s="60">
        <v>45889</v>
      </c>
      <c r="D377" s="1" t="s">
        <v>130</v>
      </c>
      <c r="E377" s="1" t="s">
        <v>751</v>
      </c>
      <c r="F377">
        <v>2019</v>
      </c>
      <c r="G377" t="s">
        <v>1365</v>
      </c>
      <c r="H377" t="s">
        <v>147</v>
      </c>
      <c r="I377" s="21">
        <v>55</v>
      </c>
      <c r="J377" s="21">
        <v>5</v>
      </c>
      <c r="K377" s="21">
        <v>1958</v>
      </c>
      <c r="L377" s="21">
        <v>2016</v>
      </c>
      <c r="M377" s="21">
        <v>59</v>
      </c>
      <c r="N377" t="s">
        <v>623</v>
      </c>
      <c r="O377" t="s">
        <v>152</v>
      </c>
      <c r="P377" t="s">
        <v>217</v>
      </c>
      <c r="Q377" t="s">
        <v>1059</v>
      </c>
      <c r="R377" t="s">
        <v>29</v>
      </c>
      <c r="S377" t="s">
        <v>624</v>
      </c>
      <c r="T377">
        <v>157.95374999999999</v>
      </c>
      <c r="U377" t="s">
        <v>53</v>
      </c>
      <c r="V377">
        <v>3.3132203389830508</v>
      </c>
      <c r="W377"/>
      <c r="X377"/>
      <c r="Y377" t="s">
        <v>41</v>
      </c>
      <c r="Z377" t="s">
        <v>1366</v>
      </c>
      <c r="AA377" t="s">
        <v>1367</v>
      </c>
      <c r="AB377" t="s">
        <v>1368</v>
      </c>
      <c r="AC377" t="s">
        <v>130</v>
      </c>
      <c r="AD377" t="s">
        <v>60</v>
      </c>
    </row>
    <row r="378" spans="1:30">
      <c r="A378" t="s">
        <v>1382</v>
      </c>
      <c r="B378"/>
      <c r="C378" s="60">
        <v>45889</v>
      </c>
      <c r="D378" s="1" t="s">
        <v>130</v>
      </c>
      <c r="E378" s="1" t="s">
        <v>751</v>
      </c>
      <c r="F378">
        <v>2019</v>
      </c>
      <c r="G378" t="s">
        <v>1383</v>
      </c>
      <c r="H378" t="s">
        <v>147</v>
      </c>
      <c r="I378" s="21">
        <v>58.8</v>
      </c>
      <c r="J378" s="21">
        <v>17.633333333333333</v>
      </c>
      <c r="K378" s="21">
        <v>1977</v>
      </c>
      <c r="L378" s="21">
        <v>2011</v>
      </c>
      <c r="M378" s="21">
        <v>35</v>
      </c>
      <c r="N378" t="s">
        <v>623</v>
      </c>
      <c r="O378" t="s">
        <v>152</v>
      </c>
      <c r="P378" t="s">
        <v>217</v>
      </c>
      <c r="Q378" t="s">
        <v>217</v>
      </c>
      <c r="R378" t="s">
        <v>29</v>
      </c>
      <c r="S378" t="s">
        <v>624</v>
      </c>
      <c r="T378">
        <v>108</v>
      </c>
      <c r="U378" t="s">
        <v>52</v>
      </c>
      <c r="V378">
        <v>-4.6800000000000006</v>
      </c>
      <c r="W378"/>
      <c r="X378"/>
      <c r="Y378" t="s">
        <v>694</v>
      </c>
      <c r="Z378" t="s">
        <v>1384</v>
      </c>
      <c r="AA378" t="s">
        <v>1385</v>
      </c>
      <c r="AB378" t="s">
        <v>1386</v>
      </c>
      <c r="AC378"/>
      <c r="AD378" t="s">
        <v>60</v>
      </c>
    </row>
    <row r="379" spans="1:30">
      <c r="A379" t="s">
        <v>1382</v>
      </c>
      <c r="B379"/>
      <c r="C379" s="60">
        <v>45889</v>
      </c>
      <c r="D379" s="1" t="s">
        <v>130</v>
      </c>
      <c r="E379" s="1" t="s">
        <v>751</v>
      </c>
      <c r="F379">
        <v>2019</v>
      </c>
      <c r="G379" t="s">
        <v>1383</v>
      </c>
      <c r="H379" t="s">
        <v>147</v>
      </c>
      <c r="I379" s="21">
        <v>58.8</v>
      </c>
      <c r="J379" s="21">
        <v>17.633333333333333</v>
      </c>
      <c r="K379" s="21">
        <v>1977</v>
      </c>
      <c r="L379" s="21">
        <v>2011</v>
      </c>
      <c r="M379" s="21">
        <v>35</v>
      </c>
      <c r="N379" t="s">
        <v>623</v>
      </c>
      <c r="O379" t="s">
        <v>152</v>
      </c>
      <c r="P379" t="s">
        <v>1078</v>
      </c>
      <c r="Q379" t="s">
        <v>1348</v>
      </c>
      <c r="R379" t="s">
        <v>29</v>
      </c>
      <c r="S379" t="s">
        <v>624</v>
      </c>
      <c r="T379">
        <v>124</v>
      </c>
      <c r="U379" t="s">
        <v>52</v>
      </c>
      <c r="V379">
        <v>-4.3600000000000003</v>
      </c>
      <c r="W379"/>
      <c r="X379"/>
      <c r="Y379" t="s">
        <v>694</v>
      </c>
      <c r="Z379" t="s">
        <v>1384</v>
      </c>
      <c r="AA379" t="s">
        <v>1385</v>
      </c>
      <c r="AB379" t="s">
        <v>1387</v>
      </c>
      <c r="AC379"/>
      <c r="AD379" t="s">
        <v>60</v>
      </c>
    </row>
    <row r="380" spans="1:30">
      <c r="A380" t="s">
        <v>1382</v>
      </c>
      <c r="B380"/>
      <c r="C380" s="60">
        <v>45889</v>
      </c>
      <c r="D380" s="1" t="s">
        <v>130</v>
      </c>
      <c r="E380" s="1" t="s">
        <v>751</v>
      </c>
      <c r="F380">
        <v>2019</v>
      </c>
      <c r="G380" t="s">
        <v>1383</v>
      </c>
      <c r="H380" t="s">
        <v>147</v>
      </c>
      <c r="I380" s="21">
        <v>58.598333333333336</v>
      </c>
      <c r="J380" s="21">
        <v>18.236833333333333</v>
      </c>
      <c r="K380" s="21">
        <v>1990</v>
      </c>
      <c r="L380" s="21">
        <v>2011</v>
      </c>
      <c r="M380" s="21">
        <v>22</v>
      </c>
      <c r="N380" t="s">
        <v>623</v>
      </c>
      <c r="O380" t="s">
        <v>152</v>
      </c>
      <c r="P380" t="s">
        <v>217</v>
      </c>
      <c r="Q380" t="s">
        <v>217</v>
      </c>
      <c r="R380" t="s">
        <v>29</v>
      </c>
      <c r="S380" t="s">
        <v>624</v>
      </c>
      <c r="T380">
        <v>106</v>
      </c>
      <c r="U380" t="s">
        <v>52</v>
      </c>
      <c r="V380">
        <v>-5.7799999999999994</v>
      </c>
      <c r="W380"/>
      <c r="X380"/>
      <c r="Y380" t="s">
        <v>694</v>
      </c>
      <c r="Z380" t="s">
        <v>1384</v>
      </c>
      <c r="AA380" t="s">
        <v>1385</v>
      </c>
      <c r="AB380" t="s">
        <v>1388</v>
      </c>
      <c r="AC380"/>
      <c r="AD380" t="s">
        <v>60</v>
      </c>
    </row>
    <row r="381" spans="1:30">
      <c r="A381" t="s">
        <v>1382</v>
      </c>
      <c r="B381"/>
      <c r="C381" s="60">
        <v>45889</v>
      </c>
      <c r="D381" s="1" t="s">
        <v>130</v>
      </c>
      <c r="E381" s="1" t="s">
        <v>751</v>
      </c>
      <c r="F381">
        <v>2019</v>
      </c>
      <c r="G381" t="s">
        <v>1383</v>
      </c>
      <c r="H381" t="s">
        <v>147</v>
      </c>
      <c r="I381" s="21">
        <v>58.598333333333336</v>
      </c>
      <c r="J381" s="21">
        <v>18.236833333333333</v>
      </c>
      <c r="K381" s="21">
        <v>1990</v>
      </c>
      <c r="L381" s="21">
        <v>2011</v>
      </c>
      <c r="M381" s="21">
        <v>22</v>
      </c>
      <c r="N381" t="s">
        <v>623</v>
      </c>
      <c r="O381" t="s">
        <v>152</v>
      </c>
      <c r="P381" t="s">
        <v>1078</v>
      </c>
      <c r="Q381" t="s">
        <v>1348</v>
      </c>
      <c r="R381" t="s">
        <v>29</v>
      </c>
      <c r="S381" t="s">
        <v>624</v>
      </c>
      <c r="T381">
        <v>125</v>
      </c>
      <c r="U381" t="s">
        <v>52</v>
      </c>
      <c r="V381">
        <v>-3.16</v>
      </c>
      <c r="W381"/>
      <c r="X381"/>
      <c r="Y381" t="s">
        <v>694</v>
      </c>
      <c r="Z381" t="s">
        <v>1384</v>
      </c>
      <c r="AA381" t="s">
        <v>1385</v>
      </c>
      <c r="AB381" t="s">
        <v>1389</v>
      </c>
      <c r="AC381"/>
      <c r="AD381" t="s">
        <v>60</v>
      </c>
    </row>
    <row r="382" spans="1:30">
      <c r="A382" t="s">
        <v>1390</v>
      </c>
      <c r="B382"/>
      <c r="C382" s="60">
        <v>45889</v>
      </c>
      <c r="D382" s="1" t="s">
        <v>130</v>
      </c>
      <c r="E382" s="1" t="s">
        <v>751</v>
      </c>
      <c r="F382">
        <v>2019</v>
      </c>
      <c r="G382" t="s">
        <v>1383</v>
      </c>
      <c r="H382" t="s">
        <v>147</v>
      </c>
      <c r="I382" s="21">
        <v>54.188333333333333</v>
      </c>
      <c r="J382" s="21">
        <v>7.9</v>
      </c>
      <c r="K382" s="21">
        <v>1962</v>
      </c>
      <c r="L382" s="21">
        <v>2015</v>
      </c>
      <c r="M382" s="21">
        <v>54</v>
      </c>
      <c r="N382" t="s">
        <v>623</v>
      </c>
      <c r="O382" t="s">
        <v>152</v>
      </c>
      <c r="P382" t="s">
        <v>217</v>
      </c>
      <c r="Q382" t="s">
        <v>1351</v>
      </c>
      <c r="R382" t="s">
        <v>29</v>
      </c>
      <c r="S382" t="s">
        <v>624</v>
      </c>
      <c r="T382">
        <v>94.719101123595493</v>
      </c>
      <c r="U382" t="s">
        <v>52</v>
      </c>
      <c r="V382">
        <v>0</v>
      </c>
      <c r="W382"/>
      <c r="X382"/>
      <c r="Y382" t="s">
        <v>41</v>
      </c>
      <c r="Z382" t="s">
        <v>1391</v>
      </c>
      <c r="AA382" t="s">
        <v>1392</v>
      </c>
      <c r="AB382" t="s">
        <v>1393</v>
      </c>
      <c r="AC382" t="s">
        <v>130</v>
      </c>
      <c r="AD382" t="s">
        <v>1394</v>
      </c>
    </row>
    <row r="383" spans="1:30">
      <c r="A383" t="s">
        <v>1390</v>
      </c>
      <c r="B383"/>
      <c r="C383" s="60">
        <v>45889</v>
      </c>
      <c r="D383" s="1" t="s">
        <v>130</v>
      </c>
      <c r="E383" s="1" t="s">
        <v>751</v>
      </c>
      <c r="F383">
        <v>2019</v>
      </c>
      <c r="G383" t="s">
        <v>1383</v>
      </c>
      <c r="H383" t="s">
        <v>147</v>
      </c>
      <c r="I383" s="21">
        <v>54.188333333333333</v>
      </c>
      <c r="J383" s="21">
        <v>7.9</v>
      </c>
      <c r="K383" s="21">
        <v>1962</v>
      </c>
      <c r="L383" s="21">
        <v>2015</v>
      </c>
      <c r="M383" s="21">
        <v>54</v>
      </c>
      <c r="N383" t="s">
        <v>623</v>
      </c>
      <c r="O383" t="s">
        <v>152</v>
      </c>
      <c r="P383" t="s">
        <v>217</v>
      </c>
      <c r="Q383" t="s">
        <v>1067</v>
      </c>
      <c r="R383" t="s">
        <v>29</v>
      </c>
      <c r="S383" t="s">
        <v>624</v>
      </c>
      <c r="T383">
        <v>113.202247191011</v>
      </c>
      <c r="U383" t="s">
        <v>52</v>
      </c>
      <c r="V383">
        <v>-12.977528089887997</v>
      </c>
      <c r="W383"/>
      <c r="X383"/>
      <c r="Y383" t="s">
        <v>694</v>
      </c>
      <c r="Z383" t="s">
        <v>1391</v>
      </c>
      <c r="AA383" t="s">
        <v>1392</v>
      </c>
      <c r="AB383" t="s">
        <v>1393</v>
      </c>
      <c r="AC383" t="s">
        <v>130</v>
      </c>
      <c r="AD383" t="s">
        <v>1394</v>
      </c>
    </row>
    <row r="384" spans="1:30">
      <c r="A384" t="s">
        <v>1390</v>
      </c>
      <c r="B384"/>
      <c r="C384" s="60">
        <v>45889</v>
      </c>
      <c r="D384" s="1" t="s">
        <v>130</v>
      </c>
      <c r="E384" s="1" t="s">
        <v>751</v>
      </c>
      <c r="F384">
        <v>2019</v>
      </c>
      <c r="G384" t="s">
        <v>1383</v>
      </c>
      <c r="H384" t="s">
        <v>147</v>
      </c>
      <c r="I384" s="21">
        <v>54.188333333333333</v>
      </c>
      <c r="J384" s="21">
        <v>7.9</v>
      </c>
      <c r="K384" s="21">
        <v>1962</v>
      </c>
      <c r="L384" s="21">
        <v>2015</v>
      </c>
      <c r="M384" s="21">
        <v>54</v>
      </c>
      <c r="N384" t="s">
        <v>623</v>
      </c>
      <c r="O384" t="s">
        <v>152</v>
      </c>
      <c r="P384" t="s">
        <v>217</v>
      </c>
      <c r="Q384" t="s">
        <v>1056</v>
      </c>
      <c r="R384" t="s">
        <v>29</v>
      </c>
      <c r="S384" t="s">
        <v>624</v>
      </c>
      <c r="T384">
        <v>122.640449438202</v>
      </c>
      <c r="U384" t="s">
        <v>52</v>
      </c>
      <c r="V384">
        <v>-11.797752808989003</v>
      </c>
      <c r="W384"/>
      <c r="X384"/>
      <c r="Y384" t="s">
        <v>694</v>
      </c>
      <c r="Z384" t="s">
        <v>1391</v>
      </c>
      <c r="AA384" t="s">
        <v>1392</v>
      </c>
      <c r="AB384" t="s">
        <v>1393</v>
      </c>
      <c r="AC384" t="s">
        <v>130</v>
      </c>
      <c r="AD384" t="s">
        <v>1394</v>
      </c>
    </row>
    <row r="385" spans="1:30">
      <c r="A385" t="s">
        <v>1390</v>
      </c>
      <c r="B385"/>
      <c r="C385" s="60">
        <v>45889</v>
      </c>
      <c r="D385" s="1" t="s">
        <v>130</v>
      </c>
      <c r="E385" s="1" t="s">
        <v>751</v>
      </c>
      <c r="F385">
        <v>2019</v>
      </c>
      <c r="G385" t="s">
        <v>1383</v>
      </c>
      <c r="H385" t="s">
        <v>147</v>
      </c>
      <c r="I385" s="21">
        <v>54.188333333333333</v>
      </c>
      <c r="J385" s="21">
        <v>7.9</v>
      </c>
      <c r="K385" s="21">
        <v>1962</v>
      </c>
      <c r="L385" s="21">
        <v>2015</v>
      </c>
      <c r="M385" s="21">
        <v>54</v>
      </c>
      <c r="N385" t="s">
        <v>623</v>
      </c>
      <c r="O385" t="s">
        <v>152</v>
      </c>
      <c r="P385" t="s">
        <v>217</v>
      </c>
      <c r="Q385" t="s">
        <v>1381</v>
      </c>
      <c r="R385" t="s">
        <v>29</v>
      </c>
      <c r="S385" t="s">
        <v>624</v>
      </c>
      <c r="T385">
        <v>117.13483146067399</v>
      </c>
      <c r="U385" t="s">
        <v>52</v>
      </c>
      <c r="V385">
        <v>-15.730337078651999</v>
      </c>
      <c r="W385"/>
      <c r="X385"/>
      <c r="Y385" t="s">
        <v>694</v>
      </c>
      <c r="Z385" t="s">
        <v>1391</v>
      </c>
      <c r="AA385" t="s">
        <v>1392</v>
      </c>
      <c r="AB385" t="s">
        <v>1393</v>
      </c>
      <c r="AC385" t="s">
        <v>130</v>
      </c>
      <c r="AD385" t="s">
        <v>1394</v>
      </c>
    </row>
    <row r="386" spans="1:30">
      <c r="A386" t="s">
        <v>1390</v>
      </c>
      <c r="B386"/>
      <c r="C386" s="60">
        <v>45889</v>
      </c>
      <c r="D386" s="1" t="s">
        <v>130</v>
      </c>
      <c r="E386" s="1" t="s">
        <v>751</v>
      </c>
      <c r="F386">
        <v>2019</v>
      </c>
      <c r="G386" t="s">
        <v>1383</v>
      </c>
      <c r="H386" t="s">
        <v>147</v>
      </c>
      <c r="I386" s="21">
        <v>54.188333333333333</v>
      </c>
      <c r="J386" s="21">
        <v>7.9</v>
      </c>
      <c r="K386" s="21">
        <v>1962</v>
      </c>
      <c r="L386" s="21">
        <v>2015</v>
      </c>
      <c r="M386" s="21">
        <v>54</v>
      </c>
      <c r="N386" t="s">
        <v>623</v>
      </c>
      <c r="O386" t="s">
        <v>152</v>
      </c>
      <c r="P386" t="s">
        <v>217</v>
      </c>
      <c r="Q386" t="s">
        <v>1369</v>
      </c>
      <c r="R386" t="s">
        <v>29</v>
      </c>
      <c r="S386" t="s">
        <v>624</v>
      </c>
      <c r="T386">
        <v>134.831460674157</v>
      </c>
      <c r="U386" t="s">
        <v>52</v>
      </c>
      <c r="V386">
        <v>-19.269662921348001</v>
      </c>
      <c r="W386"/>
      <c r="X386"/>
      <c r="Y386" t="s">
        <v>694</v>
      </c>
      <c r="Z386" t="s">
        <v>1391</v>
      </c>
      <c r="AA386" t="s">
        <v>1392</v>
      </c>
      <c r="AB386" t="s">
        <v>1393</v>
      </c>
      <c r="AC386" t="s">
        <v>130</v>
      </c>
      <c r="AD386" t="s">
        <v>1394</v>
      </c>
    </row>
    <row r="387" spans="1:30">
      <c r="A387" t="s">
        <v>1390</v>
      </c>
      <c r="B387"/>
      <c r="C387" s="60">
        <v>45889</v>
      </c>
      <c r="D387" s="1" t="s">
        <v>130</v>
      </c>
      <c r="E387" s="1" t="s">
        <v>751</v>
      </c>
      <c r="F387">
        <v>2019</v>
      </c>
      <c r="G387" t="s">
        <v>1383</v>
      </c>
      <c r="H387" t="s">
        <v>147</v>
      </c>
      <c r="I387" s="21">
        <v>54.188333333333333</v>
      </c>
      <c r="J387" s="21">
        <v>7.9</v>
      </c>
      <c r="K387" s="21">
        <v>1962</v>
      </c>
      <c r="L387" s="21">
        <v>2015</v>
      </c>
      <c r="M387" s="21">
        <v>54</v>
      </c>
      <c r="N387" t="s">
        <v>623</v>
      </c>
      <c r="O387" t="s">
        <v>152</v>
      </c>
      <c r="P387" t="s">
        <v>217</v>
      </c>
      <c r="Q387" t="s">
        <v>1373</v>
      </c>
      <c r="R387" t="s">
        <v>29</v>
      </c>
      <c r="S387" t="s">
        <v>624</v>
      </c>
      <c r="T387">
        <v>132.078651685393</v>
      </c>
      <c r="U387" t="s">
        <v>52</v>
      </c>
      <c r="V387">
        <v>-14.943820224719005</v>
      </c>
      <c r="W387"/>
      <c r="X387"/>
      <c r="Y387" t="s">
        <v>694</v>
      </c>
      <c r="Z387" t="s">
        <v>1391</v>
      </c>
      <c r="AA387" t="s">
        <v>1392</v>
      </c>
      <c r="AB387" t="s">
        <v>1393</v>
      </c>
      <c r="AC387" t="s">
        <v>130</v>
      </c>
      <c r="AD387" t="s">
        <v>1394</v>
      </c>
    </row>
    <row r="388" spans="1:30">
      <c r="A388" t="s">
        <v>1390</v>
      </c>
      <c r="B388"/>
      <c r="C388" s="60">
        <v>45889</v>
      </c>
      <c r="D388" s="1" t="s">
        <v>130</v>
      </c>
      <c r="E388" s="1" t="s">
        <v>751</v>
      </c>
      <c r="F388">
        <v>2019</v>
      </c>
      <c r="G388" t="s">
        <v>1383</v>
      </c>
      <c r="H388" t="s">
        <v>147</v>
      </c>
      <c r="I388" s="21">
        <v>54.188333333333333</v>
      </c>
      <c r="J388" s="21">
        <v>7.9</v>
      </c>
      <c r="K388" s="21">
        <v>1962</v>
      </c>
      <c r="L388" s="21">
        <v>2015</v>
      </c>
      <c r="M388" s="21">
        <v>54</v>
      </c>
      <c r="N388" t="s">
        <v>623</v>
      </c>
      <c r="O388" t="s">
        <v>152</v>
      </c>
      <c r="P388" t="s">
        <v>217</v>
      </c>
      <c r="Q388" t="s">
        <v>1395</v>
      </c>
      <c r="R388" t="s">
        <v>29</v>
      </c>
      <c r="S388" t="s">
        <v>624</v>
      </c>
      <c r="T388">
        <v>128.14606741572999</v>
      </c>
      <c r="U388" t="s">
        <v>52</v>
      </c>
      <c r="V388">
        <v>-5.5056179775279901</v>
      </c>
      <c r="W388"/>
      <c r="X388"/>
      <c r="Y388" t="s">
        <v>694</v>
      </c>
      <c r="Z388" t="s">
        <v>1391</v>
      </c>
      <c r="AA388" t="s">
        <v>1392</v>
      </c>
      <c r="AB388" t="s">
        <v>1393</v>
      </c>
      <c r="AC388" t="s">
        <v>130</v>
      </c>
      <c r="AD388" t="s">
        <v>1394</v>
      </c>
    </row>
    <row r="389" spans="1:30">
      <c r="A389" t="s">
        <v>1390</v>
      </c>
      <c r="B389"/>
      <c r="C389" s="60">
        <v>45889</v>
      </c>
      <c r="D389" s="1" t="s">
        <v>130</v>
      </c>
      <c r="E389" s="1" t="s">
        <v>751</v>
      </c>
      <c r="F389">
        <v>2019</v>
      </c>
      <c r="G389" t="s">
        <v>1383</v>
      </c>
      <c r="H389" t="s">
        <v>147</v>
      </c>
      <c r="I389" s="21">
        <v>54.188333333333333</v>
      </c>
      <c r="J389" s="21">
        <v>7.9</v>
      </c>
      <c r="K389" s="21">
        <v>1962</v>
      </c>
      <c r="L389" s="21">
        <v>2015</v>
      </c>
      <c r="M389" s="21">
        <v>54</v>
      </c>
      <c r="N389" t="s">
        <v>623</v>
      </c>
      <c r="O389" t="s">
        <v>152</v>
      </c>
      <c r="P389" t="s">
        <v>217</v>
      </c>
      <c r="Q389" t="s">
        <v>1396</v>
      </c>
      <c r="R389" t="s">
        <v>29</v>
      </c>
      <c r="S389" t="s">
        <v>624</v>
      </c>
      <c r="T389">
        <v>156.460674157303</v>
      </c>
      <c r="U389" t="s">
        <v>53</v>
      </c>
      <c r="V389">
        <v>-4.325842696628996</v>
      </c>
      <c r="W389"/>
      <c r="X389"/>
      <c r="Y389" t="s">
        <v>694</v>
      </c>
      <c r="Z389" t="s">
        <v>1391</v>
      </c>
      <c r="AA389" t="s">
        <v>1392</v>
      </c>
      <c r="AB389" t="s">
        <v>1393</v>
      </c>
      <c r="AC389" t="s">
        <v>130</v>
      </c>
      <c r="AD389" t="s">
        <v>1394</v>
      </c>
    </row>
    <row r="390" spans="1:30">
      <c r="A390" t="s">
        <v>1390</v>
      </c>
      <c r="B390"/>
      <c r="C390" s="60">
        <v>45889</v>
      </c>
      <c r="D390" s="1" t="s">
        <v>130</v>
      </c>
      <c r="E390" s="1" t="s">
        <v>751</v>
      </c>
      <c r="F390">
        <v>2019</v>
      </c>
      <c r="G390" t="s">
        <v>1383</v>
      </c>
      <c r="H390" t="s">
        <v>147</v>
      </c>
      <c r="I390" s="21">
        <v>54.188333333333333</v>
      </c>
      <c r="J390" s="21">
        <v>7.9</v>
      </c>
      <c r="K390" s="21">
        <v>1962</v>
      </c>
      <c r="L390" s="21">
        <v>2015</v>
      </c>
      <c r="M390" s="21">
        <v>54</v>
      </c>
      <c r="N390" t="s">
        <v>623</v>
      </c>
      <c r="O390" t="s">
        <v>152</v>
      </c>
      <c r="P390" t="s">
        <v>217</v>
      </c>
      <c r="Q390" t="s">
        <v>1397</v>
      </c>
      <c r="R390" t="s">
        <v>29</v>
      </c>
      <c r="S390" t="s">
        <v>624</v>
      </c>
      <c r="T390">
        <v>186.741573033707</v>
      </c>
      <c r="U390" t="s">
        <v>53</v>
      </c>
      <c r="V390">
        <v>0</v>
      </c>
      <c r="W390"/>
      <c r="X390"/>
      <c r="Y390" t="s">
        <v>41</v>
      </c>
      <c r="Z390" t="s">
        <v>1391</v>
      </c>
      <c r="AA390" t="s">
        <v>1392</v>
      </c>
      <c r="AB390" t="s">
        <v>1393</v>
      </c>
      <c r="AC390" t="s">
        <v>130</v>
      </c>
      <c r="AD390" t="s">
        <v>1394</v>
      </c>
    </row>
    <row r="391" spans="1:30">
      <c r="A391" t="s">
        <v>1390</v>
      </c>
      <c r="B391"/>
      <c r="C391" s="60">
        <v>45889</v>
      </c>
      <c r="D391" s="1" t="s">
        <v>130</v>
      </c>
      <c r="E391" s="1" t="s">
        <v>751</v>
      </c>
      <c r="F391">
        <v>2019</v>
      </c>
      <c r="G391" t="s">
        <v>1383</v>
      </c>
      <c r="H391" t="s">
        <v>147</v>
      </c>
      <c r="I391" s="21">
        <v>54.188333333333333</v>
      </c>
      <c r="J391" s="21">
        <v>7.9</v>
      </c>
      <c r="K391" s="21">
        <v>1962</v>
      </c>
      <c r="L391" s="21">
        <v>2015</v>
      </c>
      <c r="M391" s="21">
        <v>54</v>
      </c>
      <c r="N391" t="s">
        <v>623</v>
      </c>
      <c r="O391" t="s">
        <v>152</v>
      </c>
      <c r="P391" t="s">
        <v>217</v>
      </c>
      <c r="Q391" t="s">
        <v>1398</v>
      </c>
      <c r="R391" t="s">
        <v>29</v>
      </c>
      <c r="S391" t="s">
        <v>624</v>
      </c>
      <c r="T391">
        <v>187.13483146067401</v>
      </c>
      <c r="U391" t="s">
        <v>53</v>
      </c>
      <c r="V391">
        <v>-10.224719101124009</v>
      </c>
      <c r="W391"/>
      <c r="X391"/>
      <c r="Y391" t="s">
        <v>694</v>
      </c>
      <c r="Z391" t="s">
        <v>1391</v>
      </c>
      <c r="AA391" t="s">
        <v>1392</v>
      </c>
      <c r="AB391" t="s">
        <v>1393</v>
      </c>
      <c r="AC391" t="s">
        <v>130</v>
      </c>
      <c r="AD391" t="s">
        <v>1394</v>
      </c>
    </row>
    <row r="392" spans="1:30">
      <c r="A392" t="s">
        <v>1390</v>
      </c>
      <c r="B392"/>
      <c r="C392" s="60">
        <v>45889</v>
      </c>
      <c r="D392" s="1" t="s">
        <v>130</v>
      </c>
      <c r="E392" s="1" t="s">
        <v>751</v>
      </c>
      <c r="F392">
        <v>2019</v>
      </c>
      <c r="G392" t="s">
        <v>1383</v>
      </c>
      <c r="H392" t="s">
        <v>147</v>
      </c>
      <c r="I392" s="21">
        <v>54.188333333333333</v>
      </c>
      <c r="J392" s="21">
        <v>7.9</v>
      </c>
      <c r="K392" s="21">
        <v>1962</v>
      </c>
      <c r="L392" s="21">
        <v>2015</v>
      </c>
      <c r="M392" s="21">
        <v>54</v>
      </c>
      <c r="N392" t="s">
        <v>623</v>
      </c>
      <c r="O392" t="s">
        <v>152</v>
      </c>
      <c r="P392" t="s">
        <v>1078</v>
      </c>
      <c r="Q392" t="s">
        <v>350</v>
      </c>
      <c r="R392" t="s">
        <v>29</v>
      </c>
      <c r="S392" t="s">
        <v>624</v>
      </c>
      <c r="T392">
        <v>198.539325842696</v>
      </c>
      <c r="U392" t="s">
        <v>53</v>
      </c>
      <c r="V392">
        <v>-4.325842696628996</v>
      </c>
      <c r="W392"/>
      <c r="X392"/>
      <c r="Y392" t="s">
        <v>694</v>
      </c>
      <c r="Z392" t="s">
        <v>1391</v>
      </c>
      <c r="AA392" t="s">
        <v>1392</v>
      </c>
      <c r="AB392" t="s">
        <v>1393</v>
      </c>
      <c r="AC392" t="s">
        <v>130</v>
      </c>
      <c r="AD392" t="s">
        <v>1394</v>
      </c>
    </row>
    <row r="393" spans="1:30">
      <c r="A393" t="s">
        <v>1390</v>
      </c>
      <c r="B393"/>
      <c r="C393" s="60">
        <v>45889</v>
      </c>
      <c r="D393" s="1" t="s">
        <v>130</v>
      </c>
      <c r="E393" s="1" t="s">
        <v>751</v>
      </c>
      <c r="F393">
        <v>2019</v>
      </c>
      <c r="G393" t="s">
        <v>1383</v>
      </c>
      <c r="H393" t="s">
        <v>147</v>
      </c>
      <c r="I393" s="21">
        <v>54.188333333333333</v>
      </c>
      <c r="J393" s="21">
        <v>7.9</v>
      </c>
      <c r="K393" s="21">
        <v>1962</v>
      </c>
      <c r="L393" s="21">
        <v>2015</v>
      </c>
      <c r="M393" s="21">
        <v>54</v>
      </c>
      <c r="N393" t="s">
        <v>623</v>
      </c>
      <c r="O393" t="s">
        <v>152</v>
      </c>
      <c r="P393" t="s">
        <v>217</v>
      </c>
      <c r="Q393" t="s">
        <v>1399</v>
      </c>
      <c r="R393" t="s">
        <v>29</v>
      </c>
      <c r="S393" t="s">
        <v>624</v>
      </c>
      <c r="T393">
        <v>200.112359550561</v>
      </c>
      <c r="U393" t="s">
        <v>53</v>
      </c>
      <c r="V393">
        <v>-11.797752808988008</v>
      </c>
      <c r="W393"/>
      <c r="X393"/>
      <c r="Y393" t="s">
        <v>694</v>
      </c>
      <c r="Z393" t="s">
        <v>1391</v>
      </c>
      <c r="AA393" t="s">
        <v>1392</v>
      </c>
      <c r="AB393" t="s">
        <v>1393</v>
      </c>
      <c r="AC393" t="s">
        <v>130</v>
      </c>
      <c r="AD393" t="s">
        <v>1394</v>
      </c>
    </row>
    <row r="394" spans="1:30">
      <c r="A394" t="s">
        <v>1390</v>
      </c>
      <c r="B394"/>
      <c r="C394" s="60">
        <v>45889</v>
      </c>
      <c r="D394" s="1" t="s">
        <v>130</v>
      </c>
      <c r="E394" s="1" t="s">
        <v>751</v>
      </c>
      <c r="F394">
        <v>2019</v>
      </c>
      <c r="G394" t="s">
        <v>1383</v>
      </c>
      <c r="H394" t="s">
        <v>147</v>
      </c>
      <c r="I394" s="21">
        <v>54.188333333333333</v>
      </c>
      <c r="J394" s="21">
        <v>7.9</v>
      </c>
      <c r="K394" s="21">
        <v>1962</v>
      </c>
      <c r="L394" s="21">
        <v>2015</v>
      </c>
      <c r="M394" s="21">
        <v>54</v>
      </c>
      <c r="N394" t="s">
        <v>623</v>
      </c>
      <c r="O394" t="s">
        <v>152</v>
      </c>
      <c r="P394" t="s">
        <v>217</v>
      </c>
      <c r="Q394" t="s">
        <v>1400</v>
      </c>
      <c r="R394" t="s">
        <v>29</v>
      </c>
      <c r="S394" t="s">
        <v>624</v>
      </c>
      <c r="T394">
        <v>213.08988764044901</v>
      </c>
      <c r="U394" t="s">
        <v>53</v>
      </c>
      <c r="V394">
        <v>-28.314606741573016</v>
      </c>
      <c r="W394"/>
      <c r="X394"/>
      <c r="Y394" t="s">
        <v>694</v>
      </c>
      <c r="Z394" t="s">
        <v>1391</v>
      </c>
      <c r="AA394" t="s">
        <v>1392</v>
      </c>
      <c r="AB394" t="s">
        <v>1393</v>
      </c>
      <c r="AC394" t="s">
        <v>130</v>
      </c>
      <c r="AD394" t="s">
        <v>1394</v>
      </c>
    </row>
    <row r="395" spans="1:30">
      <c r="A395" t="s">
        <v>1390</v>
      </c>
      <c r="B395"/>
      <c r="C395" s="60">
        <v>45889</v>
      </c>
      <c r="D395" s="1" t="s">
        <v>130</v>
      </c>
      <c r="E395" s="1" t="s">
        <v>751</v>
      </c>
      <c r="F395">
        <v>2019</v>
      </c>
      <c r="G395" t="s">
        <v>1383</v>
      </c>
      <c r="H395" t="s">
        <v>147</v>
      </c>
      <c r="I395" s="21">
        <v>54.188333333333333</v>
      </c>
      <c r="J395" s="21">
        <v>7.9</v>
      </c>
      <c r="K395" s="21">
        <v>1962</v>
      </c>
      <c r="L395" s="21">
        <v>2015</v>
      </c>
      <c r="M395" s="21">
        <v>54</v>
      </c>
      <c r="N395" t="s">
        <v>623</v>
      </c>
      <c r="O395" t="s">
        <v>152</v>
      </c>
      <c r="P395" t="s">
        <v>217</v>
      </c>
      <c r="Q395" t="s">
        <v>1058</v>
      </c>
      <c r="R395" t="s">
        <v>29</v>
      </c>
      <c r="S395" t="s">
        <v>624</v>
      </c>
      <c r="T395">
        <v>206.40449438202199</v>
      </c>
      <c r="U395" t="s">
        <v>53</v>
      </c>
      <c r="V395">
        <v>-15.730337078651985</v>
      </c>
      <c r="W395"/>
      <c r="X395"/>
      <c r="Y395" t="s">
        <v>694</v>
      </c>
      <c r="Z395" t="s">
        <v>1391</v>
      </c>
      <c r="AA395" t="s">
        <v>1392</v>
      </c>
      <c r="AB395" t="s">
        <v>1393</v>
      </c>
      <c r="AC395" t="s">
        <v>130</v>
      </c>
      <c r="AD395" t="s">
        <v>1394</v>
      </c>
    </row>
    <row r="396" spans="1:30">
      <c r="A396" t="s">
        <v>1390</v>
      </c>
      <c r="B396"/>
      <c r="C396" s="60">
        <v>45889</v>
      </c>
      <c r="D396" s="1" t="s">
        <v>130</v>
      </c>
      <c r="E396" s="1" t="s">
        <v>751</v>
      </c>
      <c r="F396">
        <v>2019</v>
      </c>
      <c r="G396" t="s">
        <v>1383</v>
      </c>
      <c r="H396" t="s">
        <v>147</v>
      </c>
      <c r="I396" s="21">
        <v>54.188333333333333</v>
      </c>
      <c r="J396" s="21">
        <v>7.9</v>
      </c>
      <c r="K396" s="21">
        <v>1962</v>
      </c>
      <c r="L396" s="21">
        <v>2015</v>
      </c>
      <c r="M396" s="21">
        <v>54</v>
      </c>
      <c r="N396" t="s">
        <v>623</v>
      </c>
      <c r="O396" t="s">
        <v>152</v>
      </c>
      <c r="P396" t="s">
        <v>1078</v>
      </c>
      <c r="Q396" t="s">
        <v>1064</v>
      </c>
      <c r="R396" t="s">
        <v>29</v>
      </c>
      <c r="S396" t="s">
        <v>624</v>
      </c>
      <c r="T396">
        <v>207.19101123595499</v>
      </c>
      <c r="U396" t="s">
        <v>53</v>
      </c>
      <c r="V396">
        <v>-9.4382022471909863</v>
      </c>
      <c r="W396"/>
      <c r="X396"/>
      <c r="Y396" t="s">
        <v>694</v>
      </c>
      <c r="Z396" t="s">
        <v>1391</v>
      </c>
      <c r="AA396" t="s">
        <v>1392</v>
      </c>
      <c r="AB396" t="s">
        <v>1393</v>
      </c>
      <c r="AC396" t="s">
        <v>130</v>
      </c>
      <c r="AD396" t="s">
        <v>1394</v>
      </c>
    </row>
    <row r="397" spans="1:30">
      <c r="A397" t="s">
        <v>1390</v>
      </c>
      <c r="B397"/>
      <c r="C397" s="60">
        <v>45889</v>
      </c>
      <c r="D397" s="1" t="s">
        <v>130</v>
      </c>
      <c r="E397" s="1" t="s">
        <v>751</v>
      </c>
      <c r="F397">
        <v>2019</v>
      </c>
      <c r="G397" t="s">
        <v>1383</v>
      </c>
      <c r="H397" t="s">
        <v>147</v>
      </c>
      <c r="I397" s="21">
        <v>54.188333333333333</v>
      </c>
      <c r="J397" s="21">
        <v>7.9</v>
      </c>
      <c r="K397" s="21">
        <v>1962</v>
      </c>
      <c r="L397" s="21">
        <v>2015</v>
      </c>
      <c r="M397" s="21">
        <v>54</v>
      </c>
      <c r="N397" t="s">
        <v>623</v>
      </c>
      <c r="O397" t="s">
        <v>152</v>
      </c>
      <c r="P397" t="s">
        <v>217</v>
      </c>
      <c r="Q397" t="s">
        <v>1401</v>
      </c>
      <c r="R397" t="s">
        <v>29</v>
      </c>
      <c r="S397" t="s">
        <v>624</v>
      </c>
      <c r="T397">
        <v>233.93258426966199</v>
      </c>
      <c r="U397" t="s">
        <v>53</v>
      </c>
      <c r="V397">
        <v>-28.314606741572987</v>
      </c>
      <c r="W397"/>
      <c r="X397"/>
      <c r="Y397" t="s">
        <v>694</v>
      </c>
      <c r="Z397" t="s">
        <v>1391</v>
      </c>
      <c r="AA397" t="s">
        <v>1392</v>
      </c>
      <c r="AB397" t="s">
        <v>1393</v>
      </c>
      <c r="AC397" t="s">
        <v>130</v>
      </c>
      <c r="AD397" t="s">
        <v>1394</v>
      </c>
    </row>
    <row r="398" spans="1:30">
      <c r="A398" t="s">
        <v>1390</v>
      </c>
      <c r="B398"/>
      <c r="C398" s="60">
        <v>45889</v>
      </c>
      <c r="D398" s="1" t="s">
        <v>130</v>
      </c>
      <c r="E398" s="1" t="s">
        <v>751</v>
      </c>
      <c r="F398">
        <v>2019</v>
      </c>
      <c r="G398" t="s">
        <v>1383</v>
      </c>
      <c r="H398" t="s">
        <v>147</v>
      </c>
      <c r="I398" s="21">
        <v>54.188333333333333</v>
      </c>
      <c r="J398" s="21">
        <v>7.9</v>
      </c>
      <c r="K398" s="21">
        <v>1962</v>
      </c>
      <c r="L398" s="21">
        <v>2015</v>
      </c>
      <c r="M398" s="21">
        <v>54</v>
      </c>
      <c r="N398" t="s">
        <v>623</v>
      </c>
      <c r="O398" t="s">
        <v>152</v>
      </c>
      <c r="P398" t="s">
        <v>217</v>
      </c>
      <c r="Q398" t="s">
        <v>1402</v>
      </c>
      <c r="R398" t="s">
        <v>29</v>
      </c>
      <c r="S398" t="s">
        <v>624</v>
      </c>
      <c r="T398">
        <v>219.38202247191001</v>
      </c>
      <c r="U398" t="s">
        <v>53</v>
      </c>
      <c r="V398">
        <v>-4.3258426966300192</v>
      </c>
      <c r="W398"/>
      <c r="X398"/>
      <c r="Y398" t="s">
        <v>694</v>
      </c>
      <c r="Z398" t="s">
        <v>1391</v>
      </c>
      <c r="AA398" t="s">
        <v>1392</v>
      </c>
      <c r="AB398" t="s">
        <v>1393</v>
      </c>
      <c r="AC398" t="s">
        <v>130</v>
      </c>
      <c r="AD398" t="s">
        <v>1394</v>
      </c>
    </row>
    <row r="399" spans="1:30">
      <c r="A399" t="s">
        <v>1390</v>
      </c>
      <c r="B399"/>
      <c r="C399" s="60">
        <v>45889</v>
      </c>
      <c r="D399" s="1" t="s">
        <v>130</v>
      </c>
      <c r="E399" s="1" t="s">
        <v>751</v>
      </c>
      <c r="F399">
        <v>2019</v>
      </c>
      <c r="G399" t="s">
        <v>1383</v>
      </c>
      <c r="H399" t="s">
        <v>147</v>
      </c>
      <c r="I399" s="21">
        <v>54.188333333333333</v>
      </c>
      <c r="J399" s="21">
        <v>7.9</v>
      </c>
      <c r="K399" s="21">
        <v>1962</v>
      </c>
      <c r="L399" s="21">
        <v>2015</v>
      </c>
      <c r="M399" s="21">
        <v>54</v>
      </c>
      <c r="N399" t="s">
        <v>623</v>
      </c>
      <c r="O399" t="s">
        <v>152</v>
      </c>
      <c r="P399" t="s">
        <v>217</v>
      </c>
      <c r="Q399" t="s">
        <v>1067</v>
      </c>
      <c r="R399" t="s">
        <v>29</v>
      </c>
      <c r="S399" t="s">
        <v>624</v>
      </c>
      <c r="T399">
        <v>211.51685393258401</v>
      </c>
      <c r="U399" t="s">
        <v>53</v>
      </c>
      <c r="V399">
        <v>7.4719101123589837</v>
      </c>
      <c r="W399"/>
      <c r="X399"/>
      <c r="Y399" t="s">
        <v>41</v>
      </c>
      <c r="Z399" t="s">
        <v>1391</v>
      </c>
      <c r="AA399" t="s">
        <v>1392</v>
      </c>
      <c r="AB399" t="s">
        <v>1393</v>
      </c>
      <c r="AC399" t="s">
        <v>130</v>
      </c>
      <c r="AD399" t="s">
        <v>1394</v>
      </c>
    </row>
    <row r="400" spans="1:30">
      <c r="A400" t="s">
        <v>1390</v>
      </c>
      <c r="B400"/>
      <c r="C400" s="60">
        <v>45889</v>
      </c>
      <c r="D400" s="1" t="s">
        <v>130</v>
      </c>
      <c r="E400" s="1" t="s">
        <v>751</v>
      </c>
      <c r="F400">
        <v>2019</v>
      </c>
      <c r="G400" t="s">
        <v>1383</v>
      </c>
      <c r="H400" t="s">
        <v>147</v>
      </c>
      <c r="I400" s="21">
        <v>54.188333333333333</v>
      </c>
      <c r="J400" s="21">
        <v>7.9</v>
      </c>
      <c r="K400" s="21">
        <v>1962</v>
      </c>
      <c r="L400" s="21">
        <v>2015</v>
      </c>
      <c r="M400" s="21">
        <v>54</v>
      </c>
      <c r="N400" t="s">
        <v>623</v>
      </c>
      <c r="O400" t="s">
        <v>152</v>
      </c>
      <c r="P400" t="s">
        <v>217</v>
      </c>
      <c r="Q400" t="s">
        <v>1395</v>
      </c>
      <c r="R400" t="s">
        <v>29</v>
      </c>
      <c r="S400" t="s">
        <v>624</v>
      </c>
      <c r="T400">
        <v>228.82022471910099</v>
      </c>
      <c r="U400" t="s">
        <v>53</v>
      </c>
      <c r="V400">
        <v>-14.157303370786991</v>
      </c>
      <c r="W400"/>
      <c r="X400"/>
      <c r="Y400" t="s">
        <v>694</v>
      </c>
      <c r="Z400" t="s">
        <v>1391</v>
      </c>
      <c r="AA400" t="s">
        <v>1392</v>
      </c>
      <c r="AB400" t="s">
        <v>1393</v>
      </c>
      <c r="AC400" t="s">
        <v>130</v>
      </c>
      <c r="AD400" t="s">
        <v>1394</v>
      </c>
    </row>
    <row r="401" spans="1:30">
      <c r="A401" t="s">
        <v>1390</v>
      </c>
      <c r="B401"/>
      <c r="C401" s="60">
        <v>45889</v>
      </c>
      <c r="D401" s="1" t="s">
        <v>130</v>
      </c>
      <c r="E401" s="1" t="s">
        <v>751</v>
      </c>
      <c r="F401">
        <v>2019</v>
      </c>
      <c r="G401" t="s">
        <v>1383</v>
      </c>
      <c r="H401" t="s">
        <v>147</v>
      </c>
      <c r="I401" s="21">
        <v>54.188333333333333</v>
      </c>
      <c r="J401" s="21">
        <v>7.9</v>
      </c>
      <c r="K401" s="21">
        <v>1962</v>
      </c>
      <c r="L401" s="21">
        <v>2015</v>
      </c>
      <c r="M401" s="21">
        <v>54</v>
      </c>
      <c r="N401" t="s">
        <v>623</v>
      </c>
      <c r="O401" t="s">
        <v>152</v>
      </c>
      <c r="P401" t="s">
        <v>217</v>
      </c>
      <c r="Q401" t="s">
        <v>1056</v>
      </c>
      <c r="R401" t="s">
        <v>29</v>
      </c>
      <c r="S401" t="s">
        <v>624</v>
      </c>
      <c r="T401">
        <v>232.752808988764</v>
      </c>
      <c r="U401" t="s">
        <v>53</v>
      </c>
      <c r="V401">
        <v>-8.2584269662930012</v>
      </c>
      <c r="W401"/>
      <c r="X401"/>
      <c r="Y401" t="s">
        <v>694</v>
      </c>
      <c r="Z401" t="s">
        <v>1391</v>
      </c>
      <c r="AA401" t="s">
        <v>1392</v>
      </c>
      <c r="AB401" t="s">
        <v>1393</v>
      </c>
      <c r="AC401" t="s">
        <v>130</v>
      </c>
      <c r="AD401" t="s">
        <v>1394</v>
      </c>
    </row>
    <row r="402" spans="1:30">
      <c r="A402" t="s">
        <v>1390</v>
      </c>
      <c r="B402"/>
      <c r="C402" s="60">
        <v>45889</v>
      </c>
      <c r="D402" s="1" t="s">
        <v>130</v>
      </c>
      <c r="E402" s="1" t="s">
        <v>751</v>
      </c>
      <c r="F402">
        <v>2019</v>
      </c>
      <c r="G402" t="s">
        <v>1383</v>
      </c>
      <c r="H402" t="s">
        <v>147</v>
      </c>
      <c r="I402" s="21">
        <v>54.188333333333333</v>
      </c>
      <c r="J402" s="21">
        <v>7.9</v>
      </c>
      <c r="K402" s="21">
        <v>1962</v>
      </c>
      <c r="L402" s="21">
        <v>2015</v>
      </c>
      <c r="M402" s="21">
        <v>54</v>
      </c>
      <c r="N402" t="s">
        <v>623</v>
      </c>
      <c r="O402" t="s">
        <v>152</v>
      </c>
      <c r="P402" t="s">
        <v>217</v>
      </c>
      <c r="Q402" t="s">
        <v>1054</v>
      </c>
      <c r="R402" t="s">
        <v>29</v>
      </c>
      <c r="S402" t="s">
        <v>624</v>
      </c>
      <c r="T402">
        <v>208.370786516853</v>
      </c>
      <c r="U402" t="s">
        <v>53</v>
      </c>
      <c r="V402">
        <v>16.910112359550993</v>
      </c>
      <c r="W402"/>
      <c r="X402"/>
      <c r="Y402" t="s">
        <v>41</v>
      </c>
      <c r="Z402" t="s">
        <v>1391</v>
      </c>
      <c r="AA402" t="s">
        <v>1392</v>
      </c>
      <c r="AB402" t="s">
        <v>1393</v>
      </c>
      <c r="AC402" t="s">
        <v>130</v>
      </c>
      <c r="AD402" t="s">
        <v>1394</v>
      </c>
    </row>
    <row r="403" spans="1:30">
      <c r="A403" t="s">
        <v>1390</v>
      </c>
      <c r="B403"/>
      <c r="C403" s="60">
        <v>45889</v>
      </c>
      <c r="D403" s="1" t="s">
        <v>130</v>
      </c>
      <c r="E403" s="1" t="s">
        <v>751</v>
      </c>
      <c r="F403">
        <v>2019</v>
      </c>
      <c r="G403" t="s">
        <v>1383</v>
      </c>
      <c r="H403" t="s">
        <v>147</v>
      </c>
      <c r="I403" s="21">
        <v>54.188333333333333</v>
      </c>
      <c r="J403" s="21">
        <v>7.9</v>
      </c>
      <c r="K403" s="21">
        <v>1962</v>
      </c>
      <c r="L403" s="21">
        <v>2015</v>
      </c>
      <c r="M403" s="21">
        <v>54</v>
      </c>
      <c r="N403" t="s">
        <v>623</v>
      </c>
      <c r="O403" t="s">
        <v>152</v>
      </c>
      <c r="P403" t="s">
        <v>217</v>
      </c>
      <c r="Q403" t="s">
        <v>1357</v>
      </c>
      <c r="R403" t="s">
        <v>29</v>
      </c>
      <c r="S403" t="s">
        <v>624</v>
      </c>
      <c r="T403">
        <v>229.60674157303299</v>
      </c>
      <c r="U403" t="s">
        <v>53</v>
      </c>
      <c r="V403">
        <v>12.191011235955017</v>
      </c>
      <c r="W403"/>
      <c r="X403"/>
      <c r="Y403" t="s">
        <v>41</v>
      </c>
      <c r="Z403" t="s">
        <v>1391</v>
      </c>
      <c r="AA403" t="s">
        <v>1392</v>
      </c>
      <c r="AB403" t="s">
        <v>1393</v>
      </c>
      <c r="AC403" t="s">
        <v>130</v>
      </c>
      <c r="AD403" t="s">
        <v>1394</v>
      </c>
    </row>
    <row r="404" spans="1:30">
      <c r="A404" t="s">
        <v>1390</v>
      </c>
      <c r="B404"/>
      <c r="C404" s="60">
        <v>45889</v>
      </c>
      <c r="D404" s="1" t="s">
        <v>130</v>
      </c>
      <c r="E404" s="1" t="s">
        <v>751</v>
      </c>
      <c r="F404">
        <v>2019</v>
      </c>
      <c r="G404" t="s">
        <v>1383</v>
      </c>
      <c r="H404" t="s">
        <v>147</v>
      </c>
      <c r="I404" s="21">
        <v>54.188333333333333</v>
      </c>
      <c r="J404" s="21">
        <v>7.9</v>
      </c>
      <c r="K404" s="21">
        <v>1962</v>
      </c>
      <c r="L404" s="21">
        <v>2015</v>
      </c>
      <c r="M404" s="21">
        <v>54</v>
      </c>
      <c r="N404" t="s">
        <v>623</v>
      </c>
      <c r="O404" t="s">
        <v>152</v>
      </c>
      <c r="P404" t="s">
        <v>1078</v>
      </c>
      <c r="Q404" t="s">
        <v>1071</v>
      </c>
      <c r="R404" t="s">
        <v>29</v>
      </c>
      <c r="S404" t="s">
        <v>624</v>
      </c>
      <c r="T404">
        <v>236.29213483146</v>
      </c>
      <c r="U404" t="s">
        <v>53</v>
      </c>
      <c r="V404">
        <v>4.325842696628996</v>
      </c>
      <c r="W404"/>
      <c r="X404"/>
      <c r="Y404" t="s">
        <v>41</v>
      </c>
      <c r="Z404" t="s">
        <v>1391</v>
      </c>
      <c r="AA404" t="s">
        <v>1392</v>
      </c>
      <c r="AB404" t="s">
        <v>1393</v>
      </c>
      <c r="AC404" t="s">
        <v>130</v>
      </c>
      <c r="AD404" t="s">
        <v>1394</v>
      </c>
    </row>
    <row r="405" spans="1:30">
      <c r="A405" t="s">
        <v>1390</v>
      </c>
      <c r="B405"/>
      <c r="C405" s="60">
        <v>45889</v>
      </c>
      <c r="D405" s="1" t="s">
        <v>130</v>
      </c>
      <c r="E405" s="1" t="s">
        <v>751</v>
      </c>
      <c r="F405">
        <v>2019</v>
      </c>
      <c r="G405" t="s">
        <v>1383</v>
      </c>
      <c r="H405" t="s">
        <v>147</v>
      </c>
      <c r="I405" s="21">
        <v>54.188333333333333</v>
      </c>
      <c r="J405" s="21">
        <v>7.9</v>
      </c>
      <c r="K405" s="21">
        <v>1962</v>
      </c>
      <c r="L405" s="21">
        <v>2015</v>
      </c>
      <c r="M405" s="21">
        <v>54</v>
      </c>
      <c r="N405" t="s">
        <v>623</v>
      </c>
      <c r="O405" t="s">
        <v>152</v>
      </c>
      <c r="P405" t="s">
        <v>1078</v>
      </c>
      <c r="Q405" t="s">
        <v>1403</v>
      </c>
      <c r="R405" t="s">
        <v>29</v>
      </c>
      <c r="S405" t="s">
        <v>624</v>
      </c>
      <c r="T405">
        <v>238.25842696629201</v>
      </c>
      <c r="U405" t="s">
        <v>53</v>
      </c>
      <c r="V405">
        <v>-8.6516853932590152</v>
      </c>
      <c r="W405"/>
      <c r="X405"/>
      <c r="Y405" t="s">
        <v>694</v>
      </c>
      <c r="Z405" t="s">
        <v>1391</v>
      </c>
      <c r="AA405" t="s">
        <v>1392</v>
      </c>
      <c r="AB405" t="s">
        <v>1393</v>
      </c>
      <c r="AC405" t="s">
        <v>130</v>
      </c>
      <c r="AD405" t="s">
        <v>1394</v>
      </c>
    </row>
    <row r="406" spans="1:30">
      <c r="A406" t="s">
        <v>1390</v>
      </c>
      <c r="B406"/>
      <c r="C406" s="60">
        <v>45889</v>
      </c>
      <c r="D406" s="1" t="s">
        <v>130</v>
      </c>
      <c r="E406" s="1" t="s">
        <v>751</v>
      </c>
      <c r="F406">
        <v>2019</v>
      </c>
      <c r="G406" t="s">
        <v>1383</v>
      </c>
      <c r="H406" t="s">
        <v>147</v>
      </c>
      <c r="I406" s="21">
        <v>54.188333333333333</v>
      </c>
      <c r="J406" s="21">
        <v>7.9</v>
      </c>
      <c r="K406" s="21">
        <v>1962</v>
      </c>
      <c r="L406" s="21">
        <v>2015</v>
      </c>
      <c r="M406" s="21">
        <v>54</v>
      </c>
      <c r="N406" t="s">
        <v>623</v>
      </c>
      <c r="O406" t="s">
        <v>152</v>
      </c>
      <c r="P406" t="s">
        <v>217</v>
      </c>
      <c r="Q406" t="s">
        <v>1396</v>
      </c>
      <c r="R406" t="s">
        <v>29</v>
      </c>
      <c r="S406" t="s">
        <v>624</v>
      </c>
      <c r="T406">
        <v>239.831460674157</v>
      </c>
      <c r="U406" t="s">
        <v>53</v>
      </c>
      <c r="V406">
        <v>5.1123595505619903</v>
      </c>
      <c r="W406"/>
      <c r="X406"/>
      <c r="Y406" t="s">
        <v>41</v>
      </c>
      <c r="Z406" t="s">
        <v>1391</v>
      </c>
      <c r="AA406" t="s">
        <v>1392</v>
      </c>
      <c r="AB406" t="s">
        <v>1393</v>
      </c>
      <c r="AC406" t="s">
        <v>130</v>
      </c>
      <c r="AD406" t="s">
        <v>1394</v>
      </c>
    </row>
    <row r="407" spans="1:30">
      <c r="A407" t="s">
        <v>1390</v>
      </c>
      <c r="B407"/>
      <c r="C407" s="60">
        <v>45889</v>
      </c>
      <c r="D407" s="1" t="s">
        <v>130</v>
      </c>
      <c r="E407" s="1" t="s">
        <v>751</v>
      </c>
      <c r="F407">
        <v>2019</v>
      </c>
      <c r="G407" t="s">
        <v>1383</v>
      </c>
      <c r="H407" t="s">
        <v>147</v>
      </c>
      <c r="I407" s="21">
        <v>54.188333333333333</v>
      </c>
      <c r="J407" s="21">
        <v>7.9</v>
      </c>
      <c r="K407" s="21">
        <v>1962</v>
      </c>
      <c r="L407" s="21">
        <v>2015</v>
      </c>
      <c r="M407" s="21">
        <v>54</v>
      </c>
      <c r="N407" t="s">
        <v>623</v>
      </c>
      <c r="O407" t="s">
        <v>152</v>
      </c>
      <c r="P407" t="s">
        <v>217</v>
      </c>
      <c r="Q407" t="s">
        <v>1373</v>
      </c>
      <c r="R407" t="s">
        <v>29</v>
      </c>
      <c r="S407" t="s">
        <v>624</v>
      </c>
      <c r="T407">
        <v>244.94382022471899</v>
      </c>
      <c r="U407" t="s">
        <v>54</v>
      </c>
      <c r="V407">
        <v>11.404494382021994</v>
      </c>
      <c r="W407"/>
      <c r="X407"/>
      <c r="Y407" t="s">
        <v>41</v>
      </c>
      <c r="Z407" t="s">
        <v>1391</v>
      </c>
      <c r="AA407" t="s">
        <v>1392</v>
      </c>
      <c r="AB407" t="s">
        <v>1393</v>
      </c>
      <c r="AC407" t="s">
        <v>130</v>
      </c>
      <c r="AD407" t="s">
        <v>1394</v>
      </c>
    </row>
    <row r="408" spans="1:30">
      <c r="A408" t="s">
        <v>1390</v>
      </c>
      <c r="B408"/>
      <c r="C408" s="60">
        <v>45889</v>
      </c>
      <c r="D408" s="1" t="s">
        <v>130</v>
      </c>
      <c r="E408" s="1" t="s">
        <v>751</v>
      </c>
      <c r="F408">
        <v>2019</v>
      </c>
      <c r="G408" t="s">
        <v>1383</v>
      </c>
      <c r="H408" t="s">
        <v>147</v>
      </c>
      <c r="I408" s="21">
        <v>54.188333333333333</v>
      </c>
      <c r="J408" s="21">
        <v>7.9</v>
      </c>
      <c r="K408" s="21">
        <v>1962</v>
      </c>
      <c r="L408" s="21">
        <v>2015</v>
      </c>
      <c r="M408" s="21">
        <v>54</v>
      </c>
      <c r="N408" t="s">
        <v>623</v>
      </c>
      <c r="O408" t="s">
        <v>152</v>
      </c>
      <c r="P408" t="s">
        <v>217</v>
      </c>
      <c r="Q408" t="s">
        <v>1381</v>
      </c>
      <c r="R408" t="s">
        <v>29</v>
      </c>
      <c r="S408" t="s">
        <v>624</v>
      </c>
      <c r="T408">
        <v>257.13483146067398</v>
      </c>
      <c r="U408" t="s">
        <v>54</v>
      </c>
      <c r="V408">
        <v>23.202247191010997</v>
      </c>
      <c r="W408"/>
      <c r="X408"/>
      <c r="Y408" t="s">
        <v>41</v>
      </c>
      <c r="Z408" t="s">
        <v>1391</v>
      </c>
      <c r="AA408" t="s">
        <v>1392</v>
      </c>
      <c r="AB408" t="s">
        <v>1393</v>
      </c>
      <c r="AC408" t="s">
        <v>130</v>
      </c>
      <c r="AD408" t="s">
        <v>1394</v>
      </c>
    </row>
    <row r="409" spans="1:30">
      <c r="A409" t="s">
        <v>1404</v>
      </c>
      <c r="B409"/>
      <c r="C409" s="60">
        <v>45889</v>
      </c>
      <c r="D409" s="1" t="s">
        <v>130</v>
      </c>
      <c r="E409" s="1" t="s">
        <v>751</v>
      </c>
      <c r="F409">
        <v>2019</v>
      </c>
      <c r="G409" t="s">
        <v>1383</v>
      </c>
      <c r="H409" t="s">
        <v>147</v>
      </c>
      <c r="I409" s="21">
        <v>54.146000000000001</v>
      </c>
      <c r="J409" s="21">
        <v>11.85</v>
      </c>
      <c r="K409" s="21">
        <v>1989</v>
      </c>
      <c r="L409" s="21">
        <v>2017</v>
      </c>
      <c r="M409" s="21">
        <v>29</v>
      </c>
      <c r="N409" t="s">
        <v>623</v>
      </c>
      <c r="O409" t="s">
        <v>152</v>
      </c>
      <c r="P409" t="s">
        <v>1345</v>
      </c>
      <c r="Q409" t="s">
        <v>1345</v>
      </c>
      <c r="R409" t="s">
        <v>29</v>
      </c>
      <c r="S409" t="s">
        <v>624</v>
      </c>
      <c r="T409">
        <v>92.5</v>
      </c>
      <c r="U409" t="s">
        <v>52</v>
      </c>
      <c r="V409">
        <v>-14.299999999999999</v>
      </c>
      <c r="W409"/>
      <c r="X409"/>
      <c r="Y409" t="s">
        <v>694</v>
      </c>
      <c r="Z409" t="s">
        <v>1405</v>
      </c>
      <c r="AA409" t="s">
        <v>1406</v>
      </c>
      <c r="AB409" t="s">
        <v>1407</v>
      </c>
      <c r="AC409" t="s">
        <v>130</v>
      </c>
      <c r="AD409" t="s">
        <v>1408</v>
      </c>
    </row>
    <row r="410" spans="1:30">
      <c r="A410" t="s">
        <v>1404</v>
      </c>
      <c r="B410"/>
      <c r="C410" s="60">
        <v>45889</v>
      </c>
      <c r="D410" s="1" t="s">
        <v>130</v>
      </c>
      <c r="E410" s="1" t="s">
        <v>751</v>
      </c>
      <c r="F410">
        <v>2019</v>
      </c>
      <c r="G410" t="s">
        <v>1383</v>
      </c>
      <c r="H410" t="s">
        <v>147</v>
      </c>
      <c r="I410" s="21">
        <v>54.146000000000001</v>
      </c>
      <c r="J410" s="21">
        <v>11.85</v>
      </c>
      <c r="K410" s="21">
        <v>1989</v>
      </c>
      <c r="L410" s="21">
        <v>2017</v>
      </c>
      <c r="M410" s="21">
        <v>29</v>
      </c>
      <c r="N410" t="s">
        <v>623</v>
      </c>
      <c r="O410" t="s">
        <v>152</v>
      </c>
      <c r="P410" t="s">
        <v>1345</v>
      </c>
      <c r="Q410" t="s">
        <v>1345</v>
      </c>
      <c r="R410" t="s">
        <v>29</v>
      </c>
      <c r="S410" t="s">
        <v>1409</v>
      </c>
      <c r="T410">
        <v>260</v>
      </c>
      <c r="U410" t="s">
        <v>54</v>
      </c>
      <c r="V410">
        <v>31</v>
      </c>
      <c r="W410"/>
      <c r="X410"/>
      <c r="Y410" t="s">
        <v>41</v>
      </c>
      <c r="Z410" t="s">
        <v>1410</v>
      </c>
      <c r="AA410" t="s">
        <v>1392</v>
      </c>
      <c r="AB410" t="s">
        <v>1411</v>
      </c>
      <c r="AC410" t="s">
        <v>130</v>
      </c>
      <c r="AD410" t="s">
        <v>1408</v>
      </c>
    </row>
    <row r="411" spans="1:30">
      <c r="A411" t="s">
        <v>1404</v>
      </c>
      <c r="B411"/>
      <c r="C411" s="60">
        <v>45889</v>
      </c>
      <c r="D411" s="1" t="s">
        <v>130</v>
      </c>
      <c r="E411" s="1" t="s">
        <v>751</v>
      </c>
      <c r="F411">
        <v>2019</v>
      </c>
      <c r="G411" t="s">
        <v>1383</v>
      </c>
      <c r="H411" t="s">
        <v>147</v>
      </c>
      <c r="I411" s="21">
        <v>54.146000000000001</v>
      </c>
      <c r="J411" s="21">
        <v>11.85</v>
      </c>
      <c r="K411" s="21">
        <v>1989</v>
      </c>
      <c r="L411" s="21">
        <v>2017</v>
      </c>
      <c r="M411" s="21">
        <v>29</v>
      </c>
      <c r="N411" t="s">
        <v>623</v>
      </c>
      <c r="O411" t="s">
        <v>152</v>
      </c>
      <c r="P411" t="s">
        <v>1345</v>
      </c>
      <c r="Q411" t="s">
        <v>1345</v>
      </c>
      <c r="R411" t="s">
        <v>8</v>
      </c>
      <c r="S411" t="s">
        <v>8</v>
      </c>
      <c r="T411" t="s">
        <v>40</v>
      </c>
      <c r="U411" t="s">
        <v>40</v>
      </c>
      <c r="V411">
        <v>45</v>
      </c>
      <c r="W411"/>
      <c r="X411"/>
      <c r="Y411" t="s">
        <v>40</v>
      </c>
      <c r="Z411" t="s">
        <v>1410</v>
      </c>
      <c r="AA411" t="s">
        <v>1392</v>
      </c>
      <c r="AB411" t="s">
        <v>1412</v>
      </c>
      <c r="AC411" t="s">
        <v>130</v>
      </c>
      <c r="AD411" t="s">
        <v>1408</v>
      </c>
    </row>
    <row r="412" spans="1:30">
      <c r="A412" s="1" t="s">
        <v>2024</v>
      </c>
      <c r="B412" s="47" t="s">
        <v>2025</v>
      </c>
      <c r="D412" s="1" t="s">
        <v>130</v>
      </c>
      <c r="E412" s="1" t="s">
        <v>74</v>
      </c>
      <c r="F412" s="1">
        <v>2019</v>
      </c>
      <c r="G412" s="1" t="s">
        <v>132</v>
      </c>
      <c r="H412" s="1" t="s">
        <v>147</v>
      </c>
      <c r="K412" s="1">
        <v>1912</v>
      </c>
      <c r="L412" s="1">
        <v>2015</v>
      </c>
      <c r="M412" s="61">
        <f t="shared" ref="M412:M443" si="7">L412-K412+1</f>
        <v>104</v>
      </c>
      <c r="N412" s="1" t="s">
        <v>623</v>
      </c>
      <c r="O412" s="1" t="s">
        <v>1582</v>
      </c>
      <c r="Q412" s="1" t="s">
        <v>1345</v>
      </c>
      <c r="R412" s="1" t="s">
        <v>2026</v>
      </c>
      <c r="V412" s="1">
        <f>(8.9+4.3)/2</f>
        <v>6.6</v>
      </c>
      <c r="Y412" s="1" t="s">
        <v>41</v>
      </c>
      <c r="AB412" s="1" t="s">
        <v>2027</v>
      </c>
    </row>
    <row r="413" spans="1:30">
      <c r="A413" s="1" t="s">
        <v>2053</v>
      </c>
      <c r="B413" s="47" t="s">
        <v>2074</v>
      </c>
      <c r="D413" s="1" t="s">
        <v>130</v>
      </c>
      <c r="E413" s="1" t="s">
        <v>74</v>
      </c>
      <c r="F413" s="1">
        <v>2019</v>
      </c>
      <c r="G413" s="1" t="s">
        <v>2076</v>
      </c>
      <c r="H413" s="1" t="s">
        <v>147</v>
      </c>
      <c r="K413" s="1">
        <v>1970</v>
      </c>
      <c r="L413" s="1">
        <v>2010</v>
      </c>
      <c r="M413" s="1">
        <f t="shared" si="7"/>
        <v>41</v>
      </c>
      <c r="N413" s="1" t="s">
        <v>623</v>
      </c>
      <c r="O413" s="1" t="s">
        <v>1582</v>
      </c>
      <c r="Q413" s="1" t="s">
        <v>1345</v>
      </c>
      <c r="R413" s="1" t="s">
        <v>2055</v>
      </c>
      <c r="V413" s="1">
        <v>-17</v>
      </c>
      <c r="Y413" s="1" t="s">
        <v>694</v>
      </c>
      <c r="AB413" s="1" t="s">
        <v>2081</v>
      </c>
    </row>
    <row r="414" spans="1:30">
      <c r="A414" s="1" t="s">
        <v>2053</v>
      </c>
      <c r="B414" s="1" t="s">
        <v>2054</v>
      </c>
      <c r="D414" s="1" t="s">
        <v>130</v>
      </c>
      <c r="E414" s="1" t="s">
        <v>74</v>
      </c>
      <c r="F414" s="1">
        <v>2019</v>
      </c>
      <c r="G414" s="1" t="s">
        <v>2077</v>
      </c>
      <c r="H414" s="1" t="s">
        <v>147</v>
      </c>
      <c r="K414" s="1">
        <v>1970</v>
      </c>
      <c r="L414" s="1">
        <v>2010</v>
      </c>
      <c r="M414" s="1">
        <f t="shared" si="7"/>
        <v>41</v>
      </c>
      <c r="N414" s="1" t="s">
        <v>623</v>
      </c>
      <c r="O414" s="1" t="s">
        <v>1582</v>
      </c>
      <c r="Q414" s="1" t="s">
        <v>1345</v>
      </c>
      <c r="R414" s="1" t="s">
        <v>2055</v>
      </c>
      <c r="V414" s="1">
        <v>-11.71</v>
      </c>
      <c r="Y414" s="1" t="s">
        <v>694</v>
      </c>
      <c r="AB414" s="1" t="s">
        <v>2082</v>
      </c>
    </row>
    <row r="415" spans="1:30">
      <c r="A415" s="1" t="s">
        <v>2053</v>
      </c>
      <c r="B415" s="1" t="s">
        <v>2054</v>
      </c>
      <c r="D415" s="1" t="s">
        <v>130</v>
      </c>
      <c r="E415" s="1" t="s">
        <v>74</v>
      </c>
      <c r="F415" s="1">
        <v>2019</v>
      </c>
      <c r="G415" s="1" t="s">
        <v>2078</v>
      </c>
      <c r="H415" s="1" t="s">
        <v>147</v>
      </c>
      <c r="K415" s="1">
        <v>1970</v>
      </c>
      <c r="L415" s="1">
        <v>2010</v>
      </c>
      <c r="M415" s="1">
        <f t="shared" si="7"/>
        <v>41</v>
      </c>
      <c r="N415" s="1" t="s">
        <v>623</v>
      </c>
      <c r="O415" s="1" t="s">
        <v>1582</v>
      </c>
      <c r="Q415" s="1" t="s">
        <v>1345</v>
      </c>
      <c r="R415" s="1" t="s">
        <v>2055</v>
      </c>
      <c r="V415" s="1">
        <v>-12.1</v>
      </c>
      <c r="Y415" s="1" t="s">
        <v>694</v>
      </c>
      <c r="AB415" s="1" t="s">
        <v>2082</v>
      </c>
    </row>
    <row r="416" spans="1:30">
      <c r="A416" s="1" t="s">
        <v>2053</v>
      </c>
      <c r="B416" s="1" t="s">
        <v>2054</v>
      </c>
      <c r="D416" s="1" t="s">
        <v>130</v>
      </c>
      <c r="E416" s="1" t="s">
        <v>74</v>
      </c>
      <c r="F416" s="1">
        <v>2019</v>
      </c>
      <c r="G416" s="1" t="s">
        <v>2079</v>
      </c>
      <c r="H416" s="1" t="s">
        <v>147</v>
      </c>
      <c r="K416" s="1">
        <v>1970</v>
      </c>
      <c r="L416" s="1">
        <v>2010</v>
      </c>
      <c r="M416" s="1">
        <f t="shared" si="7"/>
        <v>41</v>
      </c>
      <c r="N416" s="1" t="s">
        <v>623</v>
      </c>
      <c r="O416" s="1" t="s">
        <v>1582</v>
      </c>
      <c r="Q416" s="1" t="s">
        <v>1345</v>
      </c>
      <c r="R416" s="1" t="s">
        <v>2055</v>
      </c>
      <c r="V416" s="1">
        <v>-13</v>
      </c>
      <c r="Y416" s="1" t="s">
        <v>694</v>
      </c>
      <c r="AB416" s="1" t="s">
        <v>2082</v>
      </c>
    </row>
    <row r="417" spans="1:31">
      <c r="A417" s="1" t="s">
        <v>2053</v>
      </c>
      <c r="B417" s="1" t="s">
        <v>2054</v>
      </c>
      <c r="D417" s="1" t="s">
        <v>130</v>
      </c>
      <c r="E417" s="1" t="s">
        <v>74</v>
      </c>
      <c r="F417" s="1">
        <v>2019</v>
      </c>
      <c r="G417" s="1" t="s">
        <v>2080</v>
      </c>
      <c r="H417" s="1" t="s">
        <v>147</v>
      </c>
      <c r="K417" s="1">
        <v>1970</v>
      </c>
      <c r="L417" s="1">
        <v>2010</v>
      </c>
      <c r="M417" s="1">
        <f t="shared" si="7"/>
        <v>41</v>
      </c>
      <c r="N417" s="1" t="s">
        <v>623</v>
      </c>
      <c r="O417" s="1" t="s">
        <v>1582</v>
      </c>
      <c r="Q417" s="1" t="s">
        <v>1345</v>
      </c>
      <c r="R417" s="1" t="s">
        <v>2055</v>
      </c>
      <c r="V417" s="1">
        <v>-10.199999999999999</v>
      </c>
      <c r="Y417" s="1" t="s">
        <v>694</v>
      </c>
      <c r="AB417" s="1" t="s">
        <v>2082</v>
      </c>
    </row>
    <row r="418" spans="1:31">
      <c r="A418" s="1" t="s">
        <v>1330</v>
      </c>
      <c r="B418" s="26" t="s">
        <v>691</v>
      </c>
      <c r="C418" s="60">
        <v>45870</v>
      </c>
      <c r="D418" s="1" t="s">
        <v>130</v>
      </c>
      <c r="E418" s="1" t="s">
        <v>137</v>
      </c>
      <c r="F418" s="1">
        <v>2018</v>
      </c>
      <c r="G418" s="1" t="s">
        <v>692</v>
      </c>
      <c r="H418" s="1" t="s">
        <v>147</v>
      </c>
      <c r="I418" s="1">
        <v>41.5</v>
      </c>
      <c r="J418" s="1">
        <v>-70.3</v>
      </c>
      <c r="K418" s="1">
        <v>1972</v>
      </c>
      <c r="L418" s="1">
        <v>1990</v>
      </c>
      <c r="M418" s="1">
        <f t="shared" si="7"/>
        <v>19</v>
      </c>
      <c r="N418" s="1" t="s">
        <v>30</v>
      </c>
      <c r="O418" s="1" t="s">
        <v>199</v>
      </c>
      <c r="P418" s="1" t="s">
        <v>1014</v>
      </c>
      <c r="Q418" s="1" t="s">
        <v>693</v>
      </c>
      <c r="R418" s="1" t="s">
        <v>29</v>
      </c>
      <c r="S418" s="1" t="s">
        <v>71</v>
      </c>
      <c r="T418" s="1" t="s">
        <v>40</v>
      </c>
      <c r="U418" s="1" t="s">
        <v>40</v>
      </c>
      <c r="V418" s="1" t="s">
        <v>40</v>
      </c>
      <c r="X418" s="1" t="s">
        <v>40</v>
      </c>
      <c r="Y418" s="1" t="s">
        <v>41</v>
      </c>
      <c r="Z418" s="1" t="s">
        <v>698</v>
      </c>
      <c r="AA418" s="1" t="s">
        <v>696</v>
      </c>
      <c r="AB418" s="1" t="s">
        <v>695</v>
      </c>
      <c r="AC418" s="1" t="s">
        <v>44</v>
      </c>
      <c r="AD418" s="1" t="s">
        <v>60</v>
      </c>
    </row>
    <row r="419" spans="1:31">
      <c r="A419" s="1" t="s">
        <v>1330</v>
      </c>
      <c r="B419" s="47" t="s">
        <v>1860</v>
      </c>
      <c r="C419" s="60">
        <v>45870</v>
      </c>
      <c r="D419" s="1" t="s">
        <v>130</v>
      </c>
      <c r="E419" s="1" t="s">
        <v>137</v>
      </c>
      <c r="F419" s="1">
        <v>2018</v>
      </c>
      <c r="G419" s="1" t="s">
        <v>692</v>
      </c>
      <c r="H419" s="1" t="s">
        <v>147</v>
      </c>
      <c r="I419" s="1">
        <v>41.5</v>
      </c>
      <c r="J419" s="1">
        <v>-70.3</v>
      </c>
      <c r="K419" s="1">
        <v>1972</v>
      </c>
      <c r="L419" s="1">
        <v>1990</v>
      </c>
      <c r="M419" s="1">
        <f t="shared" si="7"/>
        <v>19</v>
      </c>
      <c r="N419" s="1" t="s">
        <v>30</v>
      </c>
      <c r="O419" s="1" t="s">
        <v>199</v>
      </c>
      <c r="P419" s="1" t="s">
        <v>1014</v>
      </c>
      <c r="Q419" s="1" t="s">
        <v>33</v>
      </c>
      <c r="R419" s="1" t="s">
        <v>29</v>
      </c>
      <c r="S419" s="1" t="s">
        <v>71</v>
      </c>
      <c r="T419" s="1" t="s">
        <v>40</v>
      </c>
      <c r="U419" s="1" t="s">
        <v>40</v>
      </c>
      <c r="V419" s="1">
        <f>((-0.32+0.47)/2)*7*10</f>
        <v>5.2499999999999991</v>
      </c>
      <c r="X419" s="1" t="s">
        <v>40</v>
      </c>
      <c r="Y419" s="1" t="s">
        <v>41</v>
      </c>
      <c r="Z419" s="1" t="s">
        <v>698</v>
      </c>
      <c r="AA419" s="1" t="s">
        <v>697</v>
      </c>
      <c r="AB419" s="1" t="s">
        <v>1331</v>
      </c>
      <c r="AC419" s="1" t="s">
        <v>44</v>
      </c>
      <c r="AD419" s="1" t="s">
        <v>60</v>
      </c>
    </row>
    <row r="420" spans="1:31">
      <c r="A420" s="1" t="s">
        <v>39</v>
      </c>
      <c r="B420" s="26" t="s">
        <v>78</v>
      </c>
      <c r="C420" s="54">
        <v>45863</v>
      </c>
      <c r="D420" s="1" t="s">
        <v>130</v>
      </c>
      <c r="E420" s="1" t="s">
        <v>74</v>
      </c>
      <c r="F420" s="1">
        <v>2017</v>
      </c>
      <c r="G420" s="1" t="s">
        <v>26</v>
      </c>
      <c r="H420" s="1" t="s">
        <v>27</v>
      </c>
      <c r="I420" s="1">
        <v>45.33</v>
      </c>
      <c r="J420" s="1">
        <v>-0.75</v>
      </c>
      <c r="K420" s="1">
        <v>1985</v>
      </c>
      <c r="L420" s="1">
        <v>2010</v>
      </c>
      <c r="M420" s="1">
        <f t="shared" si="7"/>
        <v>26</v>
      </c>
      <c r="N420" s="1" t="s">
        <v>30</v>
      </c>
      <c r="O420" s="1" t="s">
        <v>199</v>
      </c>
      <c r="P420" s="1" t="s">
        <v>37</v>
      </c>
      <c r="Q420" s="58" t="s">
        <v>34</v>
      </c>
      <c r="R420" s="1" t="s">
        <v>29</v>
      </c>
      <c r="S420" s="1" t="s">
        <v>38</v>
      </c>
      <c r="T420" s="1">
        <v>196</v>
      </c>
      <c r="U420" s="1" t="s">
        <v>53</v>
      </c>
      <c r="V420" s="1" t="s">
        <v>40</v>
      </c>
      <c r="X420" s="1" t="s">
        <v>40</v>
      </c>
      <c r="Y420" s="1" t="s">
        <v>694</v>
      </c>
      <c r="Z420" s="1" t="s">
        <v>43</v>
      </c>
      <c r="AA420" s="1" t="s">
        <v>46</v>
      </c>
      <c r="AB420" s="1" t="s">
        <v>50</v>
      </c>
      <c r="AC420" s="1" t="s">
        <v>44</v>
      </c>
      <c r="AD420" s="1" t="s">
        <v>45</v>
      </c>
      <c r="AE420" s="1" t="s">
        <v>40</v>
      </c>
    </row>
    <row r="421" spans="1:31">
      <c r="A421" s="1" t="s">
        <v>39</v>
      </c>
      <c r="B421" s="26" t="s">
        <v>78</v>
      </c>
      <c r="C421" s="54">
        <v>45863</v>
      </c>
      <c r="D421" s="1" t="s">
        <v>130</v>
      </c>
      <c r="E421" s="1" t="s">
        <v>74</v>
      </c>
      <c r="F421" s="1">
        <v>2017</v>
      </c>
      <c r="G421" s="1" t="s">
        <v>26</v>
      </c>
      <c r="H421" s="1" t="s">
        <v>27</v>
      </c>
      <c r="I421" s="1">
        <v>45.33</v>
      </c>
      <c r="J421" s="1">
        <v>-0.75</v>
      </c>
      <c r="K421" s="1">
        <v>1985</v>
      </c>
      <c r="L421" s="1">
        <v>2010</v>
      </c>
      <c r="M421" s="1">
        <f t="shared" si="7"/>
        <v>26</v>
      </c>
      <c r="N421" s="1" t="s">
        <v>30</v>
      </c>
      <c r="O421" s="1" t="s">
        <v>199</v>
      </c>
      <c r="P421" s="1" t="s">
        <v>37</v>
      </c>
      <c r="Q421" s="58" t="s">
        <v>35</v>
      </c>
      <c r="R421" s="1" t="s">
        <v>29</v>
      </c>
      <c r="S421" s="1" t="s">
        <v>38</v>
      </c>
      <c r="T421" s="1">
        <v>227</v>
      </c>
      <c r="U421" s="1" t="s">
        <v>53</v>
      </c>
      <c r="V421" s="1" t="s">
        <v>40</v>
      </c>
      <c r="X421" s="1" t="s">
        <v>40</v>
      </c>
      <c r="Y421" s="1" t="s">
        <v>41</v>
      </c>
      <c r="Z421" s="1" t="s">
        <v>43</v>
      </c>
      <c r="AA421" s="1" t="s">
        <v>46</v>
      </c>
      <c r="AB421" s="1" t="s">
        <v>51</v>
      </c>
      <c r="AC421" s="1" t="s">
        <v>44</v>
      </c>
      <c r="AD421" s="1" t="s">
        <v>45</v>
      </c>
      <c r="AE421" s="1" t="s">
        <v>40</v>
      </c>
    </row>
    <row r="422" spans="1:31">
      <c r="A422" s="1" t="s">
        <v>39</v>
      </c>
      <c r="B422" s="26" t="s">
        <v>77</v>
      </c>
      <c r="C422" s="54">
        <v>45863</v>
      </c>
      <c r="D422" s="1" t="s">
        <v>130</v>
      </c>
      <c r="E422" s="1" t="s">
        <v>751</v>
      </c>
      <c r="F422" s="1">
        <v>2017</v>
      </c>
      <c r="G422" s="1" t="s">
        <v>26</v>
      </c>
      <c r="H422" s="1" t="s">
        <v>27</v>
      </c>
      <c r="I422" s="1">
        <v>45.33</v>
      </c>
      <c r="J422" s="1">
        <v>-0.75</v>
      </c>
      <c r="K422" s="1">
        <v>1985</v>
      </c>
      <c r="L422" s="1">
        <v>2010</v>
      </c>
      <c r="M422" s="1">
        <f t="shared" si="7"/>
        <v>26</v>
      </c>
      <c r="N422" s="1" t="s">
        <v>30</v>
      </c>
      <c r="O422" s="1" t="s">
        <v>199</v>
      </c>
      <c r="P422" s="1" t="s">
        <v>1014</v>
      </c>
      <c r="Q422" s="58" t="s">
        <v>33</v>
      </c>
      <c r="R422" s="1" t="s">
        <v>29</v>
      </c>
      <c r="S422" s="1" t="s">
        <v>38</v>
      </c>
      <c r="T422" s="1">
        <v>258</v>
      </c>
      <c r="U422" s="1" t="s">
        <v>54</v>
      </c>
      <c r="V422" s="1" t="s">
        <v>40</v>
      </c>
      <c r="X422" s="1" t="s">
        <v>40</v>
      </c>
      <c r="Y422" s="1" t="s">
        <v>41</v>
      </c>
      <c r="Z422" s="1" t="s">
        <v>43</v>
      </c>
      <c r="AA422" s="1" t="s">
        <v>46</v>
      </c>
      <c r="AB422" s="1" t="s">
        <v>49</v>
      </c>
      <c r="AC422" s="1" t="s">
        <v>44</v>
      </c>
      <c r="AD422" s="1" t="s">
        <v>45</v>
      </c>
      <c r="AE422" s="1" t="s">
        <v>40</v>
      </c>
    </row>
    <row r="423" spans="1:31">
      <c r="A423" s="1" t="s">
        <v>39</v>
      </c>
      <c r="B423" s="26" t="s">
        <v>77</v>
      </c>
      <c r="C423" s="54">
        <v>45863</v>
      </c>
      <c r="D423" s="1" t="s">
        <v>130</v>
      </c>
      <c r="E423" s="1" t="s">
        <v>751</v>
      </c>
      <c r="F423" s="1">
        <v>2017</v>
      </c>
      <c r="G423" s="1" t="s">
        <v>26</v>
      </c>
      <c r="H423" s="1" t="s">
        <v>27</v>
      </c>
      <c r="I423" s="1">
        <v>45.33</v>
      </c>
      <c r="J423" s="1">
        <v>-0.75</v>
      </c>
      <c r="K423" s="1">
        <v>1985</v>
      </c>
      <c r="L423" s="1">
        <v>2010</v>
      </c>
      <c r="M423" s="1">
        <f t="shared" si="7"/>
        <v>26</v>
      </c>
      <c r="N423" s="1" t="s">
        <v>30</v>
      </c>
      <c r="O423" s="1" t="s">
        <v>199</v>
      </c>
      <c r="P423" s="1" t="s">
        <v>1014</v>
      </c>
      <c r="Q423" s="58" t="s">
        <v>31</v>
      </c>
      <c r="R423" s="1" t="s">
        <v>29</v>
      </c>
      <c r="S423" s="1" t="s">
        <v>38</v>
      </c>
      <c r="T423" s="1">
        <v>135</v>
      </c>
      <c r="U423" s="1" t="s">
        <v>52</v>
      </c>
      <c r="V423" s="1" t="s">
        <v>40</v>
      </c>
      <c r="X423" s="1" t="s">
        <v>40</v>
      </c>
      <c r="Y423" s="1" t="s">
        <v>154</v>
      </c>
      <c r="Z423" s="1" t="s">
        <v>43</v>
      </c>
      <c r="AA423" s="1" t="s">
        <v>46</v>
      </c>
      <c r="AB423" s="1" t="s">
        <v>47</v>
      </c>
      <c r="AC423" s="1" t="s">
        <v>44</v>
      </c>
      <c r="AD423" s="1" t="s">
        <v>45</v>
      </c>
      <c r="AE423" s="1" t="s">
        <v>40</v>
      </c>
    </row>
    <row r="424" spans="1:31">
      <c r="A424" s="1" t="s">
        <v>39</v>
      </c>
      <c r="B424" s="26" t="s">
        <v>77</v>
      </c>
      <c r="C424" s="54">
        <v>45863</v>
      </c>
      <c r="D424" s="1" t="s">
        <v>130</v>
      </c>
      <c r="E424" s="1" t="s">
        <v>751</v>
      </c>
      <c r="F424" s="1">
        <v>2017</v>
      </c>
      <c r="G424" s="1" t="s">
        <v>26</v>
      </c>
      <c r="H424" s="1" t="s">
        <v>27</v>
      </c>
      <c r="I424" s="1">
        <v>45.33</v>
      </c>
      <c r="J424" s="1">
        <v>-0.75</v>
      </c>
      <c r="K424" s="1">
        <v>1985</v>
      </c>
      <c r="L424" s="1">
        <v>2010</v>
      </c>
      <c r="M424" s="1">
        <f t="shared" si="7"/>
        <v>26</v>
      </c>
      <c r="N424" s="1" t="s">
        <v>30</v>
      </c>
      <c r="O424" s="1" t="s">
        <v>199</v>
      </c>
      <c r="P424" s="1" t="s">
        <v>1014</v>
      </c>
      <c r="Q424" s="58" t="s">
        <v>32</v>
      </c>
      <c r="R424" s="1" t="s">
        <v>29</v>
      </c>
      <c r="S424" s="1" t="s">
        <v>38</v>
      </c>
      <c r="T424" s="1">
        <v>227</v>
      </c>
      <c r="U424" s="1" t="s">
        <v>53</v>
      </c>
      <c r="V424" s="1" t="s">
        <v>40</v>
      </c>
      <c r="X424" s="1" t="s">
        <v>40</v>
      </c>
      <c r="Y424" s="1" t="s">
        <v>694</v>
      </c>
      <c r="Z424" s="1" t="s">
        <v>43</v>
      </c>
      <c r="AA424" s="1" t="s">
        <v>46</v>
      </c>
      <c r="AB424" s="1" t="s">
        <v>48</v>
      </c>
      <c r="AC424" s="1" t="s">
        <v>44</v>
      </c>
      <c r="AD424" s="1" t="s">
        <v>45</v>
      </c>
      <c r="AE424" s="1" t="s">
        <v>40</v>
      </c>
    </row>
    <row r="425" spans="1:31">
      <c r="A425" s="1" t="s">
        <v>1029</v>
      </c>
      <c r="B425" s="47" t="s">
        <v>1880</v>
      </c>
      <c r="C425" s="60">
        <v>45880</v>
      </c>
      <c r="D425" s="1" t="s">
        <v>130</v>
      </c>
      <c r="E425" s="1" t="s">
        <v>74</v>
      </c>
      <c r="F425" s="1">
        <v>2015</v>
      </c>
      <c r="G425" s="1" t="s">
        <v>1030</v>
      </c>
      <c r="H425" s="1" t="s">
        <v>147</v>
      </c>
      <c r="I425" s="1">
        <v>50.25</v>
      </c>
      <c r="J425" s="1">
        <v>-4.2169999999999996</v>
      </c>
      <c r="K425" s="1">
        <v>1988</v>
      </c>
      <c r="L425" s="1">
        <v>2012</v>
      </c>
      <c r="M425" s="1">
        <f t="shared" si="7"/>
        <v>25</v>
      </c>
      <c r="N425" s="1" t="s">
        <v>30</v>
      </c>
      <c r="O425" s="1" t="s">
        <v>205</v>
      </c>
      <c r="P425" s="1" t="s">
        <v>964</v>
      </c>
      <c r="Q425" s="1" t="s">
        <v>396</v>
      </c>
      <c r="R425" s="1" t="s">
        <v>1025</v>
      </c>
      <c r="S425" s="1" t="s">
        <v>71</v>
      </c>
      <c r="T425" s="1" t="s">
        <v>40</v>
      </c>
      <c r="U425" s="1" t="s">
        <v>40</v>
      </c>
      <c r="V425" s="1">
        <f>((15.14-15.5)*7)/(M425/10)</f>
        <v>-1.0079999999999985</v>
      </c>
      <c r="Y425" s="1" t="s">
        <v>694</v>
      </c>
      <c r="AA425" s="1" t="s">
        <v>1340</v>
      </c>
      <c r="AB425" s="1" t="s">
        <v>1026</v>
      </c>
      <c r="AE425" s="1" t="s">
        <v>1884</v>
      </c>
    </row>
    <row r="426" spans="1:31">
      <c r="A426" s="1" t="s">
        <v>786</v>
      </c>
      <c r="B426" s="1" t="s">
        <v>912</v>
      </c>
      <c r="C426" s="60">
        <v>45877</v>
      </c>
      <c r="D426" s="1" t="s">
        <v>130</v>
      </c>
      <c r="E426" s="1" t="s">
        <v>751</v>
      </c>
      <c r="F426" s="1">
        <v>2015</v>
      </c>
      <c r="G426" s="1" t="s">
        <v>184</v>
      </c>
      <c r="H426" s="1" t="s">
        <v>27</v>
      </c>
      <c r="I426" s="1">
        <v>34</v>
      </c>
      <c r="J426" s="1">
        <v>-122</v>
      </c>
      <c r="K426" s="1">
        <v>1951</v>
      </c>
      <c r="L426" s="1">
        <v>2008</v>
      </c>
      <c r="M426" s="1">
        <f t="shared" si="7"/>
        <v>58</v>
      </c>
      <c r="N426" s="1" t="s">
        <v>623</v>
      </c>
      <c r="O426" s="1" t="s">
        <v>205</v>
      </c>
      <c r="P426" s="1" t="s">
        <v>788</v>
      </c>
      <c r="Q426" s="1" t="s">
        <v>284</v>
      </c>
      <c r="R426" s="1" t="s">
        <v>636</v>
      </c>
      <c r="S426" s="1" t="s">
        <v>71</v>
      </c>
      <c r="T426" s="1">
        <v>74</v>
      </c>
      <c r="U426" s="1" t="s">
        <v>52</v>
      </c>
      <c r="V426" s="1">
        <v>-3</v>
      </c>
      <c r="Y426" s="1" t="s">
        <v>694</v>
      </c>
      <c r="Z426" s="1" t="s">
        <v>790</v>
      </c>
      <c r="AA426" s="1" t="s">
        <v>791</v>
      </c>
      <c r="AB426" s="1" t="s">
        <v>792</v>
      </c>
      <c r="AC426" s="1" t="s">
        <v>130</v>
      </c>
      <c r="AD426" s="1" t="s">
        <v>60</v>
      </c>
      <c r="AE426" s="1" t="s">
        <v>778</v>
      </c>
    </row>
    <row r="427" spans="1:31">
      <c r="A427" s="1" t="s">
        <v>786</v>
      </c>
      <c r="B427" s="1" t="s">
        <v>913</v>
      </c>
      <c r="C427" s="60">
        <v>45877</v>
      </c>
      <c r="D427" s="1" t="s">
        <v>130</v>
      </c>
      <c r="E427" s="1" t="s">
        <v>751</v>
      </c>
      <c r="F427" s="1">
        <v>2015</v>
      </c>
      <c r="G427" s="1" t="s">
        <v>184</v>
      </c>
      <c r="H427" s="1" t="s">
        <v>27</v>
      </c>
      <c r="I427" s="1">
        <v>34</v>
      </c>
      <c r="J427" s="1">
        <v>-122</v>
      </c>
      <c r="K427" s="1">
        <v>1951</v>
      </c>
      <c r="L427" s="1">
        <v>2008</v>
      </c>
      <c r="M427" s="1">
        <f t="shared" si="7"/>
        <v>58</v>
      </c>
      <c r="N427" s="1" t="s">
        <v>623</v>
      </c>
      <c r="O427" s="1" t="s">
        <v>205</v>
      </c>
      <c r="P427" s="1" t="s">
        <v>788</v>
      </c>
      <c r="Q427" s="1" t="s">
        <v>286</v>
      </c>
      <c r="R427" s="1" t="s">
        <v>636</v>
      </c>
      <c r="S427" s="1" t="s">
        <v>71</v>
      </c>
      <c r="T427" s="1">
        <v>105</v>
      </c>
      <c r="U427" s="1" t="s">
        <v>52</v>
      </c>
      <c r="V427" s="1">
        <v>-11.1</v>
      </c>
      <c r="Y427" s="1" t="s">
        <v>694</v>
      </c>
      <c r="Z427" s="1" t="s">
        <v>790</v>
      </c>
      <c r="AA427" s="1" t="s">
        <v>791</v>
      </c>
      <c r="AB427" s="1" t="s">
        <v>792</v>
      </c>
      <c r="AC427" s="1" t="s">
        <v>130</v>
      </c>
      <c r="AD427" s="1" t="s">
        <v>60</v>
      </c>
      <c r="AE427" s="1" t="s">
        <v>778</v>
      </c>
    </row>
    <row r="428" spans="1:31">
      <c r="A428" s="1" t="s">
        <v>786</v>
      </c>
      <c r="B428" s="1" t="s">
        <v>914</v>
      </c>
      <c r="C428" s="60">
        <v>45877</v>
      </c>
      <c r="D428" s="1" t="s">
        <v>130</v>
      </c>
      <c r="E428" s="1" t="s">
        <v>751</v>
      </c>
      <c r="F428" s="1">
        <v>2015</v>
      </c>
      <c r="G428" s="1" t="s">
        <v>184</v>
      </c>
      <c r="H428" s="1" t="s">
        <v>27</v>
      </c>
      <c r="I428" s="1">
        <v>34</v>
      </c>
      <c r="J428" s="1">
        <v>-122</v>
      </c>
      <c r="K428" s="1">
        <v>1951</v>
      </c>
      <c r="L428" s="1">
        <v>2008</v>
      </c>
      <c r="M428" s="1">
        <f t="shared" si="7"/>
        <v>58</v>
      </c>
      <c r="N428" s="1" t="s">
        <v>623</v>
      </c>
      <c r="O428" s="1" t="s">
        <v>205</v>
      </c>
      <c r="P428" s="1" t="s">
        <v>788</v>
      </c>
      <c r="Q428" s="1" t="s">
        <v>287</v>
      </c>
      <c r="R428" s="1" t="s">
        <v>636</v>
      </c>
      <c r="S428" s="1" t="s">
        <v>71</v>
      </c>
      <c r="T428" s="1">
        <v>74</v>
      </c>
      <c r="U428" s="1" t="s">
        <v>52</v>
      </c>
      <c r="V428" s="1">
        <v>2</v>
      </c>
      <c r="Y428" s="1" t="s">
        <v>41</v>
      </c>
      <c r="Z428" s="1" t="s">
        <v>790</v>
      </c>
      <c r="AA428" s="1" t="s">
        <v>791</v>
      </c>
      <c r="AB428" s="1" t="s">
        <v>792</v>
      </c>
      <c r="AC428" s="1" t="s">
        <v>130</v>
      </c>
      <c r="AD428" s="1" t="s">
        <v>60</v>
      </c>
      <c r="AE428" s="1" t="s">
        <v>778</v>
      </c>
    </row>
    <row r="429" spans="1:31">
      <c r="A429" s="1" t="s">
        <v>786</v>
      </c>
      <c r="B429" s="1" t="s">
        <v>915</v>
      </c>
      <c r="C429" s="60">
        <v>45877</v>
      </c>
      <c r="D429" s="1" t="s">
        <v>130</v>
      </c>
      <c r="E429" s="1" t="s">
        <v>751</v>
      </c>
      <c r="F429" s="1">
        <v>2015</v>
      </c>
      <c r="G429" s="1" t="s">
        <v>184</v>
      </c>
      <c r="H429" s="1" t="s">
        <v>27</v>
      </c>
      <c r="I429" s="1">
        <v>34</v>
      </c>
      <c r="J429" s="1">
        <v>-122</v>
      </c>
      <c r="K429" s="1">
        <v>1951</v>
      </c>
      <c r="L429" s="1">
        <v>2008</v>
      </c>
      <c r="M429" s="1">
        <f t="shared" si="7"/>
        <v>58</v>
      </c>
      <c r="N429" s="1" t="s">
        <v>623</v>
      </c>
      <c r="O429" s="1" t="s">
        <v>205</v>
      </c>
      <c r="P429" s="1" t="s">
        <v>788</v>
      </c>
      <c r="Q429" s="1" t="s">
        <v>288</v>
      </c>
      <c r="R429" s="1" t="s">
        <v>636</v>
      </c>
      <c r="S429" s="1" t="s">
        <v>71</v>
      </c>
      <c r="T429" s="1">
        <v>74</v>
      </c>
      <c r="U429" s="1" t="s">
        <v>52</v>
      </c>
      <c r="V429" s="1">
        <v>4.5999999999999996</v>
      </c>
      <c r="Y429" s="1" t="s">
        <v>41</v>
      </c>
      <c r="Z429" s="1" t="s">
        <v>790</v>
      </c>
      <c r="AA429" s="1" t="s">
        <v>791</v>
      </c>
      <c r="AB429" s="1" t="s">
        <v>792</v>
      </c>
      <c r="AC429" s="1" t="s">
        <v>130</v>
      </c>
      <c r="AD429" s="1" t="s">
        <v>60</v>
      </c>
      <c r="AE429" s="1" t="s">
        <v>778</v>
      </c>
    </row>
    <row r="430" spans="1:31">
      <c r="A430" s="1" t="s">
        <v>786</v>
      </c>
      <c r="B430" s="1" t="s">
        <v>916</v>
      </c>
      <c r="C430" s="60">
        <v>45877</v>
      </c>
      <c r="D430" s="1" t="s">
        <v>130</v>
      </c>
      <c r="E430" s="1" t="s">
        <v>751</v>
      </c>
      <c r="F430" s="1">
        <v>2015</v>
      </c>
      <c r="G430" s="1" t="s">
        <v>184</v>
      </c>
      <c r="H430" s="1" t="s">
        <v>27</v>
      </c>
      <c r="I430" s="1">
        <v>34</v>
      </c>
      <c r="J430" s="1">
        <v>-122</v>
      </c>
      <c r="K430" s="1">
        <v>1951</v>
      </c>
      <c r="L430" s="1">
        <v>2008</v>
      </c>
      <c r="M430" s="1">
        <f t="shared" si="7"/>
        <v>58</v>
      </c>
      <c r="N430" s="1" t="s">
        <v>623</v>
      </c>
      <c r="O430" s="1" t="s">
        <v>205</v>
      </c>
      <c r="P430" s="1" t="s">
        <v>788</v>
      </c>
      <c r="Q430" s="1" t="s">
        <v>289</v>
      </c>
      <c r="R430" s="1" t="s">
        <v>636</v>
      </c>
      <c r="S430" s="1" t="s">
        <v>71</v>
      </c>
      <c r="T430" s="1">
        <v>196</v>
      </c>
      <c r="U430" s="1" t="s">
        <v>53</v>
      </c>
      <c r="V430" s="1">
        <v>4.4000000000000004</v>
      </c>
      <c r="Y430" s="1" t="s">
        <v>41</v>
      </c>
      <c r="Z430" s="1" t="s">
        <v>790</v>
      </c>
      <c r="AA430" s="1" t="s">
        <v>791</v>
      </c>
      <c r="AB430" s="1" t="s">
        <v>792</v>
      </c>
      <c r="AC430" s="1" t="s">
        <v>130</v>
      </c>
      <c r="AD430" s="1" t="s">
        <v>60</v>
      </c>
      <c r="AE430" s="1" t="s">
        <v>778</v>
      </c>
    </row>
    <row r="431" spans="1:31">
      <c r="A431" s="1" t="s">
        <v>786</v>
      </c>
      <c r="B431" s="1" t="s">
        <v>917</v>
      </c>
      <c r="C431" s="60">
        <v>45877</v>
      </c>
      <c r="D431" s="1" t="s">
        <v>130</v>
      </c>
      <c r="E431" s="1" t="s">
        <v>751</v>
      </c>
      <c r="F431" s="1">
        <v>2015</v>
      </c>
      <c r="G431" s="1" t="s">
        <v>184</v>
      </c>
      <c r="H431" s="1" t="s">
        <v>27</v>
      </c>
      <c r="I431" s="1">
        <v>34</v>
      </c>
      <c r="J431" s="1">
        <v>-122</v>
      </c>
      <c r="K431" s="1">
        <v>1951</v>
      </c>
      <c r="L431" s="1">
        <v>2008</v>
      </c>
      <c r="M431" s="1">
        <f t="shared" si="7"/>
        <v>58</v>
      </c>
      <c r="N431" s="1" t="s">
        <v>623</v>
      </c>
      <c r="O431" s="1" t="s">
        <v>205</v>
      </c>
      <c r="P431" s="1" t="s">
        <v>788</v>
      </c>
      <c r="Q431" s="1" t="s">
        <v>290</v>
      </c>
      <c r="R431" s="1" t="s">
        <v>636</v>
      </c>
      <c r="S431" s="1" t="s">
        <v>71</v>
      </c>
      <c r="T431" s="1">
        <v>74</v>
      </c>
      <c r="U431" s="1" t="s">
        <v>52</v>
      </c>
      <c r="V431" s="1">
        <v>1.2</v>
      </c>
      <c r="Y431" s="1" t="s">
        <v>41</v>
      </c>
      <c r="Z431" s="1" t="s">
        <v>790</v>
      </c>
      <c r="AA431" s="1" t="s">
        <v>791</v>
      </c>
      <c r="AB431" s="1" t="s">
        <v>792</v>
      </c>
      <c r="AC431" s="1" t="s">
        <v>130</v>
      </c>
      <c r="AD431" s="1" t="s">
        <v>60</v>
      </c>
      <c r="AE431" s="1" t="s">
        <v>778</v>
      </c>
    </row>
    <row r="432" spans="1:31">
      <c r="A432" s="1" t="s">
        <v>786</v>
      </c>
      <c r="B432" s="1" t="s">
        <v>918</v>
      </c>
      <c r="C432" s="60">
        <v>45877</v>
      </c>
      <c r="D432" s="1" t="s">
        <v>130</v>
      </c>
      <c r="E432" s="1" t="s">
        <v>751</v>
      </c>
      <c r="F432" s="1">
        <v>2015</v>
      </c>
      <c r="G432" s="1" t="s">
        <v>184</v>
      </c>
      <c r="H432" s="1" t="s">
        <v>27</v>
      </c>
      <c r="I432" s="1">
        <v>34</v>
      </c>
      <c r="J432" s="1">
        <v>-122</v>
      </c>
      <c r="K432" s="1">
        <v>1951</v>
      </c>
      <c r="L432" s="1">
        <v>2008</v>
      </c>
      <c r="M432" s="1">
        <f t="shared" si="7"/>
        <v>58</v>
      </c>
      <c r="N432" s="1" t="s">
        <v>623</v>
      </c>
      <c r="O432" s="1" t="s">
        <v>205</v>
      </c>
      <c r="P432" s="1" t="s">
        <v>788</v>
      </c>
      <c r="Q432" s="1" t="s">
        <v>799</v>
      </c>
      <c r="R432" s="1" t="s">
        <v>636</v>
      </c>
      <c r="S432" s="1" t="s">
        <v>71</v>
      </c>
      <c r="T432" s="1">
        <v>74</v>
      </c>
      <c r="U432" s="1" t="s">
        <v>52</v>
      </c>
      <c r="V432" s="1">
        <v>-3.2</v>
      </c>
      <c r="Y432" s="1" t="s">
        <v>694</v>
      </c>
      <c r="Z432" s="1" t="s">
        <v>790</v>
      </c>
      <c r="AA432" s="1" t="s">
        <v>791</v>
      </c>
      <c r="AB432" s="1" t="s">
        <v>792</v>
      </c>
      <c r="AC432" s="1" t="s">
        <v>130</v>
      </c>
      <c r="AD432" s="1" t="s">
        <v>60</v>
      </c>
      <c r="AE432" s="1" t="s">
        <v>778</v>
      </c>
    </row>
    <row r="433" spans="1:31">
      <c r="A433" s="1" t="s">
        <v>786</v>
      </c>
      <c r="B433" s="1" t="s">
        <v>919</v>
      </c>
      <c r="C433" s="60">
        <v>45877</v>
      </c>
      <c r="D433" s="1" t="s">
        <v>130</v>
      </c>
      <c r="E433" s="1" t="s">
        <v>751</v>
      </c>
      <c r="F433" s="1">
        <v>2015</v>
      </c>
      <c r="G433" s="1" t="s">
        <v>184</v>
      </c>
      <c r="H433" s="1" t="s">
        <v>27</v>
      </c>
      <c r="I433" s="1">
        <v>34</v>
      </c>
      <c r="J433" s="1">
        <v>-122</v>
      </c>
      <c r="K433" s="1">
        <v>1951</v>
      </c>
      <c r="L433" s="1">
        <v>2008</v>
      </c>
      <c r="M433" s="1">
        <f t="shared" si="7"/>
        <v>58</v>
      </c>
      <c r="N433" s="1" t="s">
        <v>623</v>
      </c>
      <c r="O433" s="1" t="s">
        <v>205</v>
      </c>
      <c r="P433" s="1" t="s">
        <v>788</v>
      </c>
      <c r="Q433" s="1" t="s">
        <v>801</v>
      </c>
      <c r="R433" s="1" t="s">
        <v>636</v>
      </c>
      <c r="S433" s="1" t="s">
        <v>71</v>
      </c>
      <c r="T433" s="1">
        <v>74</v>
      </c>
      <c r="U433" s="1" t="s">
        <v>52</v>
      </c>
      <c r="V433" s="1">
        <v>-1.7</v>
      </c>
      <c r="Y433" s="1" t="s">
        <v>694</v>
      </c>
      <c r="Z433" s="1" t="s">
        <v>790</v>
      </c>
      <c r="AA433" s="1" t="s">
        <v>791</v>
      </c>
      <c r="AB433" s="1" t="s">
        <v>792</v>
      </c>
      <c r="AC433" s="1" t="s">
        <v>130</v>
      </c>
      <c r="AD433" s="1" t="s">
        <v>60</v>
      </c>
      <c r="AE433" s="1" t="s">
        <v>778</v>
      </c>
    </row>
    <row r="434" spans="1:31">
      <c r="A434" s="1" t="s">
        <v>786</v>
      </c>
      <c r="B434" s="1" t="s">
        <v>920</v>
      </c>
      <c r="C434" s="60">
        <v>45877</v>
      </c>
      <c r="D434" s="1" t="s">
        <v>130</v>
      </c>
      <c r="E434" s="1" t="s">
        <v>751</v>
      </c>
      <c r="F434" s="1">
        <v>2015</v>
      </c>
      <c r="G434" s="1" t="s">
        <v>184</v>
      </c>
      <c r="H434" s="1" t="s">
        <v>27</v>
      </c>
      <c r="I434" s="1">
        <v>34</v>
      </c>
      <c r="J434" s="1">
        <v>-122</v>
      </c>
      <c r="K434" s="1">
        <v>1951</v>
      </c>
      <c r="L434" s="1">
        <v>2008</v>
      </c>
      <c r="M434" s="1">
        <f t="shared" si="7"/>
        <v>58</v>
      </c>
      <c r="N434" s="1" t="s">
        <v>623</v>
      </c>
      <c r="O434" s="1" t="s">
        <v>205</v>
      </c>
      <c r="P434" s="1" t="s">
        <v>788</v>
      </c>
      <c r="Q434" s="1" t="s">
        <v>803</v>
      </c>
      <c r="R434" s="1" t="s">
        <v>636</v>
      </c>
      <c r="S434" s="1" t="s">
        <v>71</v>
      </c>
      <c r="T434" s="1">
        <v>74</v>
      </c>
      <c r="U434" s="1" t="s">
        <v>52</v>
      </c>
      <c r="V434" s="1">
        <v>-3.8</v>
      </c>
      <c r="Y434" s="1" t="s">
        <v>694</v>
      </c>
      <c r="Z434" s="1" t="s">
        <v>790</v>
      </c>
      <c r="AA434" s="1" t="s">
        <v>791</v>
      </c>
      <c r="AB434" s="1" t="s">
        <v>792</v>
      </c>
      <c r="AC434" s="1" t="s">
        <v>130</v>
      </c>
      <c r="AD434" s="1" t="s">
        <v>60</v>
      </c>
      <c r="AE434" s="1" t="s">
        <v>778</v>
      </c>
    </row>
    <row r="435" spans="1:31">
      <c r="A435" s="1" t="s">
        <v>786</v>
      </c>
      <c r="B435" s="1" t="s">
        <v>921</v>
      </c>
      <c r="C435" s="60">
        <v>45877</v>
      </c>
      <c r="D435" s="1" t="s">
        <v>130</v>
      </c>
      <c r="E435" s="1" t="s">
        <v>751</v>
      </c>
      <c r="F435" s="1">
        <v>2015</v>
      </c>
      <c r="G435" s="1" t="s">
        <v>184</v>
      </c>
      <c r="H435" s="1" t="s">
        <v>27</v>
      </c>
      <c r="I435" s="1">
        <v>34</v>
      </c>
      <c r="J435" s="1">
        <v>-122</v>
      </c>
      <c r="K435" s="1">
        <v>1951</v>
      </c>
      <c r="L435" s="1">
        <v>2008</v>
      </c>
      <c r="M435" s="1">
        <f t="shared" si="7"/>
        <v>58</v>
      </c>
      <c r="N435" s="1" t="s">
        <v>623</v>
      </c>
      <c r="O435" s="1" t="s">
        <v>205</v>
      </c>
      <c r="P435" s="1" t="s">
        <v>788</v>
      </c>
      <c r="Q435" s="1" t="s">
        <v>293</v>
      </c>
      <c r="R435" s="1" t="s">
        <v>636</v>
      </c>
      <c r="S435" s="1" t="s">
        <v>71</v>
      </c>
      <c r="T435" s="1">
        <v>319</v>
      </c>
      <c r="U435" s="1" t="s">
        <v>54</v>
      </c>
      <c r="V435" s="1">
        <v>-9.3000000000000007</v>
      </c>
      <c r="Y435" s="1" t="s">
        <v>694</v>
      </c>
      <c r="Z435" s="1" t="s">
        <v>790</v>
      </c>
      <c r="AA435" s="1" t="s">
        <v>791</v>
      </c>
      <c r="AB435" s="1" t="s">
        <v>792</v>
      </c>
      <c r="AC435" s="1" t="s">
        <v>130</v>
      </c>
      <c r="AD435" s="1" t="s">
        <v>60</v>
      </c>
      <c r="AE435" s="1" t="s">
        <v>778</v>
      </c>
    </row>
    <row r="436" spans="1:31">
      <c r="A436" s="1" t="s">
        <v>786</v>
      </c>
      <c r="B436" s="1" t="s">
        <v>922</v>
      </c>
      <c r="C436" s="60">
        <v>45877</v>
      </c>
      <c r="D436" s="1" t="s">
        <v>130</v>
      </c>
      <c r="E436" s="1" t="s">
        <v>751</v>
      </c>
      <c r="F436" s="1">
        <v>2015</v>
      </c>
      <c r="G436" s="1" t="s">
        <v>184</v>
      </c>
      <c r="H436" s="1" t="s">
        <v>27</v>
      </c>
      <c r="I436" s="1">
        <v>34</v>
      </c>
      <c r="J436" s="1">
        <v>-122</v>
      </c>
      <c r="K436" s="1">
        <v>1951</v>
      </c>
      <c r="L436" s="1">
        <v>2008</v>
      </c>
      <c r="M436" s="1">
        <f t="shared" si="7"/>
        <v>58</v>
      </c>
      <c r="N436" s="1" t="s">
        <v>623</v>
      </c>
      <c r="O436" s="1" t="s">
        <v>205</v>
      </c>
      <c r="P436" s="1" t="s">
        <v>788</v>
      </c>
      <c r="Q436" s="1" t="s">
        <v>294</v>
      </c>
      <c r="R436" s="1" t="s">
        <v>636</v>
      </c>
      <c r="S436" s="1" t="s">
        <v>71</v>
      </c>
      <c r="T436" s="1">
        <v>227</v>
      </c>
      <c r="U436" s="1" t="s">
        <v>53</v>
      </c>
      <c r="V436" s="1">
        <v>-5.6</v>
      </c>
      <c r="Y436" s="1" t="s">
        <v>694</v>
      </c>
      <c r="Z436" s="1" t="s">
        <v>790</v>
      </c>
      <c r="AA436" s="1" t="s">
        <v>791</v>
      </c>
      <c r="AB436" s="1" t="s">
        <v>792</v>
      </c>
      <c r="AC436" s="1" t="s">
        <v>130</v>
      </c>
      <c r="AD436" s="1" t="s">
        <v>60</v>
      </c>
      <c r="AE436" s="1" t="s">
        <v>778</v>
      </c>
    </row>
    <row r="437" spans="1:31">
      <c r="A437" s="1" t="s">
        <v>786</v>
      </c>
      <c r="B437" s="1" t="s">
        <v>923</v>
      </c>
      <c r="C437" s="60">
        <v>45877</v>
      </c>
      <c r="D437" s="1" t="s">
        <v>130</v>
      </c>
      <c r="E437" s="1" t="s">
        <v>751</v>
      </c>
      <c r="F437" s="1">
        <v>2015</v>
      </c>
      <c r="G437" s="1" t="s">
        <v>184</v>
      </c>
      <c r="H437" s="1" t="s">
        <v>27</v>
      </c>
      <c r="I437" s="1">
        <v>34</v>
      </c>
      <c r="J437" s="1">
        <v>-122</v>
      </c>
      <c r="K437" s="1">
        <v>1951</v>
      </c>
      <c r="L437" s="1">
        <v>2008</v>
      </c>
      <c r="M437" s="1">
        <f t="shared" si="7"/>
        <v>58</v>
      </c>
      <c r="N437" s="1" t="s">
        <v>623</v>
      </c>
      <c r="O437" s="1" t="s">
        <v>205</v>
      </c>
      <c r="P437" s="1" t="s">
        <v>788</v>
      </c>
      <c r="Q437" s="1" t="s">
        <v>295</v>
      </c>
      <c r="R437" s="1" t="s">
        <v>636</v>
      </c>
      <c r="S437" s="1" t="s">
        <v>71</v>
      </c>
      <c r="T437" s="1">
        <v>227</v>
      </c>
      <c r="U437" s="1" t="s">
        <v>53</v>
      </c>
      <c r="V437" s="1">
        <v>-0.6</v>
      </c>
      <c r="Y437" s="1" t="s">
        <v>694</v>
      </c>
      <c r="Z437" s="1" t="s">
        <v>790</v>
      </c>
      <c r="AA437" s="1" t="s">
        <v>791</v>
      </c>
      <c r="AB437" s="1" t="s">
        <v>792</v>
      </c>
      <c r="AC437" s="1" t="s">
        <v>130</v>
      </c>
      <c r="AD437" s="1" t="s">
        <v>60</v>
      </c>
      <c r="AE437" s="1" t="s">
        <v>778</v>
      </c>
    </row>
    <row r="438" spans="1:31">
      <c r="A438" s="1" t="s">
        <v>786</v>
      </c>
      <c r="B438" s="1" t="s">
        <v>924</v>
      </c>
      <c r="C438" s="60">
        <v>45877</v>
      </c>
      <c r="D438" s="1" t="s">
        <v>130</v>
      </c>
      <c r="E438" s="1" t="s">
        <v>751</v>
      </c>
      <c r="F438" s="1">
        <v>2015</v>
      </c>
      <c r="G438" s="1" t="s">
        <v>184</v>
      </c>
      <c r="H438" s="1" t="s">
        <v>27</v>
      </c>
      <c r="I438" s="1">
        <v>34</v>
      </c>
      <c r="J438" s="1">
        <v>-122</v>
      </c>
      <c r="K438" s="1">
        <v>1951</v>
      </c>
      <c r="L438" s="1">
        <v>2008</v>
      </c>
      <c r="M438" s="1">
        <f t="shared" si="7"/>
        <v>58</v>
      </c>
      <c r="N438" s="1" t="s">
        <v>623</v>
      </c>
      <c r="O438" s="1" t="s">
        <v>205</v>
      </c>
      <c r="P438" s="1" t="s">
        <v>788</v>
      </c>
      <c r="Q438" s="1" t="s">
        <v>296</v>
      </c>
      <c r="R438" s="1" t="s">
        <v>636</v>
      </c>
      <c r="S438" s="1" t="s">
        <v>71</v>
      </c>
      <c r="T438" s="1">
        <v>227</v>
      </c>
      <c r="U438" s="1" t="s">
        <v>53</v>
      </c>
      <c r="V438" s="1">
        <v>-3</v>
      </c>
      <c r="Y438" s="1" t="s">
        <v>694</v>
      </c>
      <c r="Z438" s="1" t="s">
        <v>790</v>
      </c>
      <c r="AA438" s="1" t="s">
        <v>791</v>
      </c>
      <c r="AB438" s="1" t="s">
        <v>792</v>
      </c>
      <c r="AC438" s="1" t="s">
        <v>130</v>
      </c>
      <c r="AD438" s="1" t="s">
        <v>60</v>
      </c>
      <c r="AE438" s="1" t="s">
        <v>778</v>
      </c>
    </row>
    <row r="439" spans="1:31">
      <c r="A439" s="1" t="s">
        <v>786</v>
      </c>
      <c r="B439" s="1" t="s">
        <v>925</v>
      </c>
      <c r="C439" s="60">
        <v>45877</v>
      </c>
      <c r="D439" s="1" t="s">
        <v>130</v>
      </c>
      <c r="E439" s="1" t="s">
        <v>751</v>
      </c>
      <c r="F439" s="1">
        <v>2015</v>
      </c>
      <c r="G439" s="1" t="s">
        <v>184</v>
      </c>
      <c r="H439" s="1" t="s">
        <v>27</v>
      </c>
      <c r="I439" s="1">
        <v>34</v>
      </c>
      <c r="J439" s="1">
        <v>-122</v>
      </c>
      <c r="K439" s="1">
        <v>1951</v>
      </c>
      <c r="L439" s="1">
        <v>2008</v>
      </c>
      <c r="M439" s="1">
        <f t="shared" si="7"/>
        <v>58</v>
      </c>
      <c r="N439" s="1" t="s">
        <v>623</v>
      </c>
      <c r="O439" s="1" t="s">
        <v>205</v>
      </c>
      <c r="P439" s="1" t="s">
        <v>788</v>
      </c>
      <c r="Q439" s="1" t="s">
        <v>297</v>
      </c>
      <c r="R439" s="1" t="s">
        <v>636</v>
      </c>
      <c r="S439" s="1" t="s">
        <v>71</v>
      </c>
      <c r="T439" s="1">
        <v>74</v>
      </c>
      <c r="U439" s="1" t="s">
        <v>52</v>
      </c>
      <c r="V439" s="1">
        <v>1.2</v>
      </c>
      <c r="Y439" s="1" t="s">
        <v>41</v>
      </c>
      <c r="Z439" s="1" t="s">
        <v>790</v>
      </c>
      <c r="AA439" s="1" t="s">
        <v>791</v>
      </c>
      <c r="AB439" s="1" t="s">
        <v>792</v>
      </c>
      <c r="AC439" s="1" t="s">
        <v>130</v>
      </c>
      <c r="AD439" s="1" t="s">
        <v>60</v>
      </c>
      <c r="AE439" s="1" t="s">
        <v>778</v>
      </c>
    </row>
    <row r="440" spans="1:31">
      <c r="A440" s="1" t="s">
        <v>786</v>
      </c>
      <c r="B440" s="1" t="s">
        <v>926</v>
      </c>
      <c r="C440" s="60">
        <v>45877</v>
      </c>
      <c r="D440" s="1" t="s">
        <v>130</v>
      </c>
      <c r="E440" s="1" t="s">
        <v>751</v>
      </c>
      <c r="F440" s="1">
        <v>2015</v>
      </c>
      <c r="G440" s="1" t="s">
        <v>184</v>
      </c>
      <c r="H440" s="1" t="s">
        <v>27</v>
      </c>
      <c r="I440" s="1">
        <v>34</v>
      </c>
      <c r="J440" s="1">
        <v>-122</v>
      </c>
      <c r="K440" s="1">
        <v>1951</v>
      </c>
      <c r="L440" s="1">
        <v>2008</v>
      </c>
      <c r="M440" s="1">
        <f t="shared" si="7"/>
        <v>58</v>
      </c>
      <c r="N440" s="1" t="s">
        <v>623</v>
      </c>
      <c r="O440" s="1" t="s">
        <v>205</v>
      </c>
      <c r="P440" s="1" t="s">
        <v>788</v>
      </c>
      <c r="Q440" s="1" t="s">
        <v>298</v>
      </c>
      <c r="R440" s="1" t="s">
        <v>636</v>
      </c>
      <c r="S440" s="1" t="s">
        <v>71</v>
      </c>
      <c r="T440" s="1">
        <v>227</v>
      </c>
      <c r="U440" s="1" t="s">
        <v>53</v>
      </c>
      <c r="V440" s="1">
        <v>-7.3</v>
      </c>
      <c r="Y440" s="1" t="s">
        <v>694</v>
      </c>
      <c r="Z440" s="1" t="s">
        <v>790</v>
      </c>
      <c r="AA440" s="1" t="s">
        <v>791</v>
      </c>
      <c r="AB440" s="1" t="s">
        <v>792</v>
      </c>
      <c r="AC440" s="1" t="s">
        <v>130</v>
      </c>
      <c r="AD440" s="1" t="s">
        <v>60</v>
      </c>
      <c r="AE440" s="1" t="s">
        <v>778</v>
      </c>
    </row>
    <row r="441" spans="1:31">
      <c r="A441" s="1" t="s">
        <v>786</v>
      </c>
      <c r="B441" s="1" t="s">
        <v>927</v>
      </c>
      <c r="C441" s="60">
        <v>45877</v>
      </c>
      <c r="D441" s="1" t="s">
        <v>130</v>
      </c>
      <c r="E441" s="1" t="s">
        <v>751</v>
      </c>
      <c r="F441" s="1">
        <v>2015</v>
      </c>
      <c r="G441" s="1" t="s">
        <v>184</v>
      </c>
      <c r="H441" s="1" t="s">
        <v>27</v>
      </c>
      <c r="I441" s="1">
        <v>34</v>
      </c>
      <c r="J441" s="1">
        <v>-122</v>
      </c>
      <c r="K441" s="1">
        <v>1951</v>
      </c>
      <c r="L441" s="1">
        <v>2008</v>
      </c>
      <c r="M441" s="1">
        <f t="shared" si="7"/>
        <v>58</v>
      </c>
      <c r="N441" s="1" t="s">
        <v>623</v>
      </c>
      <c r="O441" s="1" t="s">
        <v>205</v>
      </c>
      <c r="P441" s="1" t="s">
        <v>788</v>
      </c>
      <c r="Q441" s="1" t="s">
        <v>299</v>
      </c>
      <c r="R441" s="1" t="s">
        <v>636</v>
      </c>
      <c r="S441" s="1" t="s">
        <v>71</v>
      </c>
      <c r="T441" s="1">
        <v>227</v>
      </c>
      <c r="U441" s="1" t="s">
        <v>53</v>
      </c>
      <c r="V441" s="1">
        <v>-0.7</v>
      </c>
      <c r="Y441" s="1" t="s">
        <v>694</v>
      </c>
      <c r="Z441" s="1" t="s">
        <v>790</v>
      </c>
      <c r="AA441" s="1" t="s">
        <v>791</v>
      </c>
      <c r="AB441" s="1" t="s">
        <v>792</v>
      </c>
      <c r="AC441" s="1" t="s">
        <v>130</v>
      </c>
      <c r="AD441" s="1" t="s">
        <v>60</v>
      </c>
      <c r="AE441" s="1" t="s">
        <v>778</v>
      </c>
    </row>
    <row r="442" spans="1:31">
      <c r="A442" s="1" t="s">
        <v>786</v>
      </c>
      <c r="B442" s="1" t="s">
        <v>928</v>
      </c>
      <c r="C442" s="60">
        <v>45877</v>
      </c>
      <c r="D442" s="1" t="s">
        <v>130</v>
      </c>
      <c r="E442" s="1" t="s">
        <v>751</v>
      </c>
      <c r="F442" s="1">
        <v>2015</v>
      </c>
      <c r="G442" s="1" t="s">
        <v>184</v>
      </c>
      <c r="H442" s="1" t="s">
        <v>27</v>
      </c>
      <c r="I442" s="1">
        <v>34</v>
      </c>
      <c r="J442" s="1">
        <v>-122</v>
      </c>
      <c r="K442" s="1">
        <v>1951</v>
      </c>
      <c r="L442" s="1">
        <v>2008</v>
      </c>
      <c r="M442" s="1">
        <f t="shared" si="7"/>
        <v>58</v>
      </c>
      <c r="N442" s="1" t="s">
        <v>623</v>
      </c>
      <c r="O442" s="1" t="s">
        <v>205</v>
      </c>
      <c r="P442" s="1" t="s">
        <v>788</v>
      </c>
      <c r="Q442" s="1" t="s">
        <v>812</v>
      </c>
      <c r="R442" s="1" t="s">
        <v>636</v>
      </c>
      <c r="S442" s="1" t="s">
        <v>71</v>
      </c>
      <c r="T442" s="1">
        <v>105</v>
      </c>
      <c r="U442" s="1" t="s">
        <v>52</v>
      </c>
      <c r="V442" s="1">
        <v>-7.6</v>
      </c>
      <c r="Y442" s="1" t="s">
        <v>694</v>
      </c>
      <c r="Z442" s="1" t="s">
        <v>790</v>
      </c>
      <c r="AA442" s="1" t="s">
        <v>791</v>
      </c>
      <c r="AB442" s="1" t="s">
        <v>792</v>
      </c>
      <c r="AC442" s="1" t="s">
        <v>130</v>
      </c>
      <c r="AD442" s="1" t="s">
        <v>60</v>
      </c>
      <c r="AE442" s="1" t="s">
        <v>778</v>
      </c>
    </row>
    <row r="443" spans="1:31">
      <c r="A443" s="1" t="s">
        <v>786</v>
      </c>
      <c r="B443" s="1" t="s">
        <v>929</v>
      </c>
      <c r="C443" s="60">
        <v>45877</v>
      </c>
      <c r="D443" s="1" t="s">
        <v>130</v>
      </c>
      <c r="E443" s="1" t="s">
        <v>751</v>
      </c>
      <c r="F443" s="1">
        <v>2015</v>
      </c>
      <c r="G443" s="1" t="s">
        <v>184</v>
      </c>
      <c r="H443" s="1" t="s">
        <v>27</v>
      </c>
      <c r="I443" s="1">
        <v>34</v>
      </c>
      <c r="J443" s="1">
        <v>-122</v>
      </c>
      <c r="K443" s="1">
        <v>1951</v>
      </c>
      <c r="L443" s="1">
        <v>2008</v>
      </c>
      <c r="M443" s="1">
        <f t="shared" si="7"/>
        <v>58</v>
      </c>
      <c r="N443" s="1" t="s">
        <v>623</v>
      </c>
      <c r="O443" s="1" t="s">
        <v>205</v>
      </c>
      <c r="P443" s="1" t="s">
        <v>788</v>
      </c>
      <c r="Q443" s="1" t="s">
        <v>301</v>
      </c>
      <c r="R443" s="1" t="s">
        <v>636</v>
      </c>
      <c r="S443" s="1" t="s">
        <v>71</v>
      </c>
      <c r="T443" s="1">
        <v>196</v>
      </c>
      <c r="U443" s="1" t="s">
        <v>53</v>
      </c>
      <c r="V443" s="1">
        <v>0.7</v>
      </c>
      <c r="Y443" s="1" t="s">
        <v>41</v>
      </c>
      <c r="Z443" s="1" t="s">
        <v>790</v>
      </c>
      <c r="AA443" s="1" t="s">
        <v>791</v>
      </c>
      <c r="AB443" s="1" t="s">
        <v>792</v>
      </c>
      <c r="AC443" s="1" t="s">
        <v>130</v>
      </c>
      <c r="AD443" s="1" t="s">
        <v>60</v>
      </c>
      <c r="AE443" s="1" t="s">
        <v>778</v>
      </c>
    </row>
    <row r="444" spans="1:31">
      <c r="A444" s="1" t="s">
        <v>786</v>
      </c>
      <c r="B444" s="1" t="s">
        <v>930</v>
      </c>
      <c r="C444" s="60">
        <v>45877</v>
      </c>
      <c r="D444" s="1" t="s">
        <v>130</v>
      </c>
      <c r="E444" s="1" t="s">
        <v>751</v>
      </c>
      <c r="F444" s="1">
        <v>2015</v>
      </c>
      <c r="G444" s="1" t="s">
        <v>184</v>
      </c>
      <c r="H444" s="1" t="s">
        <v>27</v>
      </c>
      <c r="I444" s="1">
        <v>34</v>
      </c>
      <c r="J444" s="1">
        <v>-122</v>
      </c>
      <c r="K444" s="1">
        <v>1951</v>
      </c>
      <c r="L444" s="1">
        <v>2008</v>
      </c>
      <c r="M444" s="1">
        <f t="shared" ref="M444:M475" si="8">L444-K444+1</f>
        <v>58</v>
      </c>
      <c r="N444" s="1" t="s">
        <v>623</v>
      </c>
      <c r="O444" s="1" t="s">
        <v>205</v>
      </c>
      <c r="P444" s="1" t="s">
        <v>788</v>
      </c>
      <c r="Q444" s="1" t="s">
        <v>302</v>
      </c>
      <c r="R444" s="1" t="s">
        <v>636</v>
      </c>
      <c r="S444" s="1" t="s">
        <v>71</v>
      </c>
      <c r="T444" s="1">
        <v>74</v>
      </c>
      <c r="U444" s="1" t="s">
        <v>52</v>
      </c>
      <c r="V444" s="1">
        <v>-4.8</v>
      </c>
      <c r="Y444" s="1" t="s">
        <v>694</v>
      </c>
      <c r="Z444" s="1" t="s">
        <v>790</v>
      </c>
      <c r="AA444" s="1" t="s">
        <v>791</v>
      </c>
      <c r="AB444" s="1" t="s">
        <v>792</v>
      </c>
      <c r="AC444" s="1" t="s">
        <v>130</v>
      </c>
      <c r="AD444" s="1" t="s">
        <v>60</v>
      </c>
      <c r="AE444" s="1" t="s">
        <v>778</v>
      </c>
    </row>
    <row r="445" spans="1:31">
      <c r="A445" s="1" t="s">
        <v>786</v>
      </c>
      <c r="B445" s="1" t="s">
        <v>931</v>
      </c>
      <c r="C445" s="60">
        <v>45877</v>
      </c>
      <c r="D445" s="1" t="s">
        <v>130</v>
      </c>
      <c r="E445" s="1" t="s">
        <v>751</v>
      </c>
      <c r="F445" s="1">
        <v>2015</v>
      </c>
      <c r="G445" s="1" t="s">
        <v>184</v>
      </c>
      <c r="H445" s="1" t="s">
        <v>27</v>
      </c>
      <c r="I445" s="1">
        <v>34</v>
      </c>
      <c r="J445" s="1">
        <v>-122</v>
      </c>
      <c r="K445" s="1">
        <v>1951</v>
      </c>
      <c r="L445" s="1">
        <v>2008</v>
      </c>
      <c r="M445" s="1">
        <f t="shared" si="8"/>
        <v>58</v>
      </c>
      <c r="N445" s="1" t="s">
        <v>623</v>
      </c>
      <c r="O445" s="1" t="s">
        <v>205</v>
      </c>
      <c r="P445" s="1" t="s">
        <v>788</v>
      </c>
      <c r="Q445" s="1" t="s">
        <v>303</v>
      </c>
      <c r="R445" s="1" t="s">
        <v>636</v>
      </c>
      <c r="S445" s="1" t="s">
        <v>71</v>
      </c>
      <c r="T445" s="1">
        <v>15</v>
      </c>
      <c r="U445" s="1" t="s">
        <v>55</v>
      </c>
      <c r="V445" s="1">
        <v>-1.4</v>
      </c>
      <c r="Y445" s="1" t="s">
        <v>694</v>
      </c>
      <c r="Z445" s="1" t="s">
        <v>790</v>
      </c>
      <c r="AA445" s="1" t="s">
        <v>791</v>
      </c>
      <c r="AB445" s="1" t="s">
        <v>792</v>
      </c>
      <c r="AC445" s="1" t="s">
        <v>130</v>
      </c>
      <c r="AD445" s="1" t="s">
        <v>60</v>
      </c>
      <c r="AE445" s="1" t="s">
        <v>778</v>
      </c>
    </row>
    <row r="446" spans="1:31">
      <c r="A446" s="1" t="s">
        <v>786</v>
      </c>
      <c r="B446" s="1" t="s">
        <v>932</v>
      </c>
      <c r="C446" s="60">
        <v>45877</v>
      </c>
      <c r="D446" s="1" t="s">
        <v>130</v>
      </c>
      <c r="E446" s="1" t="s">
        <v>751</v>
      </c>
      <c r="F446" s="1">
        <v>2015</v>
      </c>
      <c r="G446" s="1" t="s">
        <v>184</v>
      </c>
      <c r="H446" s="1" t="s">
        <v>27</v>
      </c>
      <c r="I446" s="1">
        <v>34</v>
      </c>
      <c r="J446" s="1">
        <v>-122</v>
      </c>
      <c r="K446" s="1">
        <v>1951</v>
      </c>
      <c r="L446" s="1">
        <v>2008</v>
      </c>
      <c r="M446" s="1">
        <f t="shared" si="8"/>
        <v>58</v>
      </c>
      <c r="N446" s="1" t="s">
        <v>623</v>
      </c>
      <c r="O446" s="1" t="s">
        <v>205</v>
      </c>
      <c r="P446" s="1" t="s">
        <v>788</v>
      </c>
      <c r="Q446" s="1" t="s">
        <v>304</v>
      </c>
      <c r="R446" s="1" t="s">
        <v>636</v>
      </c>
      <c r="S446" s="1" t="s">
        <v>71</v>
      </c>
      <c r="T446" s="1">
        <v>74</v>
      </c>
      <c r="U446" s="1" t="s">
        <v>52</v>
      </c>
      <c r="V446" s="1">
        <v>-1.7</v>
      </c>
      <c r="Y446" s="1" t="s">
        <v>694</v>
      </c>
      <c r="Z446" s="1" t="s">
        <v>790</v>
      </c>
      <c r="AA446" s="1" t="s">
        <v>791</v>
      </c>
      <c r="AB446" s="1" t="s">
        <v>792</v>
      </c>
      <c r="AC446" s="1" t="s">
        <v>130</v>
      </c>
      <c r="AD446" s="1" t="s">
        <v>60</v>
      </c>
      <c r="AE446" s="1" t="s">
        <v>778</v>
      </c>
    </row>
    <row r="447" spans="1:31">
      <c r="A447" s="1" t="s">
        <v>786</v>
      </c>
      <c r="B447" s="1" t="s">
        <v>933</v>
      </c>
      <c r="C447" s="60">
        <v>45877</v>
      </c>
      <c r="D447" s="1" t="s">
        <v>130</v>
      </c>
      <c r="E447" s="1" t="s">
        <v>751</v>
      </c>
      <c r="F447" s="1">
        <v>2015</v>
      </c>
      <c r="G447" s="1" t="s">
        <v>184</v>
      </c>
      <c r="H447" s="1" t="s">
        <v>27</v>
      </c>
      <c r="I447" s="1">
        <v>34</v>
      </c>
      <c r="J447" s="1">
        <v>-122</v>
      </c>
      <c r="K447" s="1">
        <v>1951</v>
      </c>
      <c r="L447" s="1">
        <v>2008</v>
      </c>
      <c r="M447" s="1">
        <f t="shared" si="8"/>
        <v>58</v>
      </c>
      <c r="N447" s="1" t="s">
        <v>623</v>
      </c>
      <c r="O447" s="1" t="s">
        <v>205</v>
      </c>
      <c r="P447" s="1" t="s">
        <v>788</v>
      </c>
      <c r="Q447" s="1" t="s">
        <v>818</v>
      </c>
      <c r="R447" s="1" t="s">
        <v>636</v>
      </c>
      <c r="S447" s="1" t="s">
        <v>71</v>
      </c>
      <c r="T447" s="1">
        <v>105</v>
      </c>
      <c r="U447" s="1" t="s">
        <v>52</v>
      </c>
      <c r="V447" s="1">
        <v>-8.1999999999999993</v>
      </c>
      <c r="Y447" s="1" t="s">
        <v>694</v>
      </c>
      <c r="Z447" s="1" t="s">
        <v>790</v>
      </c>
      <c r="AA447" s="1" t="s">
        <v>791</v>
      </c>
      <c r="AB447" s="1" t="s">
        <v>792</v>
      </c>
      <c r="AC447" s="1" t="s">
        <v>130</v>
      </c>
      <c r="AD447" s="1" t="s">
        <v>60</v>
      </c>
      <c r="AE447" s="1" t="s">
        <v>778</v>
      </c>
    </row>
    <row r="448" spans="1:31">
      <c r="A448" s="1" t="s">
        <v>786</v>
      </c>
      <c r="B448" s="1" t="s">
        <v>934</v>
      </c>
      <c r="C448" s="60">
        <v>45877</v>
      </c>
      <c r="D448" s="1" t="s">
        <v>130</v>
      </c>
      <c r="E448" s="1" t="s">
        <v>751</v>
      </c>
      <c r="F448" s="1">
        <v>2015</v>
      </c>
      <c r="G448" s="1" t="s">
        <v>184</v>
      </c>
      <c r="H448" s="1" t="s">
        <v>27</v>
      </c>
      <c r="I448" s="1">
        <v>34</v>
      </c>
      <c r="J448" s="1">
        <v>-122</v>
      </c>
      <c r="K448" s="1">
        <v>1951</v>
      </c>
      <c r="L448" s="1">
        <v>2008</v>
      </c>
      <c r="M448" s="1">
        <f t="shared" si="8"/>
        <v>58</v>
      </c>
      <c r="N448" s="1" t="s">
        <v>623</v>
      </c>
      <c r="O448" s="1" t="s">
        <v>205</v>
      </c>
      <c r="P448" s="1" t="s">
        <v>788</v>
      </c>
      <c r="Q448" s="1" t="s">
        <v>820</v>
      </c>
      <c r="R448" s="1" t="s">
        <v>636</v>
      </c>
      <c r="S448" s="1" t="s">
        <v>71</v>
      </c>
      <c r="T448" s="1">
        <v>74</v>
      </c>
      <c r="U448" s="1" t="s">
        <v>52</v>
      </c>
      <c r="V448" s="1">
        <v>-2.4</v>
      </c>
      <c r="Y448" s="1" t="s">
        <v>694</v>
      </c>
      <c r="Z448" s="1" t="s">
        <v>790</v>
      </c>
      <c r="AA448" s="1" t="s">
        <v>791</v>
      </c>
      <c r="AB448" s="1" t="s">
        <v>792</v>
      </c>
      <c r="AC448" s="1" t="s">
        <v>130</v>
      </c>
      <c r="AD448" s="1" t="s">
        <v>60</v>
      </c>
      <c r="AE448" s="1" t="s">
        <v>778</v>
      </c>
    </row>
    <row r="449" spans="1:31" ht="14.5" customHeight="1">
      <c r="A449" s="1" t="s">
        <v>786</v>
      </c>
      <c r="B449" s="1" t="s">
        <v>935</v>
      </c>
      <c r="C449" s="60">
        <v>45877</v>
      </c>
      <c r="D449" s="1" t="s">
        <v>130</v>
      </c>
      <c r="E449" s="1" t="s">
        <v>751</v>
      </c>
      <c r="F449" s="1">
        <v>2015</v>
      </c>
      <c r="G449" s="1" t="s">
        <v>184</v>
      </c>
      <c r="H449" s="1" t="s">
        <v>27</v>
      </c>
      <c r="I449" s="1">
        <v>34</v>
      </c>
      <c r="J449" s="1">
        <v>-122</v>
      </c>
      <c r="K449" s="1">
        <v>1951</v>
      </c>
      <c r="L449" s="1">
        <v>2008</v>
      </c>
      <c r="M449" s="1">
        <f t="shared" si="8"/>
        <v>58</v>
      </c>
      <c r="N449" s="1" t="s">
        <v>623</v>
      </c>
      <c r="O449" s="1" t="s">
        <v>205</v>
      </c>
      <c r="P449" s="1" t="s">
        <v>788</v>
      </c>
      <c r="Q449" s="1" t="s">
        <v>307</v>
      </c>
      <c r="R449" s="1" t="s">
        <v>636</v>
      </c>
      <c r="S449" s="1" t="s">
        <v>71</v>
      </c>
      <c r="T449" s="1">
        <v>258</v>
      </c>
      <c r="U449" s="1" t="s">
        <v>54</v>
      </c>
      <c r="V449" s="1">
        <v>-6.2</v>
      </c>
      <c r="Y449" s="1" t="s">
        <v>694</v>
      </c>
      <c r="Z449" s="1" t="s">
        <v>790</v>
      </c>
      <c r="AA449" s="1" t="s">
        <v>791</v>
      </c>
      <c r="AB449" s="1" t="s">
        <v>792</v>
      </c>
      <c r="AC449" s="1" t="s">
        <v>130</v>
      </c>
      <c r="AD449" s="1" t="s">
        <v>60</v>
      </c>
      <c r="AE449" s="1" t="s">
        <v>778</v>
      </c>
    </row>
    <row r="450" spans="1:31" ht="16" customHeight="1">
      <c r="A450" s="1" t="s">
        <v>786</v>
      </c>
      <c r="B450" s="1" t="s">
        <v>936</v>
      </c>
      <c r="C450" s="60">
        <v>45877</v>
      </c>
      <c r="D450" s="1" t="s">
        <v>130</v>
      </c>
      <c r="E450" s="1" t="s">
        <v>751</v>
      </c>
      <c r="F450" s="1">
        <v>2015</v>
      </c>
      <c r="G450" s="1" t="s">
        <v>184</v>
      </c>
      <c r="H450" s="1" t="s">
        <v>27</v>
      </c>
      <c r="I450" s="1">
        <v>34</v>
      </c>
      <c r="J450" s="1">
        <v>-122</v>
      </c>
      <c r="K450" s="1">
        <v>1951</v>
      </c>
      <c r="L450" s="1">
        <v>2008</v>
      </c>
      <c r="M450" s="1">
        <f t="shared" si="8"/>
        <v>58</v>
      </c>
      <c r="N450" s="1" t="s">
        <v>623</v>
      </c>
      <c r="O450" s="1" t="s">
        <v>205</v>
      </c>
      <c r="P450" s="1" t="s">
        <v>788</v>
      </c>
      <c r="Q450" s="1" t="s">
        <v>308</v>
      </c>
      <c r="R450" s="1" t="s">
        <v>636</v>
      </c>
      <c r="S450" s="1" t="s">
        <v>71</v>
      </c>
      <c r="T450" s="1">
        <v>46</v>
      </c>
      <c r="U450" s="1" t="s">
        <v>55</v>
      </c>
      <c r="V450" s="1">
        <v>-3</v>
      </c>
      <c r="Y450" s="1" t="s">
        <v>694</v>
      </c>
      <c r="Z450" s="1" t="s">
        <v>790</v>
      </c>
      <c r="AA450" s="1" t="s">
        <v>791</v>
      </c>
      <c r="AB450" s="1" t="s">
        <v>792</v>
      </c>
      <c r="AC450" s="1" t="s">
        <v>130</v>
      </c>
      <c r="AD450" s="1" t="s">
        <v>60</v>
      </c>
      <c r="AE450" s="1" t="s">
        <v>778</v>
      </c>
    </row>
    <row r="451" spans="1:31">
      <c r="A451" s="1" t="s">
        <v>786</v>
      </c>
      <c r="B451" s="1" t="s">
        <v>937</v>
      </c>
      <c r="C451" s="60">
        <v>45877</v>
      </c>
      <c r="D451" s="1" t="s">
        <v>130</v>
      </c>
      <c r="E451" s="1" t="s">
        <v>751</v>
      </c>
      <c r="F451" s="1">
        <v>2015</v>
      </c>
      <c r="G451" s="1" t="s">
        <v>184</v>
      </c>
      <c r="H451" s="1" t="s">
        <v>27</v>
      </c>
      <c r="I451" s="1">
        <v>34</v>
      </c>
      <c r="J451" s="1">
        <v>-122</v>
      </c>
      <c r="K451" s="1">
        <v>1951</v>
      </c>
      <c r="L451" s="1">
        <v>2008</v>
      </c>
      <c r="M451" s="1">
        <f t="shared" si="8"/>
        <v>58</v>
      </c>
      <c r="N451" s="1" t="s">
        <v>623</v>
      </c>
      <c r="O451" s="1" t="s">
        <v>205</v>
      </c>
      <c r="P451" s="1" t="s">
        <v>788</v>
      </c>
      <c r="Q451" s="1" t="s">
        <v>824</v>
      </c>
      <c r="R451" s="1" t="s">
        <v>636</v>
      </c>
      <c r="S451" s="1" t="s">
        <v>71</v>
      </c>
      <c r="T451" s="1">
        <v>74</v>
      </c>
      <c r="U451" s="1" t="s">
        <v>52</v>
      </c>
      <c r="V451" s="1">
        <v>0.4</v>
      </c>
      <c r="Y451" s="1" t="s">
        <v>41</v>
      </c>
      <c r="Z451" s="1" t="s">
        <v>790</v>
      </c>
      <c r="AA451" s="1" t="s">
        <v>791</v>
      </c>
      <c r="AB451" s="1" t="s">
        <v>792</v>
      </c>
      <c r="AC451" s="1" t="s">
        <v>130</v>
      </c>
      <c r="AD451" s="1" t="s">
        <v>60</v>
      </c>
      <c r="AE451" s="1" t="s">
        <v>778</v>
      </c>
    </row>
    <row r="452" spans="1:31">
      <c r="A452" s="1" t="s">
        <v>786</v>
      </c>
      <c r="B452" s="1" t="s">
        <v>938</v>
      </c>
      <c r="C452" s="60">
        <v>45877</v>
      </c>
      <c r="D452" s="1" t="s">
        <v>130</v>
      </c>
      <c r="E452" s="1" t="s">
        <v>751</v>
      </c>
      <c r="F452" s="1">
        <v>2015</v>
      </c>
      <c r="G452" s="1" t="s">
        <v>184</v>
      </c>
      <c r="H452" s="1" t="s">
        <v>27</v>
      </c>
      <c r="I452" s="1">
        <v>34</v>
      </c>
      <c r="J452" s="1">
        <v>-122</v>
      </c>
      <c r="K452" s="1">
        <v>1951</v>
      </c>
      <c r="L452" s="1">
        <v>2008</v>
      </c>
      <c r="M452" s="1">
        <f t="shared" si="8"/>
        <v>58</v>
      </c>
      <c r="N452" s="1" t="s">
        <v>623</v>
      </c>
      <c r="O452" s="1" t="s">
        <v>205</v>
      </c>
      <c r="P452" s="1" t="s">
        <v>788</v>
      </c>
      <c r="Q452" s="1" t="s">
        <v>310</v>
      </c>
      <c r="R452" s="1" t="s">
        <v>636</v>
      </c>
      <c r="S452" s="1" t="s">
        <v>71</v>
      </c>
      <c r="T452" s="1">
        <v>135</v>
      </c>
      <c r="U452" s="1" t="s">
        <v>52</v>
      </c>
      <c r="V452" s="1">
        <v>-5.4</v>
      </c>
      <c r="Y452" s="1" t="s">
        <v>694</v>
      </c>
      <c r="Z452" s="1" t="s">
        <v>790</v>
      </c>
      <c r="AA452" s="1" t="s">
        <v>791</v>
      </c>
      <c r="AB452" s="1" t="s">
        <v>792</v>
      </c>
      <c r="AC452" s="1" t="s">
        <v>130</v>
      </c>
      <c r="AD452" s="1" t="s">
        <v>60</v>
      </c>
      <c r="AE452" s="1" t="s">
        <v>778</v>
      </c>
    </row>
    <row r="453" spans="1:31">
      <c r="A453" s="1" t="s">
        <v>786</v>
      </c>
      <c r="B453" s="1" t="s">
        <v>939</v>
      </c>
      <c r="C453" s="60">
        <v>45877</v>
      </c>
      <c r="D453" s="1" t="s">
        <v>130</v>
      </c>
      <c r="E453" s="1" t="s">
        <v>751</v>
      </c>
      <c r="F453" s="1">
        <v>2015</v>
      </c>
      <c r="G453" s="1" t="s">
        <v>184</v>
      </c>
      <c r="H453" s="1" t="s">
        <v>27</v>
      </c>
      <c r="I453" s="1">
        <v>34</v>
      </c>
      <c r="J453" s="1">
        <v>-122</v>
      </c>
      <c r="K453" s="1">
        <v>1951</v>
      </c>
      <c r="L453" s="1">
        <v>2008</v>
      </c>
      <c r="M453" s="1">
        <f t="shared" si="8"/>
        <v>58</v>
      </c>
      <c r="N453" s="1" t="s">
        <v>623</v>
      </c>
      <c r="O453" s="1" t="s">
        <v>205</v>
      </c>
      <c r="P453" s="1" t="s">
        <v>788</v>
      </c>
      <c r="Q453" s="1" t="s">
        <v>311</v>
      </c>
      <c r="R453" s="1" t="s">
        <v>636</v>
      </c>
      <c r="S453" s="1" t="s">
        <v>71</v>
      </c>
      <c r="T453" s="1">
        <v>288</v>
      </c>
      <c r="U453" s="1" t="s">
        <v>54</v>
      </c>
      <c r="V453" s="1">
        <v>-12.3</v>
      </c>
      <c r="Y453" s="1" t="s">
        <v>694</v>
      </c>
      <c r="Z453" s="1" t="s">
        <v>790</v>
      </c>
      <c r="AA453" s="1" t="s">
        <v>791</v>
      </c>
      <c r="AB453" s="1" t="s">
        <v>792</v>
      </c>
      <c r="AC453" s="1" t="s">
        <v>130</v>
      </c>
      <c r="AD453" s="1" t="s">
        <v>60</v>
      </c>
      <c r="AE453" s="1" t="s">
        <v>778</v>
      </c>
    </row>
    <row r="454" spans="1:31">
      <c r="A454" s="1" t="s">
        <v>786</v>
      </c>
      <c r="B454" s="1" t="s">
        <v>940</v>
      </c>
      <c r="C454" s="60">
        <v>45877</v>
      </c>
      <c r="D454" s="1" t="s">
        <v>130</v>
      </c>
      <c r="E454" s="1" t="s">
        <v>751</v>
      </c>
      <c r="F454" s="1">
        <v>2015</v>
      </c>
      <c r="G454" s="1" t="s">
        <v>184</v>
      </c>
      <c r="H454" s="1" t="s">
        <v>27</v>
      </c>
      <c r="I454" s="1">
        <v>34</v>
      </c>
      <c r="J454" s="1">
        <v>-122</v>
      </c>
      <c r="K454" s="1">
        <v>1951</v>
      </c>
      <c r="L454" s="1">
        <v>2008</v>
      </c>
      <c r="M454" s="1">
        <f t="shared" si="8"/>
        <v>58</v>
      </c>
      <c r="N454" s="1" t="s">
        <v>623</v>
      </c>
      <c r="O454" s="1" t="s">
        <v>205</v>
      </c>
      <c r="P454" s="1" t="s">
        <v>788</v>
      </c>
      <c r="Q454" s="1" t="s">
        <v>312</v>
      </c>
      <c r="R454" s="1" t="s">
        <v>636</v>
      </c>
      <c r="S454" s="1" t="s">
        <v>71</v>
      </c>
      <c r="T454" s="1">
        <v>46</v>
      </c>
      <c r="U454" s="1" t="s">
        <v>55</v>
      </c>
      <c r="V454" s="1">
        <v>6.7</v>
      </c>
      <c r="Y454" s="1" t="s">
        <v>41</v>
      </c>
      <c r="Z454" s="1" t="s">
        <v>790</v>
      </c>
      <c r="AA454" s="1" t="s">
        <v>791</v>
      </c>
      <c r="AB454" s="1" t="s">
        <v>792</v>
      </c>
      <c r="AC454" s="1" t="s">
        <v>130</v>
      </c>
      <c r="AD454" s="1" t="s">
        <v>60</v>
      </c>
      <c r="AE454" s="1" t="s">
        <v>778</v>
      </c>
    </row>
    <row r="455" spans="1:31">
      <c r="A455" s="1" t="s">
        <v>786</v>
      </c>
      <c r="B455" s="1" t="s">
        <v>941</v>
      </c>
      <c r="C455" s="60">
        <v>45877</v>
      </c>
      <c r="D455" s="1" t="s">
        <v>130</v>
      </c>
      <c r="E455" s="1" t="s">
        <v>751</v>
      </c>
      <c r="F455" s="1">
        <v>2015</v>
      </c>
      <c r="G455" s="1" t="s">
        <v>184</v>
      </c>
      <c r="H455" s="1" t="s">
        <v>27</v>
      </c>
      <c r="I455" s="1">
        <v>34</v>
      </c>
      <c r="J455" s="1">
        <v>-122</v>
      </c>
      <c r="K455" s="1">
        <v>1951</v>
      </c>
      <c r="L455" s="1">
        <v>2008</v>
      </c>
      <c r="M455" s="1">
        <f t="shared" si="8"/>
        <v>58</v>
      </c>
      <c r="N455" s="1" t="s">
        <v>623</v>
      </c>
      <c r="O455" s="1" t="s">
        <v>205</v>
      </c>
      <c r="P455" s="1" t="s">
        <v>788</v>
      </c>
      <c r="Q455" s="1" t="s">
        <v>313</v>
      </c>
      <c r="R455" s="1" t="s">
        <v>636</v>
      </c>
      <c r="S455" s="1" t="s">
        <v>71</v>
      </c>
      <c r="T455" s="1">
        <v>46</v>
      </c>
      <c r="U455" s="1" t="s">
        <v>55</v>
      </c>
      <c r="V455" s="1">
        <v>-2.8</v>
      </c>
      <c r="Y455" s="1" t="s">
        <v>694</v>
      </c>
      <c r="Z455" s="1" t="s">
        <v>790</v>
      </c>
      <c r="AA455" s="1" t="s">
        <v>791</v>
      </c>
      <c r="AB455" s="1" t="s">
        <v>792</v>
      </c>
      <c r="AC455" s="1" t="s">
        <v>130</v>
      </c>
      <c r="AD455" s="1" t="s">
        <v>60</v>
      </c>
      <c r="AE455" s="1" t="s">
        <v>778</v>
      </c>
    </row>
    <row r="456" spans="1:31">
      <c r="A456" s="1" t="s">
        <v>786</v>
      </c>
      <c r="B456" s="1" t="s">
        <v>942</v>
      </c>
      <c r="C456" s="60">
        <v>45877</v>
      </c>
      <c r="D456" s="1" t="s">
        <v>130</v>
      </c>
      <c r="E456" s="1" t="s">
        <v>751</v>
      </c>
      <c r="F456" s="1">
        <v>2015</v>
      </c>
      <c r="G456" s="1" t="s">
        <v>184</v>
      </c>
      <c r="H456" s="1" t="s">
        <v>27</v>
      </c>
      <c r="I456" s="1">
        <v>34</v>
      </c>
      <c r="J456" s="1">
        <v>-122</v>
      </c>
      <c r="K456" s="1">
        <v>1951</v>
      </c>
      <c r="L456" s="1">
        <v>2008</v>
      </c>
      <c r="M456" s="1">
        <f t="shared" si="8"/>
        <v>58</v>
      </c>
      <c r="N456" s="1" t="s">
        <v>623</v>
      </c>
      <c r="O456" s="1" t="s">
        <v>205</v>
      </c>
      <c r="P456" s="1" t="s">
        <v>788</v>
      </c>
      <c r="Q456" s="1" t="s">
        <v>314</v>
      </c>
      <c r="R456" s="1" t="s">
        <v>636</v>
      </c>
      <c r="S456" s="1" t="s">
        <v>71</v>
      </c>
      <c r="T456" s="1">
        <v>15</v>
      </c>
      <c r="U456" s="1" t="s">
        <v>55</v>
      </c>
      <c r="V456" s="1">
        <v>1.6</v>
      </c>
      <c r="Y456" s="1" t="s">
        <v>41</v>
      </c>
      <c r="Z456" s="1" t="s">
        <v>790</v>
      </c>
      <c r="AA456" s="1" t="s">
        <v>791</v>
      </c>
      <c r="AB456" s="1" t="s">
        <v>792</v>
      </c>
      <c r="AC456" s="1" t="s">
        <v>130</v>
      </c>
      <c r="AD456" s="1" t="s">
        <v>60</v>
      </c>
      <c r="AE456" s="1" t="s">
        <v>778</v>
      </c>
    </row>
    <row r="457" spans="1:31">
      <c r="A457" s="1" t="s">
        <v>786</v>
      </c>
      <c r="B457" s="1" t="s">
        <v>943</v>
      </c>
      <c r="C457" s="60">
        <v>45877</v>
      </c>
      <c r="D457" s="1" t="s">
        <v>130</v>
      </c>
      <c r="E457" s="1" t="s">
        <v>751</v>
      </c>
      <c r="F457" s="1">
        <v>2015</v>
      </c>
      <c r="G457" s="1" t="s">
        <v>184</v>
      </c>
      <c r="H457" s="1" t="s">
        <v>27</v>
      </c>
      <c r="I457" s="1">
        <v>34</v>
      </c>
      <c r="J457" s="1">
        <v>-122</v>
      </c>
      <c r="K457" s="1">
        <v>1951</v>
      </c>
      <c r="L457" s="1">
        <v>2008</v>
      </c>
      <c r="M457" s="1">
        <f t="shared" si="8"/>
        <v>58</v>
      </c>
      <c r="N457" s="1" t="s">
        <v>623</v>
      </c>
      <c r="O457" s="1" t="s">
        <v>205</v>
      </c>
      <c r="P457" s="1" t="s">
        <v>788</v>
      </c>
      <c r="Q457" s="1" t="s">
        <v>315</v>
      </c>
      <c r="R457" s="1" t="s">
        <v>636</v>
      </c>
      <c r="S457" s="1" t="s">
        <v>71</v>
      </c>
      <c r="T457" s="1">
        <v>166</v>
      </c>
      <c r="U457" s="1" t="s">
        <v>53</v>
      </c>
      <c r="V457" s="1">
        <v>-6.7</v>
      </c>
      <c r="Y457" s="1" t="s">
        <v>694</v>
      </c>
      <c r="Z457" s="1" t="s">
        <v>790</v>
      </c>
      <c r="AA457" s="1" t="s">
        <v>791</v>
      </c>
      <c r="AB457" s="1" t="s">
        <v>792</v>
      </c>
      <c r="AC457" s="1" t="s">
        <v>130</v>
      </c>
      <c r="AD457" s="1" t="s">
        <v>60</v>
      </c>
      <c r="AE457" s="1" t="s">
        <v>778</v>
      </c>
    </row>
    <row r="458" spans="1:31">
      <c r="A458" s="1" t="s">
        <v>786</v>
      </c>
      <c r="B458" s="1" t="s">
        <v>944</v>
      </c>
      <c r="C458" s="60">
        <v>45877</v>
      </c>
      <c r="D458" s="1" t="s">
        <v>130</v>
      </c>
      <c r="E458" s="1" t="s">
        <v>751</v>
      </c>
      <c r="F458" s="1">
        <v>2015</v>
      </c>
      <c r="G458" s="1" t="s">
        <v>184</v>
      </c>
      <c r="H458" s="1" t="s">
        <v>27</v>
      </c>
      <c r="I458" s="1">
        <v>34</v>
      </c>
      <c r="J458" s="1">
        <v>-122</v>
      </c>
      <c r="K458" s="1">
        <v>1951</v>
      </c>
      <c r="L458" s="1">
        <v>2008</v>
      </c>
      <c r="M458" s="1">
        <f t="shared" si="8"/>
        <v>58</v>
      </c>
      <c r="N458" s="1" t="s">
        <v>623</v>
      </c>
      <c r="O458" s="1" t="s">
        <v>205</v>
      </c>
      <c r="P458" s="1" t="s">
        <v>788</v>
      </c>
      <c r="Q458" s="1" t="s">
        <v>316</v>
      </c>
      <c r="R458" s="1" t="s">
        <v>636</v>
      </c>
      <c r="S458" s="1" t="s">
        <v>71</v>
      </c>
      <c r="T458" s="1">
        <v>227</v>
      </c>
      <c r="U458" s="1" t="s">
        <v>53</v>
      </c>
      <c r="V458" s="1">
        <v>3</v>
      </c>
      <c r="Y458" s="1" t="s">
        <v>41</v>
      </c>
      <c r="Z458" s="1" t="s">
        <v>790</v>
      </c>
      <c r="AA458" s="1" t="s">
        <v>791</v>
      </c>
      <c r="AB458" s="1" t="s">
        <v>792</v>
      </c>
      <c r="AC458" s="1" t="s">
        <v>130</v>
      </c>
      <c r="AD458" s="1" t="s">
        <v>60</v>
      </c>
      <c r="AE458" s="1" t="s">
        <v>778</v>
      </c>
    </row>
    <row r="459" spans="1:31">
      <c r="A459" s="1" t="s">
        <v>786</v>
      </c>
      <c r="B459" s="1" t="s">
        <v>945</v>
      </c>
      <c r="C459" s="60">
        <v>45877</v>
      </c>
      <c r="D459" s="1" t="s">
        <v>130</v>
      </c>
      <c r="E459" s="1" t="s">
        <v>751</v>
      </c>
      <c r="F459" s="1">
        <v>2015</v>
      </c>
      <c r="G459" s="1" t="s">
        <v>184</v>
      </c>
      <c r="H459" s="1" t="s">
        <v>27</v>
      </c>
      <c r="I459" s="1">
        <v>34</v>
      </c>
      <c r="J459" s="1">
        <v>-122</v>
      </c>
      <c r="K459" s="1">
        <v>1951</v>
      </c>
      <c r="L459" s="1">
        <v>2008</v>
      </c>
      <c r="M459" s="1">
        <f t="shared" si="8"/>
        <v>58</v>
      </c>
      <c r="N459" s="1" t="s">
        <v>623</v>
      </c>
      <c r="O459" s="1" t="s">
        <v>205</v>
      </c>
      <c r="P459" s="1" t="s">
        <v>788</v>
      </c>
      <c r="Q459" s="1" t="s">
        <v>317</v>
      </c>
      <c r="R459" s="1" t="s">
        <v>636</v>
      </c>
      <c r="S459" s="1" t="s">
        <v>71</v>
      </c>
      <c r="T459" s="1">
        <v>227</v>
      </c>
      <c r="U459" s="1" t="s">
        <v>53</v>
      </c>
      <c r="V459" s="1">
        <v>-6.9</v>
      </c>
      <c r="Y459" s="1" t="s">
        <v>694</v>
      </c>
      <c r="Z459" s="1" t="s">
        <v>790</v>
      </c>
      <c r="AA459" s="1" t="s">
        <v>791</v>
      </c>
      <c r="AB459" s="1" t="s">
        <v>792</v>
      </c>
      <c r="AC459" s="1" t="s">
        <v>130</v>
      </c>
      <c r="AD459" s="1" t="s">
        <v>60</v>
      </c>
      <c r="AE459" s="1" t="s">
        <v>778</v>
      </c>
    </row>
    <row r="460" spans="1:31">
      <c r="A460" s="1" t="s">
        <v>786</v>
      </c>
      <c r="B460" s="1" t="s">
        <v>946</v>
      </c>
      <c r="C460" s="60">
        <v>45877</v>
      </c>
      <c r="D460" s="1" t="s">
        <v>130</v>
      </c>
      <c r="E460" s="1" t="s">
        <v>751</v>
      </c>
      <c r="F460" s="1">
        <v>2015</v>
      </c>
      <c r="G460" s="1" t="s">
        <v>184</v>
      </c>
      <c r="H460" s="1" t="s">
        <v>27</v>
      </c>
      <c r="I460" s="1">
        <v>34</v>
      </c>
      <c r="J460" s="1">
        <v>-122</v>
      </c>
      <c r="K460" s="1">
        <v>1951</v>
      </c>
      <c r="L460" s="1">
        <v>2008</v>
      </c>
      <c r="M460" s="1">
        <f t="shared" si="8"/>
        <v>58</v>
      </c>
      <c r="N460" s="1" t="s">
        <v>623</v>
      </c>
      <c r="O460" s="1" t="s">
        <v>205</v>
      </c>
      <c r="P460" s="1" t="s">
        <v>788</v>
      </c>
      <c r="Q460" s="1" t="s">
        <v>318</v>
      </c>
      <c r="R460" s="1" t="s">
        <v>636</v>
      </c>
      <c r="S460" s="1" t="s">
        <v>71</v>
      </c>
      <c r="T460" s="1">
        <v>135</v>
      </c>
      <c r="U460" s="1" t="s">
        <v>52</v>
      </c>
      <c r="V460" s="1">
        <v>-1</v>
      </c>
      <c r="Y460" s="1" t="s">
        <v>694</v>
      </c>
      <c r="Z460" s="1" t="s">
        <v>790</v>
      </c>
      <c r="AA460" s="1" t="s">
        <v>791</v>
      </c>
      <c r="AB460" s="1" t="s">
        <v>792</v>
      </c>
      <c r="AC460" s="1" t="s">
        <v>130</v>
      </c>
      <c r="AD460" s="1" t="s">
        <v>60</v>
      </c>
      <c r="AE460" s="1" t="s">
        <v>778</v>
      </c>
    </row>
    <row r="461" spans="1:31">
      <c r="A461" s="1" t="s">
        <v>786</v>
      </c>
      <c r="B461" s="1" t="s">
        <v>947</v>
      </c>
      <c r="C461" s="60">
        <v>45877</v>
      </c>
      <c r="D461" s="1" t="s">
        <v>130</v>
      </c>
      <c r="E461" s="1" t="s">
        <v>751</v>
      </c>
      <c r="F461" s="1">
        <v>2015</v>
      </c>
      <c r="G461" s="1" t="s">
        <v>184</v>
      </c>
      <c r="H461" s="1" t="s">
        <v>27</v>
      </c>
      <c r="I461" s="1">
        <v>34</v>
      </c>
      <c r="J461" s="1">
        <v>-122</v>
      </c>
      <c r="K461" s="1">
        <v>1951</v>
      </c>
      <c r="L461" s="1">
        <v>2008</v>
      </c>
      <c r="M461" s="1">
        <f t="shared" si="8"/>
        <v>58</v>
      </c>
      <c r="N461" s="1" t="s">
        <v>623</v>
      </c>
      <c r="O461" s="1" t="s">
        <v>205</v>
      </c>
      <c r="P461" s="1" t="s">
        <v>788</v>
      </c>
      <c r="Q461" s="1" t="s">
        <v>319</v>
      </c>
      <c r="R461" s="1" t="s">
        <v>636</v>
      </c>
      <c r="S461" s="1" t="s">
        <v>71</v>
      </c>
      <c r="T461" s="1">
        <v>166</v>
      </c>
      <c r="U461" s="1" t="s">
        <v>53</v>
      </c>
      <c r="V461" s="1">
        <v>-5.6</v>
      </c>
      <c r="Y461" s="1" t="s">
        <v>694</v>
      </c>
      <c r="Z461" s="1" t="s">
        <v>790</v>
      </c>
      <c r="AA461" s="1" t="s">
        <v>791</v>
      </c>
      <c r="AB461" s="1" t="s">
        <v>792</v>
      </c>
      <c r="AC461" s="1" t="s">
        <v>130</v>
      </c>
      <c r="AD461" s="1" t="s">
        <v>60</v>
      </c>
      <c r="AE461" s="1" t="s">
        <v>778</v>
      </c>
    </row>
    <row r="462" spans="1:31">
      <c r="A462" s="1" t="s">
        <v>786</v>
      </c>
      <c r="B462" s="1" t="s">
        <v>948</v>
      </c>
      <c r="C462" s="60">
        <v>45877</v>
      </c>
      <c r="D462" s="1" t="s">
        <v>130</v>
      </c>
      <c r="E462" s="1" t="s">
        <v>751</v>
      </c>
      <c r="F462" s="1">
        <v>2015</v>
      </c>
      <c r="G462" s="1" t="s">
        <v>184</v>
      </c>
      <c r="H462" s="1" t="s">
        <v>27</v>
      </c>
      <c r="I462" s="1">
        <v>34</v>
      </c>
      <c r="J462" s="1">
        <v>-122</v>
      </c>
      <c r="K462" s="1">
        <v>1951</v>
      </c>
      <c r="L462" s="1">
        <v>2008</v>
      </c>
      <c r="M462" s="1">
        <f t="shared" si="8"/>
        <v>58</v>
      </c>
      <c r="N462" s="1" t="s">
        <v>623</v>
      </c>
      <c r="O462" s="1" t="s">
        <v>205</v>
      </c>
      <c r="P462" s="1" t="s">
        <v>788</v>
      </c>
      <c r="Q462" s="1" t="s">
        <v>320</v>
      </c>
      <c r="R462" s="1" t="s">
        <v>636</v>
      </c>
      <c r="S462" s="1" t="s">
        <v>71</v>
      </c>
      <c r="T462" s="1">
        <v>288</v>
      </c>
      <c r="U462" s="1" t="s">
        <v>54</v>
      </c>
      <c r="V462" s="1">
        <v>3.5</v>
      </c>
      <c r="Y462" s="1" t="s">
        <v>41</v>
      </c>
      <c r="Z462" s="1" t="s">
        <v>790</v>
      </c>
      <c r="AA462" s="1" t="s">
        <v>791</v>
      </c>
      <c r="AB462" s="1" t="s">
        <v>792</v>
      </c>
      <c r="AC462" s="1" t="s">
        <v>130</v>
      </c>
      <c r="AD462" s="1" t="s">
        <v>60</v>
      </c>
      <c r="AE462" s="1" t="s">
        <v>778</v>
      </c>
    </row>
    <row r="463" spans="1:31">
      <c r="A463" s="1" t="s">
        <v>786</v>
      </c>
      <c r="B463" s="1" t="s">
        <v>949</v>
      </c>
      <c r="C463" s="60">
        <v>45877</v>
      </c>
      <c r="D463" s="1" t="s">
        <v>130</v>
      </c>
      <c r="E463" s="1" t="s">
        <v>751</v>
      </c>
      <c r="F463" s="1">
        <v>2015</v>
      </c>
      <c r="G463" s="1" t="s">
        <v>184</v>
      </c>
      <c r="H463" s="1" t="s">
        <v>27</v>
      </c>
      <c r="I463" s="1">
        <v>34</v>
      </c>
      <c r="J463" s="1">
        <v>-122</v>
      </c>
      <c r="K463" s="1">
        <v>1951</v>
      </c>
      <c r="L463" s="1">
        <v>2008</v>
      </c>
      <c r="M463" s="1">
        <f t="shared" si="8"/>
        <v>58</v>
      </c>
      <c r="N463" s="1" t="s">
        <v>623</v>
      </c>
      <c r="O463" s="1" t="s">
        <v>205</v>
      </c>
      <c r="P463" s="1" t="s">
        <v>788</v>
      </c>
      <c r="Q463" s="1" t="s">
        <v>837</v>
      </c>
      <c r="R463" s="1" t="s">
        <v>636</v>
      </c>
      <c r="S463" s="1" t="s">
        <v>71</v>
      </c>
      <c r="T463" s="1">
        <v>46</v>
      </c>
      <c r="U463" s="1" t="s">
        <v>55</v>
      </c>
      <c r="V463" s="1">
        <v>0.5</v>
      </c>
      <c r="Y463" s="1" t="s">
        <v>41</v>
      </c>
      <c r="Z463" s="1" t="s">
        <v>790</v>
      </c>
      <c r="AA463" s="1" t="s">
        <v>791</v>
      </c>
      <c r="AB463" s="1" t="s">
        <v>792</v>
      </c>
      <c r="AC463" s="1" t="s">
        <v>130</v>
      </c>
      <c r="AD463" s="1" t="s">
        <v>60</v>
      </c>
      <c r="AE463" s="1" t="s">
        <v>778</v>
      </c>
    </row>
    <row r="464" spans="1:31">
      <c r="A464" s="1" t="s">
        <v>786</v>
      </c>
      <c r="B464" s="1" t="s">
        <v>950</v>
      </c>
      <c r="C464" s="60">
        <v>45877</v>
      </c>
      <c r="D464" s="1" t="s">
        <v>130</v>
      </c>
      <c r="E464" s="1" t="s">
        <v>751</v>
      </c>
      <c r="F464" s="1">
        <v>2015</v>
      </c>
      <c r="G464" s="1" t="s">
        <v>184</v>
      </c>
      <c r="H464" s="1" t="s">
        <v>27</v>
      </c>
      <c r="I464" s="1">
        <v>34</v>
      </c>
      <c r="J464" s="1">
        <v>-122</v>
      </c>
      <c r="K464" s="1">
        <v>1951</v>
      </c>
      <c r="L464" s="1">
        <v>2008</v>
      </c>
      <c r="M464" s="1">
        <f t="shared" si="8"/>
        <v>58</v>
      </c>
      <c r="N464" s="1" t="s">
        <v>623</v>
      </c>
      <c r="O464" s="1" t="s">
        <v>205</v>
      </c>
      <c r="P464" s="1" t="s">
        <v>788</v>
      </c>
      <c r="Q464" s="1" t="s">
        <v>838</v>
      </c>
      <c r="R464" s="1" t="s">
        <v>636</v>
      </c>
      <c r="S464" s="1" t="s">
        <v>71</v>
      </c>
      <c r="T464" s="1">
        <v>288</v>
      </c>
      <c r="U464" s="1" t="s">
        <v>54</v>
      </c>
      <c r="V464" s="1">
        <v>5.4</v>
      </c>
      <c r="Y464" s="1" t="s">
        <v>41</v>
      </c>
      <c r="Z464" s="1" t="s">
        <v>790</v>
      </c>
      <c r="AA464" s="1" t="s">
        <v>791</v>
      </c>
      <c r="AC464" s="1" t="s">
        <v>130</v>
      </c>
      <c r="AD464" s="1" t="s">
        <v>60</v>
      </c>
      <c r="AE464" s="1" t="s">
        <v>778</v>
      </c>
    </row>
    <row r="465" spans="1:31">
      <c r="A465" s="1" t="s">
        <v>786</v>
      </c>
      <c r="B465" s="1" t="s">
        <v>951</v>
      </c>
      <c r="C465" s="60">
        <v>45877</v>
      </c>
      <c r="D465" s="1" t="s">
        <v>130</v>
      </c>
      <c r="E465" s="1" t="s">
        <v>751</v>
      </c>
      <c r="F465" s="1">
        <v>2015</v>
      </c>
      <c r="G465" s="1" t="s">
        <v>184</v>
      </c>
      <c r="H465" s="1" t="s">
        <v>27</v>
      </c>
      <c r="I465" s="1">
        <v>34</v>
      </c>
      <c r="J465" s="1">
        <v>-122</v>
      </c>
      <c r="K465" s="1">
        <v>1951</v>
      </c>
      <c r="L465" s="1">
        <v>2008</v>
      </c>
      <c r="M465" s="1">
        <f t="shared" si="8"/>
        <v>58</v>
      </c>
      <c r="N465" s="1" t="s">
        <v>623</v>
      </c>
      <c r="O465" s="1" t="s">
        <v>205</v>
      </c>
      <c r="P465" s="1" t="s">
        <v>788</v>
      </c>
      <c r="Q465" s="1" t="s">
        <v>322</v>
      </c>
      <c r="R465" s="1" t="s">
        <v>636</v>
      </c>
      <c r="S465" s="1" t="s">
        <v>71</v>
      </c>
      <c r="T465" s="1">
        <v>288</v>
      </c>
      <c r="U465" s="1" t="s">
        <v>54</v>
      </c>
      <c r="V465" s="1">
        <v>16</v>
      </c>
      <c r="Y465" s="1" t="s">
        <v>41</v>
      </c>
      <c r="Z465" s="1" t="s">
        <v>790</v>
      </c>
      <c r="AA465" s="1" t="s">
        <v>791</v>
      </c>
      <c r="AB465" s="1" t="s">
        <v>792</v>
      </c>
      <c r="AC465" s="1" t="s">
        <v>130</v>
      </c>
      <c r="AD465" s="1" t="s">
        <v>60</v>
      </c>
      <c r="AE465" s="1" t="s">
        <v>778</v>
      </c>
    </row>
    <row r="466" spans="1:31">
      <c r="A466" s="1" t="s">
        <v>786</v>
      </c>
      <c r="B466" s="1" t="s">
        <v>952</v>
      </c>
      <c r="C466" s="60">
        <v>45877</v>
      </c>
      <c r="D466" s="1" t="s">
        <v>130</v>
      </c>
      <c r="E466" s="1" t="s">
        <v>751</v>
      </c>
      <c r="F466" s="1">
        <v>2015</v>
      </c>
      <c r="G466" s="1" t="s">
        <v>184</v>
      </c>
      <c r="H466" s="1" t="s">
        <v>27</v>
      </c>
      <c r="I466" s="1">
        <v>34</v>
      </c>
      <c r="J466" s="1">
        <v>-122</v>
      </c>
      <c r="K466" s="1">
        <v>1951</v>
      </c>
      <c r="L466" s="1">
        <v>2008</v>
      </c>
      <c r="M466" s="1">
        <f t="shared" si="8"/>
        <v>58</v>
      </c>
      <c r="N466" s="1" t="s">
        <v>623</v>
      </c>
      <c r="O466" s="1" t="s">
        <v>205</v>
      </c>
      <c r="P466" s="1" t="s">
        <v>788</v>
      </c>
      <c r="Q466" s="1" t="s">
        <v>841</v>
      </c>
      <c r="R466" s="1" t="s">
        <v>636</v>
      </c>
      <c r="S466" s="1" t="s">
        <v>71</v>
      </c>
      <c r="T466" s="1">
        <v>258</v>
      </c>
      <c r="U466" s="1" t="s">
        <v>54</v>
      </c>
      <c r="V466" s="1">
        <v>-7</v>
      </c>
      <c r="Y466" s="1" t="s">
        <v>694</v>
      </c>
      <c r="Z466" s="1" t="s">
        <v>790</v>
      </c>
      <c r="AA466" s="1" t="s">
        <v>791</v>
      </c>
      <c r="AC466" s="1" t="s">
        <v>130</v>
      </c>
      <c r="AD466" s="1" t="s">
        <v>60</v>
      </c>
      <c r="AE466" s="1" t="s">
        <v>778</v>
      </c>
    </row>
    <row r="467" spans="1:31">
      <c r="A467" s="1" t="s">
        <v>786</v>
      </c>
      <c r="B467" s="1" t="s">
        <v>953</v>
      </c>
      <c r="C467" s="60">
        <v>45877</v>
      </c>
      <c r="D467" s="1" t="s">
        <v>130</v>
      </c>
      <c r="E467" s="1" t="s">
        <v>751</v>
      </c>
      <c r="F467" s="1">
        <v>2015</v>
      </c>
      <c r="G467" s="1" t="s">
        <v>184</v>
      </c>
      <c r="H467" s="1" t="s">
        <v>27</v>
      </c>
      <c r="I467" s="1">
        <v>34</v>
      </c>
      <c r="J467" s="1">
        <v>-122</v>
      </c>
      <c r="K467" s="1">
        <v>1951</v>
      </c>
      <c r="L467" s="1">
        <v>2008</v>
      </c>
      <c r="M467" s="1">
        <f t="shared" si="8"/>
        <v>58</v>
      </c>
      <c r="N467" s="1" t="s">
        <v>623</v>
      </c>
      <c r="O467" s="1" t="s">
        <v>205</v>
      </c>
      <c r="P467" s="1" t="s">
        <v>788</v>
      </c>
      <c r="Q467" s="1" t="s">
        <v>842</v>
      </c>
      <c r="R467" s="1" t="s">
        <v>636</v>
      </c>
      <c r="S467" s="1" t="s">
        <v>71</v>
      </c>
      <c r="T467" s="1">
        <v>319</v>
      </c>
      <c r="U467" s="1" t="s">
        <v>54</v>
      </c>
      <c r="V467" s="1">
        <v>-7.9</v>
      </c>
      <c r="Y467" s="1" t="s">
        <v>694</v>
      </c>
      <c r="Z467" s="1" t="s">
        <v>790</v>
      </c>
      <c r="AA467" s="1" t="s">
        <v>791</v>
      </c>
      <c r="AC467" s="1" t="s">
        <v>130</v>
      </c>
      <c r="AD467" s="1" t="s">
        <v>60</v>
      </c>
      <c r="AE467" s="1" t="s">
        <v>778</v>
      </c>
    </row>
    <row r="468" spans="1:31">
      <c r="A468" s="1" t="s">
        <v>786</v>
      </c>
      <c r="B468" s="1" t="s">
        <v>954</v>
      </c>
      <c r="C468" s="60">
        <v>45877</v>
      </c>
      <c r="D468" s="1" t="s">
        <v>130</v>
      </c>
      <c r="E468" s="1" t="s">
        <v>751</v>
      </c>
      <c r="F468" s="1">
        <v>2015</v>
      </c>
      <c r="G468" s="1" t="s">
        <v>184</v>
      </c>
      <c r="H468" s="1" t="s">
        <v>27</v>
      </c>
      <c r="I468" s="1">
        <v>34</v>
      </c>
      <c r="J468" s="1">
        <v>-122</v>
      </c>
      <c r="K468" s="1">
        <v>1951</v>
      </c>
      <c r="L468" s="1">
        <v>2008</v>
      </c>
      <c r="M468" s="1">
        <f t="shared" si="8"/>
        <v>58</v>
      </c>
      <c r="N468" s="1" t="s">
        <v>623</v>
      </c>
      <c r="O468" s="1" t="s">
        <v>205</v>
      </c>
      <c r="P468" s="1" t="s">
        <v>788</v>
      </c>
      <c r="Q468" s="1" t="s">
        <v>843</v>
      </c>
      <c r="R468" s="1" t="s">
        <v>636</v>
      </c>
      <c r="S468" s="1" t="s">
        <v>71</v>
      </c>
      <c r="T468" s="1">
        <v>258</v>
      </c>
      <c r="U468" s="1" t="s">
        <v>54</v>
      </c>
      <c r="V468" s="1">
        <v>3</v>
      </c>
      <c r="Y468" s="1" t="s">
        <v>41</v>
      </c>
      <c r="Z468" s="1" t="s">
        <v>790</v>
      </c>
      <c r="AA468" s="1" t="s">
        <v>791</v>
      </c>
      <c r="AC468" s="1" t="s">
        <v>130</v>
      </c>
      <c r="AD468" s="1" t="s">
        <v>60</v>
      </c>
      <c r="AE468" s="1" t="s">
        <v>778</v>
      </c>
    </row>
    <row r="469" spans="1:31">
      <c r="A469" s="1" t="s">
        <v>786</v>
      </c>
      <c r="B469" s="1" t="s">
        <v>955</v>
      </c>
      <c r="C469" s="60">
        <v>45877</v>
      </c>
      <c r="D469" s="1" t="s">
        <v>130</v>
      </c>
      <c r="E469" s="1" t="s">
        <v>751</v>
      </c>
      <c r="F469" s="1">
        <v>2015</v>
      </c>
      <c r="G469" s="1" t="s">
        <v>184</v>
      </c>
      <c r="H469" s="1" t="s">
        <v>27</v>
      </c>
      <c r="I469" s="1">
        <v>34</v>
      </c>
      <c r="J469" s="1">
        <v>-122</v>
      </c>
      <c r="K469" s="1">
        <v>1951</v>
      </c>
      <c r="L469" s="1">
        <v>2008</v>
      </c>
      <c r="M469" s="1">
        <f t="shared" si="8"/>
        <v>58</v>
      </c>
      <c r="N469" s="1" t="s">
        <v>623</v>
      </c>
      <c r="O469" s="1" t="s">
        <v>205</v>
      </c>
      <c r="P469" s="1" t="s">
        <v>788</v>
      </c>
      <c r="Q469" s="1" t="s">
        <v>844</v>
      </c>
      <c r="R469" s="1" t="s">
        <v>636</v>
      </c>
      <c r="S469" s="1" t="s">
        <v>71</v>
      </c>
      <c r="T469" s="1">
        <v>196</v>
      </c>
      <c r="U469" s="1" t="s">
        <v>53</v>
      </c>
      <c r="V469" s="1">
        <v>-4.0999999999999996</v>
      </c>
      <c r="Y469" s="1" t="s">
        <v>694</v>
      </c>
      <c r="Z469" s="1" t="s">
        <v>790</v>
      </c>
      <c r="AA469" s="1" t="s">
        <v>791</v>
      </c>
      <c r="AC469" s="1" t="s">
        <v>130</v>
      </c>
      <c r="AD469" s="1" t="s">
        <v>60</v>
      </c>
      <c r="AE469" s="1" t="s">
        <v>778</v>
      </c>
    </row>
    <row r="470" spans="1:31">
      <c r="A470" s="1" t="s">
        <v>786</v>
      </c>
      <c r="B470" s="1" t="s">
        <v>956</v>
      </c>
      <c r="C470" s="60">
        <v>45877</v>
      </c>
      <c r="D470" s="1" t="s">
        <v>130</v>
      </c>
      <c r="E470" s="1" t="s">
        <v>751</v>
      </c>
      <c r="F470" s="1">
        <v>2015</v>
      </c>
      <c r="G470" s="1" t="s">
        <v>184</v>
      </c>
      <c r="H470" s="1" t="s">
        <v>27</v>
      </c>
      <c r="I470" s="1">
        <v>34</v>
      </c>
      <c r="J470" s="1">
        <v>-122</v>
      </c>
      <c r="K470" s="1">
        <v>1951</v>
      </c>
      <c r="L470" s="1">
        <v>2008</v>
      </c>
      <c r="M470" s="1">
        <f t="shared" si="8"/>
        <v>58</v>
      </c>
      <c r="N470" s="1" t="s">
        <v>623</v>
      </c>
      <c r="O470" s="1" t="s">
        <v>205</v>
      </c>
      <c r="P470" s="1" t="s">
        <v>788</v>
      </c>
      <c r="Q470" s="1" t="s">
        <v>845</v>
      </c>
      <c r="R470" s="1" t="s">
        <v>636</v>
      </c>
      <c r="S470" s="1" t="s">
        <v>71</v>
      </c>
      <c r="T470" s="1">
        <v>166</v>
      </c>
      <c r="U470" s="1" t="s">
        <v>53</v>
      </c>
      <c r="V470" s="1">
        <v>5.7</v>
      </c>
      <c r="Y470" s="1" t="s">
        <v>41</v>
      </c>
      <c r="Z470" s="1" t="s">
        <v>790</v>
      </c>
      <c r="AA470" s="1" t="s">
        <v>791</v>
      </c>
      <c r="AC470" s="1" t="s">
        <v>130</v>
      </c>
      <c r="AD470" s="1" t="s">
        <v>60</v>
      </c>
      <c r="AE470" s="1" t="s">
        <v>778</v>
      </c>
    </row>
    <row r="471" spans="1:31">
      <c r="A471" s="1" t="s">
        <v>786</v>
      </c>
      <c r="B471" s="1" t="s">
        <v>957</v>
      </c>
      <c r="C471" s="60">
        <v>45877</v>
      </c>
      <c r="D471" s="1" t="s">
        <v>130</v>
      </c>
      <c r="E471" s="1" t="s">
        <v>751</v>
      </c>
      <c r="F471" s="1">
        <v>2015</v>
      </c>
      <c r="G471" s="1" t="s">
        <v>184</v>
      </c>
      <c r="H471" s="1" t="s">
        <v>27</v>
      </c>
      <c r="I471" s="1">
        <v>34</v>
      </c>
      <c r="J471" s="1">
        <v>-122</v>
      </c>
      <c r="K471" s="1">
        <v>1951</v>
      </c>
      <c r="L471" s="1">
        <v>2008</v>
      </c>
      <c r="M471" s="1">
        <f t="shared" si="8"/>
        <v>58</v>
      </c>
      <c r="N471" s="1" t="s">
        <v>623</v>
      </c>
      <c r="O471" s="1" t="s">
        <v>205</v>
      </c>
      <c r="P471" s="1" t="s">
        <v>788</v>
      </c>
      <c r="Q471" s="1" t="s">
        <v>846</v>
      </c>
      <c r="R471" s="1" t="s">
        <v>636</v>
      </c>
      <c r="S471" s="1" t="s">
        <v>71</v>
      </c>
      <c r="T471" s="1">
        <v>258</v>
      </c>
      <c r="U471" s="1" t="s">
        <v>54</v>
      </c>
      <c r="V471" s="1">
        <v>5.6</v>
      </c>
      <c r="Y471" s="1" t="s">
        <v>41</v>
      </c>
      <c r="Z471" s="1" t="s">
        <v>790</v>
      </c>
      <c r="AA471" s="1" t="s">
        <v>791</v>
      </c>
      <c r="AC471" s="1" t="s">
        <v>130</v>
      </c>
      <c r="AD471" s="1" t="s">
        <v>60</v>
      </c>
      <c r="AE471" s="1" t="s">
        <v>778</v>
      </c>
    </row>
    <row r="472" spans="1:31">
      <c r="A472" s="1" t="s">
        <v>786</v>
      </c>
      <c r="B472" s="1" t="s">
        <v>958</v>
      </c>
      <c r="C472" s="60">
        <v>45877</v>
      </c>
      <c r="D472" s="1" t="s">
        <v>130</v>
      </c>
      <c r="E472" s="1" t="s">
        <v>751</v>
      </c>
      <c r="F472" s="1">
        <v>2015</v>
      </c>
      <c r="G472" s="1" t="s">
        <v>184</v>
      </c>
      <c r="H472" s="1" t="s">
        <v>27</v>
      </c>
      <c r="I472" s="1">
        <v>34</v>
      </c>
      <c r="J472" s="1">
        <v>-122</v>
      </c>
      <c r="K472" s="1">
        <v>1951</v>
      </c>
      <c r="L472" s="1">
        <v>2008</v>
      </c>
      <c r="M472" s="1">
        <f t="shared" si="8"/>
        <v>58</v>
      </c>
      <c r="N472" s="1" t="s">
        <v>623</v>
      </c>
      <c r="O472" s="1" t="s">
        <v>205</v>
      </c>
      <c r="P472" s="1" t="s">
        <v>788</v>
      </c>
      <c r="Q472" s="1" t="s">
        <v>847</v>
      </c>
      <c r="R472" s="1" t="s">
        <v>636</v>
      </c>
      <c r="S472" s="1" t="s">
        <v>71</v>
      </c>
      <c r="T472" s="1">
        <v>74</v>
      </c>
      <c r="U472" s="1" t="s">
        <v>52</v>
      </c>
      <c r="V472" s="1">
        <v>7.2</v>
      </c>
      <c r="Y472" s="1" t="s">
        <v>41</v>
      </c>
      <c r="Z472" s="1" t="s">
        <v>790</v>
      </c>
      <c r="AA472" s="1" t="s">
        <v>791</v>
      </c>
      <c r="AB472" s="1" t="s">
        <v>792</v>
      </c>
      <c r="AC472" s="1" t="s">
        <v>130</v>
      </c>
      <c r="AD472" s="1" t="s">
        <v>60</v>
      </c>
      <c r="AE472" s="1" t="s">
        <v>778</v>
      </c>
    </row>
    <row r="473" spans="1:31">
      <c r="A473" s="1" t="s">
        <v>786</v>
      </c>
      <c r="B473" s="1" t="s">
        <v>959</v>
      </c>
      <c r="C473" s="60">
        <v>45877</v>
      </c>
      <c r="D473" s="1" t="s">
        <v>130</v>
      </c>
      <c r="E473" s="1" t="s">
        <v>751</v>
      </c>
      <c r="F473" s="1">
        <v>2015</v>
      </c>
      <c r="G473" s="1" t="s">
        <v>184</v>
      </c>
      <c r="H473" s="1" t="s">
        <v>27</v>
      </c>
      <c r="I473" s="1">
        <v>34</v>
      </c>
      <c r="J473" s="1">
        <v>-122</v>
      </c>
      <c r="K473" s="1">
        <v>1951</v>
      </c>
      <c r="L473" s="1">
        <v>2008</v>
      </c>
      <c r="M473" s="1">
        <f t="shared" si="8"/>
        <v>58</v>
      </c>
      <c r="N473" s="1" t="s">
        <v>623</v>
      </c>
      <c r="O473" s="1" t="s">
        <v>205</v>
      </c>
      <c r="P473" s="1" t="s">
        <v>788</v>
      </c>
      <c r="Q473" s="1" t="s">
        <v>848</v>
      </c>
      <c r="R473" s="1" t="s">
        <v>636</v>
      </c>
      <c r="S473" s="1" t="s">
        <v>71</v>
      </c>
      <c r="T473" s="1">
        <v>196</v>
      </c>
      <c r="U473" s="1" t="s">
        <v>53</v>
      </c>
      <c r="V473" s="1">
        <v>3.4</v>
      </c>
      <c r="Y473" s="1" t="s">
        <v>41</v>
      </c>
      <c r="Z473" s="1" t="s">
        <v>790</v>
      </c>
      <c r="AA473" s="1" t="s">
        <v>791</v>
      </c>
      <c r="AC473" s="1" t="s">
        <v>130</v>
      </c>
      <c r="AD473" s="1" t="s">
        <v>60</v>
      </c>
      <c r="AE473" s="1" t="s">
        <v>778</v>
      </c>
    </row>
    <row r="474" spans="1:31">
      <c r="A474" s="1" t="s">
        <v>786</v>
      </c>
      <c r="B474" s="1" t="s">
        <v>960</v>
      </c>
      <c r="C474" s="60">
        <v>45877</v>
      </c>
      <c r="D474" s="1" t="s">
        <v>130</v>
      </c>
      <c r="E474" s="1" t="s">
        <v>751</v>
      </c>
      <c r="F474" s="1">
        <v>2015</v>
      </c>
      <c r="G474" s="1" t="s">
        <v>184</v>
      </c>
      <c r="H474" s="1" t="s">
        <v>27</v>
      </c>
      <c r="I474" s="1">
        <v>34</v>
      </c>
      <c r="J474" s="1">
        <v>-122</v>
      </c>
      <c r="K474" s="1">
        <v>1951</v>
      </c>
      <c r="L474" s="1">
        <v>2008</v>
      </c>
      <c r="M474" s="1">
        <f t="shared" si="8"/>
        <v>58</v>
      </c>
      <c r="N474" s="1" t="s">
        <v>623</v>
      </c>
      <c r="O474" s="1" t="s">
        <v>205</v>
      </c>
      <c r="P474" s="1" t="s">
        <v>788</v>
      </c>
      <c r="Q474" s="1" t="s">
        <v>326</v>
      </c>
      <c r="R474" s="1" t="s">
        <v>636</v>
      </c>
      <c r="S474" s="1" t="s">
        <v>71</v>
      </c>
      <c r="T474" s="1">
        <v>74</v>
      </c>
      <c r="U474" s="1" t="s">
        <v>52</v>
      </c>
      <c r="V474" s="1">
        <v>5.6</v>
      </c>
      <c r="Y474" s="1" t="s">
        <v>41</v>
      </c>
      <c r="Z474" s="1" t="s">
        <v>790</v>
      </c>
      <c r="AA474" s="1" t="s">
        <v>791</v>
      </c>
      <c r="AC474" s="1" t="s">
        <v>130</v>
      </c>
      <c r="AD474" s="1" t="s">
        <v>60</v>
      </c>
      <c r="AE474" s="1" t="s">
        <v>778</v>
      </c>
    </row>
    <row r="475" spans="1:31">
      <c r="A475" s="1" t="s">
        <v>786</v>
      </c>
      <c r="B475" s="1" t="s">
        <v>961</v>
      </c>
      <c r="C475" s="60">
        <v>45877</v>
      </c>
      <c r="D475" s="1" t="s">
        <v>130</v>
      </c>
      <c r="E475" s="1" t="s">
        <v>751</v>
      </c>
      <c r="F475" s="1">
        <v>2015</v>
      </c>
      <c r="G475" s="1" t="s">
        <v>184</v>
      </c>
      <c r="H475" s="1" t="s">
        <v>27</v>
      </c>
      <c r="I475" s="1">
        <v>34</v>
      </c>
      <c r="J475" s="1">
        <v>-122</v>
      </c>
      <c r="K475" s="1">
        <v>1951</v>
      </c>
      <c r="L475" s="1">
        <v>2008</v>
      </c>
      <c r="M475" s="1">
        <f t="shared" si="8"/>
        <v>58</v>
      </c>
      <c r="N475" s="1" t="s">
        <v>623</v>
      </c>
      <c r="O475" s="1" t="s">
        <v>205</v>
      </c>
      <c r="P475" s="1" t="s">
        <v>788</v>
      </c>
      <c r="Q475" s="1" t="s">
        <v>324</v>
      </c>
      <c r="R475" s="1" t="s">
        <v>636</v>
      </c>
      <c r="S475" s="1" t="s">
        <v>71</v>
      </c>
      <c r="T475" s="1">
        <v>105</v>
      </c>
      <c r="U475" s="1" t="s">
        <v>52</v>
      </c>
      <c r="V475" s="1">
        <v>-0.7</v>
      </c>
      <c r="Y475" s="1" t="s">
        <v>694</v>
      </c>
      <c r="Z475" s="1" t="s">
        <v>790</v>
      </c>
      <c r="AA475" s="1" t="s">
        <v>791</v>
      </c>
      <c r="AB475" s="1" t="s">
        <v>792</v>
      </c>
      <c r="AC475" s="1" t="s">
        <v>130</v>
      </c>
      <c r="AD475" s="1" t="s">
        <v>60</v>
      </c>
      <c r="AE475" s="1" t="s">
        <v>778</v>
      </c>
    </row>
    <row r="476" spans="1:31">
      <c r="A476" s="1" t="s">
        <v>786</v>
      </c>
      <c r="B476" s="1" t="s">
        <v>962</v>
      </c>
      <c r="C476" s="60">
        <v>45877</v>
      </c>
      <c r="D476" s="1" t="s">
        <v>130</v>
      </c>
      <c r="E476" s="1" t="s">
        <v>751</v>
      </c>
      <c r="F476" s="1">
        <v>2015</v>
      </c>
      <c r="G476" s="1" t="s">
        <v>184</v>
      </c>
      <c r="H476" s="1" t="s">
        <v>27</v>
      </c>
      <c r="I476" s="1">
        <v>34</v>
      </c>
      <c r="J476" s="1">
        <v>-122</v>
      </c>
      <c r="K476" s="1">
        <v>1951</v>
      </c>
      <c r="L476" s="1">
        <v>2008</v>
      </c>
      <c r="M476" s="1">
        <f t="shared" ref="M476:M507" si="9">L476-K476+1</f>
        <v>58</v>
      </c>
      <c r="N476" s="1" t="s">
        <v>623</v>
      </c>
      <c r="O476" s="1" t="s">
        <v>205</v>
      </c>
      <c r="P476" s="1" t="s">
        <v>788</v>
      </c>
      <c r="Q476" s="1" t="s">
        <v>325</v>
      </c>
      <c r="R476" s="1" t="s">
        <v>636</v>
      </c>
      <c r="S476" s="1" t="s">
        <v>71</v>
      </c>
      <c r="T476" s="1">
        <v>74</v>
      </c>
      <c r="U476" s="1" t="s">
        <v>52</v>
      </c>
      <c r="V476" s="1">
        <v>-1.8</v>
      </c>
      <c r="Y476" s="1" t="s">
        <v>694</v>
      </c>
      <c r="Z476" s="1" t="s">
        <v>790</v>
      </c>
      <c r="AA476" s="1" t="s">
        <v>791</v>
      </c>
      <c r="AB476" s="1" t="s">
        <v>792</v>
      </c>
      <c r="AC476" s="1" t="s">
        <v>130</v>
      </c>
      <c r="AD476" s="1" t="s">
        <v>60</v>
      </c>
      <c r="AE476" s="1" t="s">
        <v>778</v>
      </c>
    </row>
    <row r="477" spans="1:31">
      <c r="A477" s="1" t="s">
        <v>1029</v>
      </c>
      <c r="B477" s="1" t="s">
        <v>1028</v>
      </c>
      <c r="C477" s="60">
        <v>45880</v>
      </c>
      <c r="D477" s="1" t="s">
        <v>130</v>
      </c>
      <c r="E477" s="1" t="s">
        <v>74</v>
      </c>
      <c r="F477" s="1">
        <v>2015</v>
      </c>
      <c r="G477" s="1" t="s">
        <v>1030</v>
      </c>
      <c r="H477" s="1" t="s">
        <v>147</v>
      </c>
      <c r="I477" s="1">
        <v>50.25</v>
      </c>
      <c r="J477" s="1">
        <v>-4.2169999999999996</v>
      </c>
      <c r="K477" s="1">
        <v>1988</v>
      </c>
      <c r="L477" s="1">
        <v>2012</v>
      </c>
      <c r="M477" s="1">
        <f t="shared" si="9"/>
        <v>25</v>
      </c>
      <c r="N477" s="1" t="s">
        <v>30</v>
      </c>
      <c r="O477" s="1" t="s">
        <v>199</v>
      </c>
      <c r="P477" s="1" t="s">
        <v>1016</v>
      </c>
      <c r="Q477" s="1" t="s">
        <v>1024</v>
      </c>
      <c r="R477" s="1" t="s">
        <v>1025</v>
      </c>
      <c r="S477" s="1" t="s">
        <v>71</v>
      </c>
      <c r="T477" s="1" t="s">
        <v>40</v>
      </c>
      <c r="U477" s="1" t="s">
        <v>40</v>
      </c>
      <c r="V477" s="1">
        <f>((26.5-28.3)*7)/(M477/10)</f>
        <v>-5.0400000000000018</v>
      </c>
      <c r="Y477" s="1" t="s">
        <v>694</v>
      </c>
      <c r="AA477" s="1" t="s">
        <v>1340</v>
      </c>
      <c r="AB477" s="1" t="s">
        <v>1026</v>
      </c>
    </row>
    <row r="478" spans="1:31">
      <c r="A478" s="1" t="s">
        <v>1029</v>
      </c>
      <c r="B478" s="1" t="s">
        <v>1028</v>
      </c>
      <c r="C478" s="60">
        <v>45880</v>
      </c>
      <c r="D478" s="1" t="s">
        <v>130</v>
      </c>
      <c r="E478" s="1" t="s">
        <v>74</v>
      </c>
      <c r="F478" s="1">
        <v>2015</v>
      </c>
      <c r="G478" s="1" t="s">
        <v>1030</v>
      </c>
      <c r="H478" s="1" t="s">
        <v>147</v>
      </c>
      <c r="I478" s="1">
        <v>50.25</v>
      </c>
      <c r="J478" s="1">
        <v>-4.2169999999999996</v>
      </c>
      <c r="K478" s="1">
        <v>1988</v>
      </c>
      <c r="L478" s="1">
        <v>2012</v>
      </c>
      <c r="M478" s="1">
        <f t="shared" si="9"/>
        <v>25</v>
      </c>
      <c r="N478" s="1" t="s">
        <v>30</v>
      </c>
      <c r="O478" s="1" t="s">
        <v>199</v>
      </c>
      <c r="P478" s="1" t="s">
        <v>1014</v>
      </c>
      <c r="Q478" s="1" t="s">
        <v>111</v>
      </c>
      <c r="R478" s="1" t="s">
        <v>1025</v>
      </c>
      <c r="S478" s="1" t="s">
        <v>71</v>
      </c>
      <c r="T478" s="1" t="s">
        <v>40</v>
      </c>
      <c r="U478" s="1" t="s">
        <v>40</v>
      </c>
      <c r="V478" s="1">
        <f>((16.8-12.9)*7)/(M478/10)</f>
        <v>10.920000000000002</v>
      </c>
      <c r="Y478" s="1" t="s">
        <v>41</v>
      </c>
      <c r="AA478" s="1" t="s">
        <v>1340</v>
      </c>
      <c r="AB478" s="1" t="s">
        <v>1027</v>
      </c>
    </row>
    <row r="479" spans="1:31">
      <c r="A479" s="1" t="s">
        <v>1029</v>
      </c>
      <c r="B479" s="1" t="s">
        <v>1028</v>
      </c>
      <c r="C479" s="60">
        <v>45880</v>
      </c>
      <c r="D479" s="1" t="s">
        <v>130</v>
      </c>
      <c r="E479" s="1" t="s">
        <v>74</v>
      </c>
      <c r="F479" s="1">
        <v>2015</v>
      </c>
      <c r="G479" s="1" t="s">
        <v>1030</v>
      </c>
      <c r="H479" s="1" t="s">
        <v>147</v>
      </c>
      <c r="I479" s="1">
        <v>50.25</v>
      </c>
      <c r="J479" s="1">
        <v>-4.2169999999999996</v>
      </c>
      <c r="K479" s="1">
        <v>1988</v>
      </c>
      <c r="L479" s="1">
        <v>2012</v>
      </c>
      <c r="M479" s="1">
        <f t="shared" si="9"/>
        <v>25</v>
      </c>
      <c r="N479" s="1" t="s">
        <v>30</v>
      </c>
      <c r="O479" s="1" t="s">
        <v>199</v>
      </c>
      <c r="P479" s="1" t="s">
        <v>1014</v>
      </c>
      <c r="Q479" s="1" t="s">
        <v>1022</v>
      </c>
      <c r="R479" s="1" t="s">
        <v>1025</v>
      </c>
      <c r="S479" s="1" t="s">
        <v>71</v>
      </c>
      <c r="T479" s="1" t="s">
        <v>40</v>
      </c>
      <c r="U479" s="1" t="s">
        <v>40</v>
      </c>
      <c r="V479" s="1">
        <f>((36.7-43.2)*7)/(M479/10)</f>
        <v>-18.2</v>
      </c>
      <c r="Y479" s="1" t="s">
        <v>694</v>
      </c>
      <c r="AA479" s="1" t="s">
        <v>1340</v>
      </c>
      <c r="AB479" s="1" t="s">
        <v>1027</v>
      </c>
    </row>
    <row r="480" spans="1:31">
      <c r="A480" s="1" t="s">
        <v>1029</v>
      </c>
      <c r="B480" s="1" t="s">
        <v>1028</v>
      </c>
      <c r="C480" s="60">
        <v>45880</v>
      </c>
      <c r="D480" s="1" t="s">
        <v>130</v>
      </c>
      <c r="E480" s="1" t="s">
        <v>74</v>
      </c>
      <c r="F480" s="1">
        <v>2015</v>
      </c>
      <c r="G480" s="1" t="s">
        <v>1030</v>
      </c>
      <c r="H480" s="1" t="s">
        <v>147</v>
      </c>
      <c r="I480" s="1">
        <v>50.25</v>
      </c>
      <c r="J480" s="1">
        <v>-4.2169999999999996</v>
      </c>
      <c r="K480" s="1">
        <v>1988</v>
      </c>
      <c r="L480" s="1">
        <v>2012</v>
      </c>
      <c r="M480" s="1">
        <f t="shared" si="9"/>
        <v>25</v>
      </c>
      <c r="N480" s="1" t="s">
        <v>30</v>
      </c>
      <c r="O480" s="1" t="s">
        <v>199</v>
      </c>
      <c r="P480" s="1" t="s">
        <v>1014</v>
      </c>
      <c r="Q480" s="1" t="s">
        <v>1023</v>
      </c>
      <c r="R480" s="1" t="s">
        <v>1025</v>
      </c>
      <c r="S480" s="1" t="s">
        <v>71</v>
      </c>
      <c r="T480" s="1" t="s">
        <v>40</v>
      </c>
      <c r="U480" s="1" t="s">
        <v>40</v>
      </c>
      <c r="V480" s="1">
        <f>((19.3-26.8)*7)/(M480/10)</f>
        <v>-21</v>
      </c>
      <c r="Y480" s="1" t="s">
        <v>694</v>
      </c>
      <c r="AA480" s="1" t="s">
        <v>1340</v>
      </c>
      <c r="AB480" s="1" t="s">
        <v>1027</v>
      </c>
    </row>
    <row r="481" spans="1:31">
      <c r="A481" s="1" t="s">
        <v>1029</v>
      </c>
      <c r="B481" s="1" t="s">
        <v>1028</v>
      </c>
      <c r="C481" s="60">
        <v>45880</v>
      </c>
      <c r="D481" s="1" t="s">
        <v>130</v>
      </c>
      <c r="E481" s="1" t="s">
        <v>74</v>
      </c>
      <c r="F481" s="1">
        <v>2015</v>
      </c>
      <c r="G481" s="1" t="s">
        <v>1030</v>
      </c>
      <c r="H481" s="1" t="s">
        <v>147</v>
      </c>
      <c r="I481" s="1">
        <v>50.25</v>
      </c>
      <c r="J481" s="1">
        <v>-4.2169999999999996</v>
      </c>
      <c r="K481" s="1">
        <v>1988</v>
      </c>
      <c r="L481" s="1">
        <v>2012</v>
      </c>
      <c r="M481" s="1">
        <f t="shared" si="9"/>
        <v>25</v>
      </c>
      <c r="N481" s="1" t="s">
        <v>30</v>
      </c>
      <c r="O481" s="1" t="s">
        <v>199</v>
      </c>
      <c r="P481" s="1" t="s">
        <v>1014</v>
      </c>
      <c r="Q481" s="1" t="s">
        <v>109</v>
      </c>
      <c r="R481" s="1" t="s">
        <v>1025</v>
      </c>
      <c r="S481" s="1" t="s">
        <v>71</v>
      </c>
      <c r="T481" s="1" t="s">
        <v>40</v>
      </c>
      <c r="U481" s="1" t="s">
        <v>40</v>
      </c>
      <c r="V481" s="1">
        <f>((19.3-32.9)*7)/(M481/10)</f>
        <v>-38.08</v>
      </c>
      <c r="Y481" s="1" t="s">
        <v>694</v>
      </c>
      <c r="AA481" s="1" t="s">
        <v>1340</v>
      </c>
      <c r="AB481" s="1" t="s">
        <v>1027</v>
      </c>
    </row>
    <row r="482" spans="1:31">
      <c r="A482" s="1" t="s">
        <v>1029</v>
      </c>
      <c r="B482" s="1" t="s">
        <v>1028</v>
      </c>
      <c r="C482" s="60">
        <v>45880</v>
      </c>
      <c r="D482" s="1" t="s">
        <v>130</v>
      </c>
      <c r="E482" s="1" t="s">
        <v>74</v>
      </c>
      <c r="F482" s="1">
        <v>2015</v>
      </c>
      <c r="G482" s="1" t="s">
        <v>1030</v>
      </c>
      <c r="H482" s="1" t="s">
        <v>147</v>
      </c>
      <c r="I482" s="1">
        <v>50.25</v>
      </c>
      <c r="J482" s="1">
        <v>-4.2169999999999996</v>
      </c>
      <c r="K482" s="1">
        <v>1988</v>
      </c>
      <c r="L482" s="1">
        <v>2012</v>
      </c>
      <c r="M482" s="1">
        <f t="shared" si="9"/>
        <v>25</v>
      </c>
      <c r="N482" s="1" t="s">
        <v>30</v>
      </c>
      <c r="O482" s="1" t="s">
        <v>199</v>
      </c>
      <c r="P482" s="1" t="s">
        <v>98</v>
      </c>
      <c r="R482" s="1" t="s">
        <v>1025</v>
      </c>
      <c r="S482" s="1" t="s">
        <v>71</v>
      </c>
      <c r="T482" s="1" t="s">
        <v>40</v>
      </c>
      <c r="U482" s="1" t="s">
        <v>40</v>
      </c>
      <c r="V482" s="1">
        <f>((22.4-27.8)*7)/(M482/10)</f>
        <v>-15.120000000000005</v>
      </c>
      <c r="Y482" s="1" t="s">
        <v>694</v>
      </c>
      <c r="AA482" s="1" t="s">
        <v>1340</v>
      </c>
      <c r="AB482" s="1" t="s">
        <v>1026</v>
      </c>
    </row>
    <row r="483" spans="1:31">
      <c r="A483" s="1" t="s">
        <v>1029</v>
      </c>
      <c r="B483" s="1" t="s">
        <v>1028</v>
      </c>
      <c r="C483" s="60">
        <v>45880</v>
      </c>
      <c r="D483" s="1" t="s">
        <v>130</v>
      </c>
      <c r="E483" s="1" t="s">
        <v>74</v>
      </c>
      <c r="F483" s="1">
        <v>2015</v>
      </c>
      <c r="G483" s="1" t="s">
        <v>1030</v>
      </c>
      <c r="H483" s="1" t="s">
        <v>147</v>
      </c>
      <c r="I483" s="1">
        <v>50.25</v>
      </c>
      <c r="J483" s="1">
        <v>-4.2169999999999996</v>
      </c>
      <c r="K483" s="1">
        <v>1988</v>
      </c>
      <c r="L483" s="1">
        <v>2012</v>
      </c>
      <c r="M483" s="1">
        <f t="shared" si="9"/>
        <v>25</v>
      </c>
      <c r="N483" s="1" t="s">
        <v>30</v>
      </c>
      <c r="O483" s="1" t="s">
        <v>199</v>
      </c>
      <c r="P483" s="1" t="s">
        <v>1015</v>
      </c>
      <c r="Q483" s="1" t="s">
        <v>669</v>
      </c>
      <c r="R483" s="1" t="s">
        <v>1025</v>
      </c>
      <c r="S483" s="1" t="s">
        <v>71</v>
      </c>
      <c r="T483" s="1" t="s">
        <v>40</v>
      </c>
      <c r="U483" s="1" t="s">
        <v>40</v>
      </c>
      <c r="V483" s="1">
        <f>((13.4-16.8)*7)/(M483/10)</f>
        <v>-9.5200000000000014</v>
      </c>
      <c r="Y483" s="1" t="s">
        <v>694</v>
      </c>
      <c r="AA483" s="1" t="s">
        <v>1340</v>
      </c>
      <c r="AB483" s="1" t="s">
        <v>1027</v>
      </c>
    </row>
    <row r="484" spans="1:31">
      <c r="A484" s="1" t="s">
        <v>1029</v>
      </c>
      <c r="B484" s="1" t="s">
        <v>1028</v>
      </c>
      <c r="C484" s="60">
        <v>45880</v>
      </c>
      <c r="D484" s="1" t="s">
        <v>130</v>
      </c>
      <c r="E484" s="1" t="s">
        <v>74</v>
      </c>
      <c r="F484" s="1">
        <v>2015</v>
      </c>
      <c r="G484" s="1" t="s">
        <v>1030</v>
      </c>
      <c r="H484" s="1" t="s">
        <v>147</v>
      </c>
      <c r="I484" s="1">
        <v>50.25</v>
      </c>
      <c r="J484" s="1">
        <v>-4.2169999999999996</v>
      </c>
      <c r="K484" s="1">
        <v>1988</v>
      </c>
      <c r="L484" s="1">
        <v>2012</v>
      </c>
      <c r="M484" s="1">
        <f t="shared" si="9"/>
        <v>25</v>
      </c>
      <c r="N484" s="1" t="s">
        <v>30</v>
      </c>
      <c r="O484" s="1" t="s">
        <v>199</v>
      </c>
      <c r="P484" s="1" t="s">
        <v>1015</v>
      </c>
      <c r="Q484" s="1" t="s">
        <v>274</v>
      </c>
      <c r="R484" s="1" t="s">
        <v>1025</v>
      </c>
      <c r="S484" s="1" t="s">
        <v>71</v>
      </c>
      <c r="T484" s="1" t="s">
        <v>40</v>
      </c>
      <c r="U484" s="1" t="s">
        <v>40</v>
      </c>
      <c r="V484" s="1">
        <f>((41.3-42.9)*7)/(M484/10)</f>
        <v>-4.480000000000004</v>
      </c>
      <c r="Y484" s="1" t="s">
        <v>694</v>
      </c>
      <c r="AA484" s="1" t="s">
        <v>1340</v>
      </c>
      <c r="AB484" s="1" t="s">
        <v>1027</v>
      </c>
    </row>
    <row r="485" spans="1:31">
      <c r="A485" s="1" t="s">
        <v>1029</v>
      </c>
      <c r="B485" s="47" t="s">
        <v>1880</v>
      </c>
      <c r="C485" s="60">
        <v>45880</v>
      </c>
      <c r="D485" s="1" t="s">
        <v>130</v>
      </c>
      <c r="E485" s="1" t="s">
        <v>74</v>
      </c>
      <c r="F485" s="1">
        <v>2015</v>
      </c>
      <c r="G485" s="1" t="s">
        <v>1030</v>
      </c>
      <c r="H485" s="1" t="s">
        <v>147</v>
      </c>
      <c r="I485" s="1">
        <v>50.25</v>
      </c>
      <c r="J485" s="1">
        <v>-4.2169999999999996</v>
      </c>
      <c r="K485" s="1">
        <v>1988</v>
      </c>
      <c r="L485" s="1">
        <v>2012</v>
      </c>
      <c r="M485" s="1">
        <f t="shared" si="9"/>
        <v>25</v>
      </c>
      <c r="N485" s="1" t="s">
        <v>30</v>
      </c>
      <c r="O485" s="1" t="s">
        <v>199</v>
      </c>
      <c r="P485" s="1" t="s">
        <v>1857</v>
      </c>
      <c r="Q485" s="1" t="s">
        <v>1021</v>
      </c>
      <c r="R485" s="1" t="s">
        <v>1025</v>
      </c>
      <c r="S485" s="1" t="s">
        <v>71</v>
      </c>
      <c r="T485" s="1" t="s">
        <v>40</v>
      </c>
      <c r="U485" s="1" t="s">
        <v>40</v>
      </c>
      <c r="V485" s="1">
        <f>((37.6-36)*7)/(M485/10)</f>
        <v>4.480000000000004</v>
      </c>
      <c r="Y485" s="1" t="s">
        <v>41</v>
      </c>
      <c r="AA485" s="1" t="s">
        <v>1340</v>
      </c>
      <c r="AB485" s="1" t="s">
        <v>1026</v>
      </c>
    </row>
    <row r="486" spans="1:31">
      <c r="A486" s="1" t="s">
        <v>1029</v>
      </c>
      <c r="B486" s="1" t="s">
        <v>1028</v>
      </c>
      <c r="C486" s="60">
        <v>45880</v>
      </c>
      <c r="D486" s="1" t="s">
        <v>130</v>
      </c>
      <c r="E486" s="1" t="s">
        <v>74</v>
      </c>
      <c r="F486" s="1">
        <v>2015</v>
      </c>
      <c r="G486" s="1" t="s">
        <v>1030</v>
      </c>
      <c r="H486" s="1" t="s">
        <v>147</v>
      </c>
      <c r="I486" s="1">
        <v>50.25</v>
      </c>
      <c r="J486" s="1">
        <v>-4.2169999999999996</v>
      </c>
      <c r="K486" s="1">
        <v>1988</v>
      </c>
      <c r="L486" s="1">
        <v>2012</v>
      </c>
      <c r="M486" s="1">
        <f t="shared" si="9"/>
        <v>25</v>
      </c>
      <c r="N486" s="1" t="s">
        <v>30</v>
      </c>
      <c r="O486" s="1" t="s">
        <v>205</v>
      </c>
      <c r="P486" s="1" t="s">
        <v>788</v>
      </c>
      <c r="R486" s="1" t="s">
        <v>1025</v>
      </c>
      <c r="S486" s="1" t="s">
        <v>71</v>
      </c>
      <c r="T486" s="1" t="s">
        <v>40</v>
      </c>
      <c r="U486" s="1" t="s">
        <v>40</v>
      </c>
      <c r="V486" s="1">
        <f>((14.8-26.6)*7)/(M486/10)</f>
        <v>-33.040000000000006</v>
      </c>
      <c r="Y486" s="1" t="s">
        <v>694</v>
      </c>
      <c r="AA486" s="1" t="s">
        <v>1340</v>
      </c>
      <c r="AB486" s="1" t="s">
        <v>1026</v>
      </c>
    </row>
    <row r="487" spans="1:31">
      <c r="A487" t="s">
        <v>1745</v>
      </c>
      <c r="B487" s="47" t="s">
        <v>1744</v>
      </c>
      <c r="C487" s="63">
        <v>45909</v>
      </c>
      <c r="D487" s="1" t="s">
        <v>130</v>
      </c>
      <c r="E487" s="1" t="s">
        <v>74</v>
      </c>
      <c r="F487">
        <v>2015</v>
      </c>
      <c r="G487" s="32" t="s">
        <v>1802</v>
      </c>
      <c r="H487" t="s">
        <v>147</v>
      </c>
      <c r="I487" s="21">
        <v>50.25</v>
      </c>
      <c r="J487" s="21">
        <v>-4.22</v>
      </c>
      <c r="K487" s="21">
        <v>1988</v>
      </c>
      <c r="L487" s="21">
        <v>2012</v>
      </c>
      <c r="M487" s="21">
        <f t="shared" si="9"/>
        <v>25</v>
      </c>
      <c r="N487" s="1" t="s">
        <v>623</v>
      </c>
      <c r="O487" s="62" t="s">
        <v>152</v>
      </c>
      <c r="P487" s="62" t="s">
        <v>1360</v>
      </c>
      <c r="Q487" t="s">
        <v>1746</v>
      </c>
      <c r="R487" s="62" t="s">
        <v>1805</v>
      </c>
      <c r="S487" s="62" t="s">
        <v>624</v>
      </c>
      <c r="T487"/>
      <c r="U487"/>
      <c r="V487">
        <f>12*0.0288*10</f>
        <v>3.4560000000000004</v>
      </c>
      <c r="W487"/>
      <c r="X487"/>
      <c r="Y487" t="s">
        <v>41</v>
      </c>
      <c r="Z487" s="62" t="s">
        <v>1806</v>
      </c>
      <c r="AA487" s="62" t="s">
        <v>69</v>
      </c>
      <c r="AB487" t="s">
        <v>1855</v>
      </c>
      <c r="AC487"/>
      <c r="AD487"/>
      <c r="AE487" t="s">
        <v>1807</v>
      </c>
    </row>
    <row r="488" spans="1:31">
      <c r="A488" s="1" t="s">
        <v>1745</v>
      </c>
      <c r="B488" s="26" t="s">
        <v>1744</v>
      </c>
      <c r="C488" s="60">
        <v>45909</v>
      </c>
      <c r="D488" s="1" t="s">
        <v>130</v>
      </c>
      <c r="E488" s="1" t="s">
        <v>74</v>
      </c>
      <c r="F488" s="1">
        <v>2015</v>
      </c>
      <c r="G488" s="64" t="s">
        <v>1802</v>
      </c>
      <c r="H488" s="1" t="s">
        <v>147</v>
      </c>
      <c r="I488" s="61">
        <v>50.25</v>
      </c>
      <c r="J488" s="61">
        <v>-4.22</v>
      </c>
      <c r="K488" s="61">
        <v>1988</v>
      </c>
      <c r="L488" s="61">
        <v>2012</v>
      </c>
      <c r="M488" s="61">
        <f t="shared" si="9"/>
        <v>25</v>
      </c>
      <c r="N488" s="1" t="s">
        <v>623</v>
      </c>
      <c r="O488" s="1" t="s">
        <v>199</v>
      </c>
      <c r="P488" s="1" t="s">
        <v>1886</v>
      </c>
      <c r="Q488" s="1" t="s">
        <v>1747</v>
      </c>
      <c r="R488" s="1" t="s">
        <v>1805</v>
      </c>
      <c r="S488" s="1" t="s">
        <v>624</v>
      </c>
      <c r="T488"/>
      <c r="U488"/>
      <c r="V488" s="1">
        <f>-18*0.0288*10</f>
        <v>-5.1839999999999993</v>
      </c>
      <c r="W488"/>
      <c r="X488"/>
      <c r="Y488" s="1" t="s">
        <v>694</v>
      </c>
      <c r="Z488" s="1" t="s">
        <v>1806</v>
      </c>
      <c r="AA488" s="1" t="s">
        <v>69</v>
      </c>
      <c r="AB488" s="1" t="s">
        <v>1855</v>
      </c>
      <c r="AC488"/>
      <c r="AD488"/>
      <c r="AE488" s="1" t="s">
        <v>1808</v>
      </c>
    </row>
    <row r="489" spans="1:31">
      <c r="A489" s="1" t="s">
        <v>1745</v>
      </c>
      <c r="B489" s="26" t="s">
        <v>1744</v>
      </c>
      <c r="C489" s="60">
        <v>45909</v>
      </c>
      <c r="D489" s="1" t="s">
        <v>130</v>
      </c>
      <c r="E489" s="1" t="s">
        <v>74</v>
      </c>
      <c r="F489" s="1">
        <v>2015</v>
      </c>
      <c r="G489" s="64" t="s">
        <v>1802</v>
      </c>
      <c r="H489" s="1" t="s">
        <v>147</v>
      </c>
      <c r="I489" s="61">
        <v>50.25</v>
      </c>
      <c r="J489" s="61">
        <v>-4.22</v>
      </c>
      <c r="K489" s="61">
        <v>1988</v>
      </c>
      <c r="L489" s="61">
        <v>2012</v>
      </c>
      <c r="M489" s="61">
        <f t="shared" si="9"/>
        <v>25</v>
      </c>
      <c r="N489" s="1" t="s">
        <v>623</v>
      </c>
      <c r="O489" s="1" t="s">
        <v>199</v>
      </c>
      <c r="P489" s="1" t="s">
        <v>1886</v>
      </c>
      <c r="Q489" s="1" t="s">
        <v>1748</v>
      </c>
      <c r="R489" s="1" t="s">
        <v>1805</v>
      </c>
      <c r="S489" s="1" t="s">
        <v>624</v>
      </c>
      <c r="T489"/>
      <c r="U489"/>
      <c r="V489" s="1">
        <f>-13*0.0288*10</f>
        <v>-3.7440000000000002</v>
      </c>
      <c r="W489"/>
      <c r="X489"/>
      <c r="Y489" s="1" t="s">
        <v>694</v>
      </c>
      <c r="Z489" s="1" t="s">
        <v>1806</v>
      </c>
      <c r="AA489" s="1" t="s">
        <v>69</v>
      </c>
      <c r="AB489" s="1" t="s">
        <v>1855</v>
      </c>
      <c r="AC489"/>
      <c r="AD489"/>
      <c r="AE489" s="1" t="s">
        <v>1809</v>
      </c>
    </row>
    <row r="490" spans="1:31">
      <c r="A490" t="s">
        <v>1745</v>
      </c>
      <c r="B490" s="47" t="s">
        <v>1744</v>
      </c>
      <c r="C490" s="63">
        <v>45909</v>
      </c>
      <c r="D490" s="1" t="s">
        <v>130</v>
      </c>
      <c r="E490" s="1" t="s">
        <v>74</v>
      </c>
      <c r="F490">
        <v>2015</v>
      </c>
      <c r="G490" s="32" t="s">
        <v>1802</v>
      </c>
      <c r="H490" t="s">
        <v>147</v>
      </c>
      <c r="I490" s="21">
        <v>50.25</v>
      </c>
      <c r="J490" s="21">
        <v>-4.22</v>
      </c>
      <c r="K490" s="21">
        <v>1988</v>
      </c>
      <c r="L490" s="21">
        <v>2012</v>
      </c>
      <c r="M490" s="21">
        <f t="shared" si="9"/>
        <v>25</v>
      </c>
      <c r="N490" s="1" t="s">
        <v>623</v>
      </c>
      <c r="O490" s="62" t="s">
        <v>152</v>
      </c>
      <c r="P490" s="62" t="s">
        <v>152</v>
      </c>
      <c r="Q490" t="s">
        <v>1749</v>
      </c>
      <c r="R490" s="62" t="s">
        <v>1805</v>
      </c>
      <c r="S490" s="62" t="s">
        <v>624</v>
      </c>
      <c r="T490"/>
      <c r="U490"/>
      <c r="V490" s="1">
        <f>-15*0.0288*10</f>
        <v>-4.32</v>
      </c>
      <c r="W490"/>
      <c r="X490"/>
      <c r="Y490" t="s">
        <v>694</v>
      </c>
      <c r="Z490" s="62" t="s">
        <v>1806</v>
      </c>
      <c r="AA490" s="62" t="s">
        <v>69</v>
      </c>
      <c r="AB490" t="s">
        <v>1855</v>
      </c>
      <c r="AC490"/>
      <c r="AD490"/>
      <c r="AE490" t="s">
        <v>1810</v>
      </c>
    </row>
    <row r="491" spans="1:31">
      <c r="A491" t="s">
        <v>1745</v>
      </c>
      <c r="B491" s="47" t="s">
        <v>1744</v>
      </c>
      <c r="C491" s="63">
        <v>45909</v>
      </c>
      <c r="D491" s="1" t="s">
        <v>130</v>
      </c>
      <c r="E491" s="1" t="s">
        <v>74</v>
      </c>
      <c r="F491">
        <v>2015</v>
      </c>
      <c r="G491" s="32" t="s">
        <v>1802</v>
      </c>
      <c r="H491" t="s">
        <v>147</v>
      </c>
      <c r="I491" s="21">
        <v>50.25</v>
      </c>
      <c r="J491" s="21">
        <v>-4.22</v>
      </c>
      <c r="K491" s="21">
        <v>1988</v>
      </c>
      <c r="L491" s="21">
        <v>2012</v>
      </c>
      <c r="M491" s="21">
        <f t="shared" si="9"/>
        <v>25</v>
      </c>
      <c r="N491" s="1" t="s">
        <v>623</v>
      </c>
      <c r="O491" s="62" t="s">
        <v>152</v>
      </c>
      <c r="P491" s="62" t="s">
        <v>217</v>
      </c>
      <c r="Q491" t="s">
        <v>1750</v>
      </c>
      <c r="R491" s="62" t="s">
        <v>1805</v>
      </c>
      <c r="S491" s="62" t="s">
        <v>624</v>
      </c>
      <c r="T491"/>
      <c r="U491"/>
      <c r="V491">
        <f>-8*0.0288*10</f>
        <v>-2.3039999999999998</v>
      </c>
      <c r="W491"/>
      <c r="X491"/>
      <c r="Y491" t="s">
        <v>694</v>
      </c>
      <c r="Z491" s="62" t="s">
        <v>1806</v>
      </c>
      <c r="AA491" s="62" t="s">
        <v>69</v>
      </c>
      <c r="AB491" t="s">
        <v>1855</v>
      </c>
      <c r="AC491"/>
      <c r="AD491"/>
      <c r="AE491" t="s">
        <v>1811</v>
      </c>
    </row>
    <row r="492" spans="1:31">
      <c r="A492" t="s">
        <v>1745</v>
      </c>
      <c r="B492" s="47" t="s">
        <v>1744</v>
      </c>
      <c r="C492" s="63">
        <v>45909</v>
      </c>
      <c r="D492" s="1" t="s">
        <v>130</v>
      </c>
      <c r="E492" s="1" t="s">
        <v>74</v>
      </c>
      <c r="F492">
        <v>2015</v>
      </c>
      <c r="G492" s="32" t="s">
        <v>1802</v>
      </c>
      <c r="H492" t="s">
        <v>147</v>
      </c>
      <c r="I492" s="21">
        <v>50.25</v>
      </c>
      <c r="J492" s="21">
        <v>-4.22</v>
      </c>
      <c r="K492" s="21">
        <v>1988</v>
      </c>
      <c r="L492" s="21">
        <v>2012</v>
      </c>
      <c r="M492" s="21">
        <f t="shared" si="9"/>
        <v>25</v>
      </c>
      <c r="N492" s="1" t="s">
        <v>623</v>
      </c>
      <c r="O492" s="62" t="s">
        <v>152</v>
      </c>
      <c r="P492" s="62" t="s">
        <v>152</v>
      </c>
      <c r="Q492" t="s">
        <v>1751</v>
      </c>
      <c r="R492" s="62" t="s">
        <v>1805</v>
      </c>
      <c r="S492" s="62" t="s">
        <v>624</v>
      </c>
      <c r="T492"/>
      <c r="U492"/>
      <c r="V492" s="1">
        <f>4*0.0288*10</f>
        <v>1.1519999999999999</v>
      </c>
      <c r="W492"/>
      <c r="X492"/>
      <c r="Y492" t="s">
        <v>41</v>
      </c>
      <c r="Z492" s="62" t="s">
        <v>1806</v>
      </c>
      <c r="AA492" s="62" t="s">
        <v>69</v>
      </c>
      <c r="AB492" t="s">
        <v>1855</v>
      </c>
      <c r="AC492"/>
      <c r="AD492"/>
      <c r="AE492" t="s">
        <v>1812</v>
      </c>
    </row>
    <row r="493" spans="1:31">
      <c r="A493" t="s">
        <v>1745</v>
      </c>
      <c r="B493" s="47" t="s">
        <v>1744</v>
      </c>
      <c r="C493" s="63">
        <v>45909</v>
      </c>
      <c r="D493" s="1" t="s">
        <v>130</v>
      </c>
      <c r="E493" s="1" t="s">
        <v>74</v>
      </c>
      <c r="F493">
        <v>2015</v>
      </c>
      <c r="G493" s="32" t="s">
        <v>1802</v>
      </c>
      <c r="H493" t="s">
        <v>147</v>
      </c>
      <c r="I493" s="21">
        <v>50.25</v>
      </c>
      <c r="J493" s="21">
        <v>-4.22</v>
      </c>
      <c r="K493" s="21">
        <v>1988</v>
      </c>
      <c r="L493" s="21">
        <v>2012</v>
      </c>
      <c r="M493" s="21">
        <f t="shared" si="9"/>
        <v>25</v>
      </c>
      <c r="N493" s="1" t="s">
        <v>623</v>
      </c>
      <c r="O493" t="s">
        <v>152</v>
      </c>
      <c r="P493" s="62" t="s">
        <v>1177</v>
      </c>
      <c r="Q493" t="s">
        <v>1752</v>
      </c>
      <c r="R493" s="62" t="s">
        <v>1805</v>
      </c>
      <c r="S493" s="62" t="s">
        <v>624</v>
      </c>
      <c r="T493"/>
      <c r="U493"/>
      <c r="V493">
        <f>24*0.0288*10</f>
        <v>6.9120000000000008</v>
      </c>
      <c r="W493"/>
      <c r="X493"/>
      <c r="Y493" t="s">
        <v>41</v>
      </c>
      <c r="Z493" s="62" t="s">
        <v>1806</v>
      </c>
      <c r="AA493" s="62" t="s">
        <v>69</v>
      </c>
      <c r="AB493" t="s">
        <v>1855</v>
      </c>
      <c r="AC493"/>
      <c r="AD493"/>
      <c r="AE493" t="s">
        <v>1813</v>
      </c>
    </row>
    <row r="494" spans="1:31">
      <c r="A494" s="1" t="s">
        <v>1745</v>
      </c>
      <c r="B494" s="26" t="s">
        <v>1744</v>
      </c>
      <c r="C494" s="60">
        <v>45909</v>
      </c>
      <c r="D494" s="1" t="s">
        <v>130</v>
      </c>
      <c r="E494" s="1" t="s">
        <v>74</v>
      </c>
      <c r="F494" s="1">
        <v>2015</v>
      </c>
      <c r="G494" s="64" t="s">
        <v>1802</v>
      </c>
      <c r="H494" s="1" t="s">
        <v>147</v>
      </c>
      <c r="I494" s="61">
        <v>50.25</v>
      </c>
      <c r="J494" s="61">
        <v>-4.22</v>
      </c>
      <c r="K494" s="61">
        <v>1988</v>
      </c>
      <c r="L494" s="61">
        <v>2012</v>
      </c>
      <c r="M494" s="61">
        <f t="shared" si="9"/>
        <v>25</v>
      </c>
      <c r="N494" s="1" t="s">
        <v>623</v>
      </c>
      <c r="O494" s="1" t="s">
        <v>199</v>
      </c>
      <c r="P494" s="1" t="s">
        <v>1886</v>
      </c>
      <c r="Q494" s="1" t="s">
        <v>1754</v>
      </c>
      <c r="R494" s="1" t="s">
        <v>1805</v>
      </c>
      <c r="S494" s="1" t="s">
        <v>624</v>
      </c>
      <c r="T494"/>
      <c r="U494"/>
      <c r="V494" s="1">
        <f>1*0.0288*10</f>
        <v>0.28799999999999998</v>
      </c>
      <c r="W494"/>
      <c r="X494"/>
      <c r="Y494" s="1" t="s">
        <v>41</v>
      </c>
      <c r="Z494" s="1" t="s">
        <v>1806</v>
      </c>
      <c r="AA494" s="1" t="s">
        <v>69</v>
      </c>
      <c r="AB494" s="1" t="s">
        <v>1855</v>
      </c>
      <c r="AC494"/>
      <c r="AD494"/>
      <c r="AE494" s="1" t="s">
        <v>1815</v>
      </c>
    </row>
    <row r="495" spans="1:31">
      <c r="A495" s="1" t="s">
        <v>1745</v>
      </c>
      <c r="B495" s="26" t="s">
        <v>1744</v>
      </c>
      <c r="C495" s="60">
        <v>45909</v>
      </c>
      <c r="D495" s="1" t="s">
        <v>130</v>
      </c>
      <c r="E495" s="1" t="s">
        <v>74</v>
      </c>
      <c r="F495" s="1">
        <v>2015</v>
      </c>
      <c r="G495" s="64" t="s">
        <v>1802</v>
      </c>
      <c r="H495" s="1" t="s">
        <v>147</v>
      </c>
      <c r="I495" s="61">
        <v>50.25</v>
      </c>
      <c r="J495" s="61">
        <v>-4.22</v>
      </c>
      <c r="K495" s="61">
        <v>1988</v>
      </c>
      <c r="L495" s="61">
        <v>2012</v>
      </c>
      <c r="M495" s="61">
        <f t="shared" si="9"/>
        <v>25</v>
      </c>
      <c r="N495" s="1" t="s">
        <v>623</v>
      </c>
      <c r="O495" s="1" t="s">
        <v>199</v>
      </c>
      <c r="P495" s="1" t="s">
        <v>1886</v>
      </c>
      <c r="Q495" s="1" t="s">
        <v>1755</v>
      </c>
      <c r="R495" s="1" t="s">
        <v>1805</v>
      </c>
      <c r="S495" s="1" t="s">
        <v>624</v>
      </c>
      <c r="T495"/>
      <c r="U495"/>
      <c r="V495" s="1">
        <f>-4*0.0288*10</f>
        <v>-1.1519999999999999</v>
      </c>
      <c r="W495"/>
      <c r="X495"/>
      <c r="Y495" s="1" t="s">
        <v>694</v>
      </c>
      <c r="Z495" s="1" t="s">
        <v>1806</v>
      </c>
      <c r="AA495" s="1" t="s">
        <v>69</v>
      </c>
      <c r="AB495" s="1" t="s">
        <v>1855</v>
      </c>
      <c r="AC495"/>
      <c r="AD495"/>
      <c r="AE495" s="1" t="s">
        <v>1816</v>
      </c>
    </row>
    <row r="496" spans="1:31">
      <c r="A496" s="1" t="s">
        <v>1745</v>
      </c>
      <c r="B496" s="26" t="s">
        <v>1744</v>
      </c>
      <c r="C496" s="60">
        <v>45909</v>
      </c>
      <c r="D496" s="1" t="s">
        <v>130</v>
      </c>
      <c r="E496" s="1" t="s">
        <v>74</v>
      </c>
      <c r="F496" s="1">
        <v>2015</v>
      </c>
      <c r="G496" s="64" t="s">
        <v>1802</v>
      </c>
      <c r="H496" s="1" t="s">
        <v>147</v>
      </c>
      <c r="I496" s="61">
        <v>50.25</v>
      </c>
      <c r="J496" s="61">
        <v>-4.22</v>
      </c>
      <c r="K496" s="61">
        <v>1988</v>
      </c>
      <c r="L496" s="61">
        <v>2012</v>
      </c>
      <c r="M496" s="61">
        <f t="shared" si="9"/>
        <v>25</v>
      </c>
      <c r="N496" s="1" t="s">
        <v>623</v>
      </c>
      <c r="O496" s="1" t="s">
        <v>199</v>
      </c>
      <c r="P496" s="1" t="s">
        <v>1886</v>
      </c>
      <c r="Q496" s="1" t="s">
        <v>1756</v>
      </c>
      <c r="R496" s="1" t="s">
        <v>1805</v>
      </c>
      <c r="S496" s="1" t="s">
        <v>624</v>
      </c>
      <c r="T496"/>
      <c r="U496"/>
      <c r="V496" s="1">
        <f>-13*0.0288*10</f>
        <v>-3.7440000000000002</v>
      </c>
      <c r="W496"/>
      <c r="X496"/>
      <c r="Y496" s="1" t="s">
        <v>694</v>
      </c>
      <c r="Z496" s="1" t="s">
        <v>1806</v>
      </c>
      <c r="AA496" s="1" t="s">
        <v>69</v>
      </c>
      <c r="AB496" s="1" t="s">
        <v>1855</v>
      </c>
      <c r="AC496"/>
      <c r="AD496"/>
      <c r="AE496" s="1" t="s">
        <v>1809</v>
      </c>
    </row>
    <row r="497" spans="1:31">
      <c r="A497" s="1" t="s">
        <v>1745</v>
      </c>
      <c r="B497" s="26" t="s">
        <v>1744</v>
      </c>
      <c r="C497" s="60">
        <v>45909</v>
      </c>
      <c r="D497" s="1" t="s">
        <v>130</v>
      </c>
      <c r="E497" s="1" t="s">
        <v>74</v>
      </c>
      <c r="F497" s="1">
        <v>2015</v>
      </c>
      <c r="G497" s="64" t="s">
        <v>1802</v>
      </c>
      <c r="H497" s="1" t="s">
        <v>147</v>
      </c>
      <c r="I497" s="61">
        <v>50.25</v>
      </c>
      <c r="J497" s="61">
        <v>-4.22</v>
      </c>
      <c r="K497" s="61">
        <v>1988</v>
      </c>
      <c r="L497" s="61">
        <v>2012</v>
      </c>
      <c r="M497" s="61">
        <f t="shared" si="9"/>
        <v>25</v>
      </c>
      <c r="N497" s="1" t="s">
        <v>623</v>
      </c>
      <c r="O497" s="1" t="s">
        <v>199</v>
      </c>
      <c r="P497" s="1" t="s">
        <v>1886</v>
      </c>
      <c r="Q497" s="1" t="s">
        <v>1757</v>
      </c>
      <c r="R497" s="1" t="s">
        <v>1805</v>
      </c>
      <c r="S497" s="1" t="s">
        <v>624</v>
      </c>
      <c r="T497"/>
      <c r="U497"/>
      <c r="V497" s="1">
        <f>-8*0.0288*10</f>
        <v>-2.3039999999999998</v>
      </c>
      <c r="W497"/>
      <c r="X497"/>
      <c r="Y497" s="1" t="s">
        <v>694</v>
      </c>
      <c r="Z497" s="1" t="s">
        <v>1806</v>
      </c>
      <c r="AA497" s="1" t="s">
        <v>69</v>
      </c>
      <c r="AB497" s="1" t="s">
        <v>1855</v>
      </c>
      <c r="AC497"/>
      <c r="AD497"/>
      <c r="AE497" s="1" t="s">
        <v>1809</v>
      </c>
    </row>
    <row r="498" spans="1:31">
      <c r="A498" s="1" t="s">
        <v>1745</v>
      </c>
      <c r="B498" s="26" t="s">
        <v>1744</v>
      </c>
      <c r="C498" s="60">
        <v>45909</v>
      </c>
      <c r="D498" s="1" t="s">
        <v>130</v>
      </c>
      <c r="E498" s="1" t="s">
        <v>74</v>
      </c>
      <c r="F498" s="1">
        <v>2015</v>
      </c>
      <c r="G498" s="64" t="s">
        <v>1802</v>
      </c>
      <c r="H498" s="1" t="s">
        <v>147</v>
      </c>
      <c r="I498" s="61">
        <v>50.25</v>
      </c>
      <c r="J498" s="61">
        <v>-4.22</v>
      </c>
      <c r="K498" s="61">
        <v>1988</v>
      </c>
      <c r="L498" s="61">
        <v>2012</v>
      </c>
      <c r="M498" s="61">
        <f t="shared" si="9"/>
        <v>25</v>
      </c>
      <c r="N498" s="1" t="s">
        <v>623</v>
      </c>
      <c r="O498" s="1" t="s">
        <v>199</v>
      </c>
      <c r="P498" s="1" t="s">
        <v>1886</v>
      </c>
      <c r="Q498" s="1" t="s">
        <v>1758</v>
      </c>
      <c r="R498" s="1" t="s">
        <v>1805</v>
      </c>
      <c r="S498" s="1" t="s">
        <v>624</v>
      </c>
      <c r="V498" s="1">
        <f>-72*0.0288*10</f>
        <v>-20.735999999999997</v>
      </c>
      <c r="Y498" s="1" t="s">
        <v>694</v>
      </c>
      <c r="Z498" s="1" t="s">
        <v>1806</v>
      </c>
      <c r="AA498" s="1" t="s">
        <v>69</v>
      </c>
      <c r="AB498" s="1" t="s">
        <v>1855</v>
      </c>
      <c r="AE498" s="1" t="s">
        <v>1817</v>
      </c>
    </row>
    <row r="499" spans="1:31">
      <c r="A499" s="1" t="s">
        <v>1745</v>
      </c>
      <c r="B499" s="26" t="s">
        <v>1744</v>
      </c>
      <c r="C499" s="60">
        <v>45909</v>
      </c>
      <c r="D499" s="1" t="s">
        <v>130</v>
      </c>
      <c r="E499" s="1" t="s">
        <v>74</v>
      </c>
      <c r="F499" s="1">
        <v>2015</v>
      </c>
      <c r="G499" s="64" t="s">
        <v>1802</v>
      </c>
      <c r="H499" s="1" t="s">
        <v>147</v>
      </c>
      <c r="I499" s="61">
        <v>50.25</v>
      </c>
      <c r="J499" s="61">
        <v>-4.22</v>
      </c>
      <c r="K499" s="61">
        <v>1988</v>
      </c>
      <c r="L499" s="61">
        <v>2012</v>
      </c>
      <c r="M499" s="61">
        <f t="shared" si="9"/>
        <v>25</v>
      </c>
      <c r="N499" s="1" t="s">
        <v>623</v>
      </c>
      <c r="O499" s="1" t="s">
        <v>199</v>
      </c>
      <c r="P499" s="1" t="s">
        <v>1078</v>
      </c>
      <c r="Q499" s="1" t="s">
        <v>1759</v>
      </c>
      <c r="R499" s="1" t="s">
        <v>1805</v>
      </c>
      <c r="S499" s="1" t="s">
        <v>624</v>
      </c>
      <c r="V499" s="1">
        <f>-7*0.0288*10</f>
        <v>-2.016</v>
      </c>
      <c r="Y499" s="1" t="s">
        <v>694</v>
      </c>
      <c r="Z499" s="1" t="s">
        <v>1806</v>
      </c>
      <c r="AA499" s="1" t="s">
        <v>69</v>
      </c>
      <c r="AB499" s="1" t="s">
        <v>1855</v>
      </c>
      <c r="AE499" s="1" t="s">
        <v>1818</v>
      </c>
    </row>
    <row r="500" spans="1:31">
      <c r="A500" s="1" t="s">
        <v>1745</v>
      </c>
      <c r="B500" s="26" t="s">
        <v>1744</v>
      </c>
      <c r="C500" s="60">
        <v>45909</v>
      </c>
      <c r="D500" s="1" t="s">
        <v>130</v>
      </c>
      <c r="E500" s="1" t="s">
        <v>74</v>
      </c>
      <c r="F500" s="1">
        <v>2015</v>
      </c>
      <c r="G500" s="64" t="s">
        <v>1802</v>
      </c>
      <c r="H500" s="1" t="s">
        <v>147</v>
      </c>
      <c r="I500" s="61">
        <v>50.25</v>
      </c>
      <c r="J500" s="61">
        <v>-4.22</v>
      </c>
      <c r="K500" s="61">
        <v>1988</v>
      </c>
      <c r="L500" s="61">
        <v>2012</v>
      </c>
      <c r="M500" s="61">
        <f t="shared" si="9"/>
        <v>25</v>
      </c>
      <c r="N500" s="1" t="s">
        <v>623</v>
      </c>
      <c r="O500" s="1" t="s">
        <v>199</v>
      </c>
      <c r="P500" s="1" t="s">
        <v>1078</v>
      </c>
      <c r="Q500" s="1" t="s">
        <v>1760</v>
      </c>
      <c r="R500" s="1" t="s">
        <v>1805</v>
      </c>
      <c r="S500" s="1" t="s">
        <v>624</v>
      </c>
      <c r="V500" s="1">
        <f>-39*0.0288*10</f>
        <v>-11.231999999999999</v>
      </c>
      <c r="Y500" s="1" t="s">
        <v>694</v>
      </c>
      <c r="Z500" s="1" t="s">
        <v>1806</v>
      </c>
      <c r="AA500" s="1" t="s">
        <v>69</v>
      </c>
      <c r="AB500" s="1" t="s">
        <v>1855</v>
      </c>
      <c r="AE500" s="1" t="s">
        <v>1819</v>
      </c>
    </row>
    <row r="501" spans="1:31">
      <c r="A501" s="1" t="s">
        <v>1745</v>
      </c>
      <c r="B501" s="26" t="s">
        <v>1744</v>
      </c>
      <c r="C501" s="60">
        <v>45909</v>
      </c>
      <c r="D501" s="1" t="s">
        <v>130</v>
      </c>
      <c r="E501" s="1" t="s">
        <v>74</v>
      </c>
      <c r="F501" s="1">
        <v>2015</v>
      </c>
      <c r="G501" s="64" t="s">
        <v>1802</v>
      </c>
      <c r="H501" s="1" t="s">
        <v>147</v>
      </c>
      <c r="I501" s="61">
        <v>50.25</v>
      </c>
      <c r="J501" s="61">
        <v>-4.22</v>
      </c>
      <c r="K501" s="61">
        <v>1988</v>
      </c>
      <c r="L501" s="61">
        <v>2012</v>
      </c>
      <c r="M501" s="61">
        <f t="shared" si="9"/>
        <v>25</v>
      </c>
      <c r="N501" s="1" t="s">
        <v>623</v>
      </c>
      <c r="O501" s="1" t="s">
        <v>199</v>
      </c>
      <c r="P501" s="1" t="s">
        <v>1078</v>
      </c>
      <c r="Q501" s="1" t="s">
        <v>1761</v>
      </c>
      <c r="R501" s="1" t="s">
        <v>1805</v>
      </c>
      <c r="S501" s="1" t="s">
        <v>624</v>
      </c>
      <c r="V501" s="1">
        <f>-8*0.0288*10</f>
        <v>-2.3039999999999998</v>
      </c>
      <c r="Y501" s="1" t="s">
        <v>694</v>
      </c>
      <c r="Z501" s="1" t="s">
        <v>1806</v>
      </c>
      <c r="AA501" s="1" t="s">
        <v>69</v>
      </c>
      <c r="AB501" s="1" t="s">
        <v>1855</v>
      </c>
      <c r="AE501" s="1" t="s">
        <v>1820</v>
      </c>
    </row>
    <row r="502" spans="1:31">
      <c r="A502" s="1" t="s">
        <v>1745</v>
      </c>
      <c r="B502" s="26" t="s">
        <v>1744</v>
      </c>
      <c r="C502" s="60">
        <v>45909</v>
      </c>
      <c r="D502" s="1" t="s">
        <v>130</v>
      </c>
      <c r="E502" s="1" t="s">
        <v>74</v>
      </c>
      <c r="F502" s="1">
        <v>2015</v>
      </c>
      <c r="G502" s="64" t="s">
        <v>1802</v>
      </c>
      <c r="H502" s="1" t="s">
        <v>147</v>
      </c>
      <c r="I502" s="61">
        <v>50.25</v>
      </c>
      <c r="J502" s="61">
        <v>-4.22</v>
      </c>
      <c r="K502" s="61">
        <v>1988</v>
      </c>
      <c r="L502" s="61">
        <v>2012</v>
      </c>
      <c r="M502" s="61">
        <f t="shared" si="9"/>
        <v>25</v>
      </c>
      <c r="N502" s="1" t="s">
        <v>623</v>
      </c>
      <c r="O502" s="1" t="s">
        <v>199</v>
      </c>
      <c r="P502" s="1" t="s">
        <v>1078</v>
      </c>
      <c r="Q502" s="1" t="s">
        <v>1762</v>
      </c>
      <c r="R502" s="1" t="s">
        <v>1805</v>
      </c>
      <c r="S502" s="1" t="s">
        <v>624</v>
      </c>
      <c r="V502" s="1">
        <f>44*0.0288*10</f>
        <v>12.671999999999999</v>
      </c>
      <c r="Y502" s="1" t="s">
        <v>41</v>
      </c>
      <c r="Z502" s="1" t="s">
        <v>1806</v>
      </c>
      <c r="AA502" s="1" t="s">
        <v>69</v>
      </c>
      <c r="AB502" s="1" t="s">
        <v>1855</v>
      </c>
      <c r="AE502" s="1" t="s">
        <v>1821</v>
      </c>
    </row>
    <row r="503" spans="1:31">
      <c r="A503" s="1" t="s">
        <v>1745</v>
      </c>
      <c r="B503" s="26" t="s">
        <v>1744</v>
      </c>
      <c r="C503" s="60">
        <v>45909</v>
      </c>
      <c r="D503" s="1" t="s">
        <v>130</v>
      </c>
      <c r="E503" s="1" t="s">
        <v>74</v>
      </c>
      <c r="F503" s="1">
        <v>2015</v>
      </c>
      <c r="G503" s="64" t="s">
        <v>1802</v>
      </c>
      <c r="H503" s="1" t="s">
        <v>147</v>
      </c>
      <c r="I503" s="61">
        <v>50.25</v>
      </c>
      <c r="J503" s="61">
        <v>-4.22</v>
      </c>
      <c r="K503" s="61">
        <v>1988</v>
      </c>
      <c r="L503" s="61">
        <v>2012</v>
      </c>
      <c r="M503" s="61">
        <f t="shared" si="9"/>
        <v>25</v>
      </c>
      <c r="N503" s="1" t="s">
        <v>623</v>
      </c>
      <c r="O503" s="1" t="s">
        <v>199</v>
      </c>
      <c r="P503" s="1" t="s">
        <v>1078</v>
      </c>
      <c r="Q503" s="1" t="s">
        <v>1763</v>
      </c>
      <c r="R503" s="1" t="s">
        <v>1805</v>
      </c>
      <c r="S503" s="1" t="s">
        <v>624</v>
      </c>
      <c r="V503" s="1">
        <f>5*0.0288*10</f>
        <v>1.44</v>
      </c>
      <c r="Y503" s="1" t="s">
        <v>41</v>
      </c>
      <c r="Z503" s="1" t="s">
        <v>1806</v>
      </c>
      <c r="AA503" s="1" t="s">
        <v>69</v>
      </c>
      <c r="AB503" s="1" t="s">
        <v>1855</v>
      </c>
      <c r="AE503" s="1" t="s">
        <v>1822</v>
      </c>
    </row>
    <row r="504" spans="1:31">
      <c r="A504" s="1" t="s">
        <v>1745</v>
      </c>
      <c r="B504" s="26" t="s">
        <v>1744</v>
      </c>
      <c r="C504" s="60">
        <v>45909</v>
      </c>
      <c r="D504" s="1" t="s">
        <v>130</v>
      </c>
      <c r="E504" s="1" t="s">
        <v>74</v>
      </c>
      <c r="F504" s="1">
        <v>2015</v>
      </c>
      <c r="G504" s="64" t="s">
        <v>1802</v>
      </c>
      <c r="H504" s="1" t="s">
        <v>147</v>
      </c>
      <c r="I504" s="61">
        <v>50.25</v>
      </c>
      <c r="J504" s="61">
        <v>-4.22</v>
      </c>
      <c r="K504" s="61">
        <v>1988</v>
      </c>
      <c r="L504" s="61">
        <v>2012</v>
      </c>
      <c r="M504" s="61">
        <f t="shared" si="9"/>
        <v>25</v>
      </c>
      <c r="N504" s="1" t="s">
        <v>623</v>
      </c>
      <c r="O504" s="1" t="s">
        <v>199</v>
      </c>
      <c r="P504" s="1" t="s">
        <v>1078</v>
      </c>
      <c r="Q504" s="1" t="s">
        <v>1764</v>
      </c>
      <c r="R504" s="1" t="s">
        <v>1805</v>
      </c>
      <c r="S504" s="1" t="s">
        <v>624</v>
      </c>
      <c r="V504" s="1">
        <f>-32*0.0288*10</f>
        <v>-9.2159999999999993</v>
      </c>
      <c r="Y504" s="1" t="s">
        <v>694</v>
      </c>
      <c r="Z504" s="1" t="s">
        <v>1806</v>
      </c>
      <c r="AA504" s="1" t="s">
        <v>69</v>
      </c>
      <c r="AB504" s="1" t="s">
        <v>1855</v>
      </c>
      <c r="AE504" s="1" t="s">
        <v>1823</v>
      </c>
    </row>
    <row r="505" spans="1:31">
      <c r="A505" s="1" t="s">
        <v>1745</v>
      </c>
      <c r="B505" s="26" t="s">
        <v>1744</v>
      </c>
      <c r="C505" s="60">
        <v>45909</v>
      </c>
      <c r="D505" s="1" t="s">
        <v>130</v>
      </c>
      <c r="E505" s="1" t="s">
        <v>74</v>
      </c>
      <c r="F505" s="1">
        <v>2015</v>
      </c>
      <c r="G505" s="64" t="s">
        <v>1802</v>
      </c>
      <c r="H505" s="1" t="s">
        <v>147</v>
      </c>
      <c r="I505" s="61">
        <v>50.25</v>
      </c>
      <c r="J505" s="61">
        <v>-4.22</v>
      </c>
      <c r="K505" s="61">
        <v>1988</v>
      </c>
      <c r="L505" s="61">
        <v>2012</v>
      </c>
      <c r="M505" s="61">
        <f t="shared" si="9"/>
        <v>25</v>
      </c>
      <c r="N505" s="1" t="s">
        <v>623</v>
      </c>
      <c r="O505" s="1" t="s">
        <v>199</v>
      </c>
      <c r="P505" s="1" t="s">
        <v>1078</v>
      </c>
      <c r="Q505" s="1" t="s">
        <v>1765</v>
      </c>
      <c r="R505" s="1" t="s">
        <v>1805</v>
      </c>
      <c r="S505" s="1" t="s">
        <v>624</v>
      </c>
      <c r="V505" s="1">
        <f>16*0.0288*10</f>
        <v>4.6079999999999997</v>
      </c>
      <c r="Y505" s="1" t="s">
        <v>694</v>
      </c>
      <c r="Z505" s="1" t="s">
        <v>1806</v>
      </c>
      <c r="AA505" s="1" t="s">
        <v>69</v>
      </c>
      <c r="AB505" s="1" t="s">
        <v>1855</v>
      </c>
      <c r="AE505" s="1" t="s">
        <v>1824</v>
      </c>
    </row>
    <row r="506" spans="1:31">
      <c r="A506" s="1" t="s">
        <v>1745</v>
      </c>
      <c r="B506" s="26" t="s">
        <v>1744</v>
      </c>
      <c r="C506" s="60">
        <v>45909</v>
      </c>
      <c r="D506" s="1" t="s">
        <v>130</v>
      </c>
      <c r="E506" s="1" t="s">
        <v>74</v>
      </c>
      <c r="F506" s="1">
        <v>2015</v>
      </c>
      <c r="G506" s="64" t="s">
        <v>1802</v>
      </c>
      <c r="H506" s="1" t="s">
        <v>147</v>
      </c>
      <c r="I506" s="61">
        <v>50.25</v>
      </c>
      <c r="J506" s="61">
        <v>-4.22</v>
      </c>
      <c r="K506" s="61">
        <v>1988</v>
      </c>
      <c r="L506" s="61">
        <v>2012</v>
      </c>
      <c r="M506" s="61">
        <f t="shared" si="9"/>
        <v>25</v>
      </c>
      <c r="N506" s="1" t="s">
        <v>623</v>
      </c>
      <c r="O506" s="1" t="s">
        <v>205</v>
      </c>
      <c r="P506" s="1" t="s">
        <v>1857</v>
      </c>
      <c r="Q506" s="1" t="s">
        <v>1767</v>
      </c>
      <c r="R506" s="1" t="s">
        <v>1805</v>
      </c>
      <c r="S506" s="1" t="s">
        <v>624</v>
      </c>
      <c r="V506" s="1">
        <f>-4*0.0288*10</f>
        <v>-1.1519999999999999</v>
      </c>
      <c r="Y506" s="1" t="s">
        <v>694</v>
      </c>
      <c r="Z506" s="1" t="s">
        <v>1806</v>
      </c>
      <c r="AA506" s="1" t="s">
        <v>69</v>
      </c>
      <c r="AB506" s="1" t="s">
        <v>1855</v>
      </c>
      <c r="AE506" s="1" t="s">
        <v>1826</v>
      </c>
    </row>
    <row r="507" spans="1:31">
      <c r="A507" s="1" t="s">
        <v>1745</v>
      </c>
      <c r="B507" s="26" t="s">
        <v>1744</v>
      </c>
      <c r="C507" s="60">
        <v>45909</v>
      </c>
      <c r="D507" s="1" t="s">
        <v>130</v>
      </c>
      <c r="E507" s="1" t="s">
        <v>74</v>
      </c>
      <c r="F507" s="1">
        <v>2015</v>
      </c>
      <c r="G507" s="64" t="s">
        <v>1802</v>
      </c>
      <c r="H507" s="1" t="s">
        <v>147</v>
      </c>
      <c r="I507" s="61">
        <v>50.25</v>
      </c>
      <c r="J507" s="61">
        <v>-4.22</v>
      </c>
      <c r="K507" s="61">
        <v>1988</v>
      </c>
      <c r="L507" s="61">
        <v>2012</v>
      </c>
      <c r="M507" s="61">
        <f t="shared" si="9"/>
        <v>25</v>
      </c>
      <c r="N507" s="1" t="s">
        <v>623</v>
      </c>
      <c r="O507" s="1" t="s">
        <v>205</v>
      </c>
      <c r="P507" s="1" t="s">
        <v>1019</v>
      </c>
      <c r="Q507" s="1" t="s">
        <v>1768</v>
      </c>
      <c r="R507" s="1" t="s">
        <v>1805</v>
      </c>
      <c r="S507" s="1" t="s">
        <v>624</v>
      </c>
      <c r="V507" s="1">
        <f>12*0.0288*10</f>
        <v>3.4560000000000004</v>
      </c>
      <c r="Y507" s="1" t="s">
        <v>41</v>
      </c>
      <c r="Z507" s="1" t="s">
        <v>1806</v>
      </c>
      <c r="AA507" s="1" t="s">
        <v>69</v>
      </c>
      <c r="AB507" s="1" t="s">
        <v>1855</v>
      </c>
      <c r="AE507" s="1" t="s">
        <v>1827</v>
      </c>
    </row>
    <row r="508" spans="1:31">
      <c r="A508" s="1" t="s">
        <v>1745</v>
      </c>
      <c r="B508" s="26" t="s">
        <v>1744</v>
      </c>
      <c r="C508" s="60">
        <v>45909</v>
      </c>
      <c r="D508" s="1" t="s">
        <v>130</v>
      </c>
      <c r="E508" s="1" t="s">
        <v>74</v>
      </c>
      <c r="F508" s="1">
        <v>2015</v>
      </c>
      <c r="G508" s="64" t="s">
        <v>1802</v>
      </c>
      <c r="H508" s="1" t="s">
        <v>147</v>
      </c>
      <c r="I508" s="61">
        <v>50.25</v>
      </c>
      <c r="J508" s="61">
        <v>-4.22</v>
      </c>
      <c r="K508" s="61">
        <v>1988</v>
      </c>
      <c r="L508" s="61">
        <v>2012</v>
      </c>
      <c r="M508" s="61">
        <f t="shared" ref="M508:M539" si="10">L508-K508+1</f>
        <v>25</v>
      </c>
      <c r="N508" s="1" t="s">
        <v>623</v>
      </c>
      <c r="O508" s="1" t="s">
        <v>205</v>
      </c>
      <c r="P508" s="1" t="s">
        <v>1464</v>
      </c>
      <c r="Q508" s="1" t="s">
        <v>1769</v>
      </c>
      <c r="R508" s="1" t="s">
        <v>1805</v>
      </c>
      <c r="S508" s="1" t="s">
        <v>624</v>
      </c>
      <c r="V508" s="1">
        <f>2*0.0288*10</f>
        <v>0.57599999999999996</v>
      </c>
      <c r="Y508" s="1" t="s">
        <v>41</v>
      </c>
      <c r="Z508" s="1" t="s">
        <v>1806</v>
      </c>
      <c r="AA508" s="1" t="s">
        <v>69</v>
      </c>
      <c r="AB508" s="1" t="s">
        <v>1855</v>
      </c>
      <c r="AE508" s="1" t="s">
        <v>1828</v>
      </c>
    </row>
    <row r="509" spans="1:31">
      <c r="A509" s="1" t="s">
        <v>1745</v>
      </c>
      <c r="B509" s="26" t="s">
        <v>1744</v>
      </c>
      <c r="C509" s="60">
        <v>45909</v>
      </c>
      <c r="D509" s="1" t="s">
        <v>130</v>
      </c>
      <c r="E509" s="1" t="s">
        <v>74</v>
      </c>
      <c r="F509" s="1">
        <v>2015</v>
      </c>
      <c r="G509" s="64" t="s">
        <v>1802</v>
      </c>
      <c r="H509" s="1" t="s">
        <v>147</v>
      </c>
      <c r="I509" s="61">
        <v>50.25</v>
      </c>
      <c r="J509" s="61">
        <v>-4.22</v>
      </c>
      <c r="K509" s="61">
        <v>1988</v>
      </c>
      <c r="L509" s="61">
        <v>2012</v>
      </c>
      <c r="M509" s="61">
        <f t="shared" si="10"/>
        <v>25</v>
      </c>
      <c r="N509" s="1" t="s">
        <v>623</v>
      </c>
      <c r="O509" s="1" t="s">
        <v>205</v>
      </c>
      <c r="P509" s="1" t="s">
        <v>1464</v>
      </c>
      <c r="Q509" s="1" t="s">
        <v>1770</v>
      </c>
      <c r="R509" s="1" t="s">
        <v>1805</v>
      </c>
      <c r="S509" s="1" t="s">
        <v>624</v>
      </c>
      <c r="V509" s="1">
        <f>28*0.0288*10</f>
        <v>8.0640000000000001</v>
      </c>
      <c r="Y509" s="1" t="s">
        <v>41</v>
      </c>
      <c r="Z509" s="1" t="s">
        <v>1806</v>
      </c>
      <c r="AA509" s="1" t="s">
        <v>69</v>
      </c>
      <c r="AB509" s="1" t="s">
        <v>1855</v>
      </c>
      <c r="AE509" s="1" t="s">
        <v>1829</v>
      </c>
    </row>
    <row r="510" spans="1:31">
      <c r="A510" s="1" t="s">
        <v>1745</v>
      </c>
      <c r="B510" s="26" t="s">
        <v>1744</v>
      </c>
      <c r="C510" s="60">
        <v>45909</v>
      </c>
      <c r="D510" s="1" t="s">
        <v>130</v>
      </c>
      <c r="E510" s="1" t="s">
        <v>74</v>
      </c>
      <c r="F510" s="1">
        <v>2015</v>
      </c>
      <c r="G510" s="64" t="s">
        <v>1802</v>
      </c>
      <c r="H510" s="1" t="s">
        <v>147</v>
      </c>
      <c r="I510" s="61">
        <v>50.25</v>
      </c>
      <c r="J510" s="61">
        <v>-4.22</v>
      </c>
      <c r="K510" s="61">
        <v>1988</v>
      </c>
      <c r="L510" s="61">
        <v>2012</v>
      </c>
      <c r="M510" s="61">
        <f t="shared" si="10"/>
        <v>25</v>
      </c>
      <c r="N510" s="1" t="s">
        <v>623</v>
      </c>
      <c r="O510" s="1" t="s">
        <v>205</v>
      </c>
      <c r="P510" s="1" t="s">
        <v>208</v>
      </c>
      <c r="Q510" s="1" t="s">
        <v>1771</v>
      </c>
      <c r="R510" s="1" t="s">
        <v>1805</v>
      </c>
      <c r="S510" s="1" t="s">
        <v>624</v>
      </c>
      <c r="V510" s="1">
        <f>-10*0.0288*10</f>
        <v>-2.88</v>
      </c>
      <c r="Y510" s="1" t="s">
        <v>694</v>
      </c>
      <c r="Z510" s="1" t="s">
        <v>1806</v>
      </c>
      <c r="AA510" s="1" t="s">
        <v>69</v>
      </c>
      <c r="AB510" s="1" t="s">
        <v>1855</v>
      </c>
      <c r="AE510" s="1" t="s">
        <v>1830</v>
      </c>
    </row>
    <row r="511" spans="1:31">
      <c r="A511" s="1" t="s">
        <v>1745</v>
      </c>
      <c r="B511" s="26" t="s">
        <v>1744</v>
      </c>
      <c r="C511" s="60">
        <v>45909</v>
      </c>
      <c r="D511" s="1" t="s">
        <v>130</v>
      </c>
      <c r="E511" s="1" t="s">
        <v>74</v>
      </c>
      <c r="F511" s="1">
        <v>2015</v>
      </c>
      <c r="G511" s="64" t="s">
        <v>1802</v>
      </c>
      <c r="H511" s="1" t="s">
        <v>147</v>
      </c>
      <c r="I511" s="61">
        <v>50.25</v>
      </c>
      <c r="J511" s="61">
        <v>-4.22</v>
      </c>
      <c r="K511" s="61">
        <v>1988</v>
      </c>
      <c r="L511" s="61">
        <v>2012</v>
      </c>
      <c r="M511" s="61">
        <f t="shared" si="10"/>
        <v>25</v>
      </c>
      <c r="N511" s="1" t="s">
        <v>623</v>
      </c>
      <c r="O511" s="1" t="s">
        <v>205</v>
      </c>
      <c r="P511" s="1" t="s">
        <v>1618</v>
      </c>
      <c r="Q511" s="1" t="s">
        <v>1772</v>
      </c>
      <c r="R511" s="1" t="s">
        <v>1805</v>
      </c>
      <c r="S511" s="1" t="s">
        <v>624</v>
      </c>
      <c r="V511" s="1">
        <f>4*0.0288*10</f>
        <v>1.1519999999999999</v>
      </c>
      <c r="Y511" s="1" t="s">
        <v>41</v>
      </c>
      <c r="Z511" s="1" t="s">
        <v>1806</v>
      </c>
      <c r="AA511" s="1" t="s">
        <v>69</v>
      </c>
      <c r="AB511" s="1" t="s">
        <v>1855</v>
      </c>
      <c r="AE511" s="1" t="s">
        <v>1831</v>
      </c>
    </row>
    <row r="512" spans="1:31">
      <c r="A512" s="1" t="s">
        <v>1745</v>
      </c>
      <c r="B512" s="26" t="s">
        <v>1744</v>
      </c>
      <c r="C512" s="60">
        <v>45909</v>
      </c>
      <c r="D512" s="1" t="s">
        <v>130</v>
      </c>
      <c r="E512" s="1" t="s">
        <v>74</v>
      </c>
      <c r="F512" s="1">
        <v>2015</v>
      </c>
      <c r="G512" s="64" t="s">
        <v>1802</v>
      </c>
      <c r="H512" s="1" t="s">
        <v>147</v>
      </c>
      <c r="I512" s="61">
        <v>50.25</v>
      </c>
      <c r="J512" s="61">
        <v>-4.22</v>
      </c>
      <c r="K512" s="61">
        <v>1988</v>
      </c>
      <c r="L512" s="61">
        <v>2012</v>
      </c>
      <c r="M512" s="61">
        <f t="shared" si="10"/>
        <v>25</v>
      </c>
      <c r="N512" s="1" t="s">
        <v>623</v>
      </c>
      <c r="O512" s="1" t="s">
        <v>205</v>
      </c>
      <c r="P512" s="1" t="s">
        <v>1618</v>
      </c>
      <c r="Q512" s="1" t="s">
        <v>1773</v>
      </c>
      <c r="R512" s="1" t="s">
        <v>1805</v>
      </c>
      <c r="S512" s="1" t="s">
        <v>624</v>
      </c>
      <c r="V512" s="1">
        <f>11*0.0288*10</f>
        <v>3.1679999999999997</v>
      </c>
      <c r="Y512" s="1" t="s">
        <v>41</v>
      </c>
      <c r="Z512" s="1" t="s">
        <v>1806</v>
      </c>
      <c r="AA512" s="1" t="s">
        <v>69</v>
      </c>
      <c r="AB512" s="1" t="s">
        <v>1855</v>
      </c>
      <c r="AE512" s="1" t="s">
        <v>1832</v>
      </c>
    </row>
    <row r="513" spans="1:31">
      <c r="A513" s="1" t="s">
        <v>1745</v>
      </c>
      <c r="B513" s="26" t="s">
        <v>1744</v>
      </c>
      <c r="C513" s="60">
        <v>45909</v>
      </c>
      <c r="D513" s="1" t="s">
        <v>130</v>
      </c>
      <c r="E513" s="1" t="s">
        <v>74</v>
      </c>
      <c r="F513" s="1">
        <v>2015</v>
      </c>
      <c r="G513" s="64" t="s">
        <v>1802</v>
      </c>
      <c r="H513" s="1" t="s">
        <v>147</v>
      </c>
      <c r="I513" s="61">
        <v>50.25</v>
      </c>
      <c r="J513" s="61">
        <v>-4.22</v>
      </c>
      <c r="K513" s="61">
        <v>1988</v>
      </c>
      <c r="L513" s="61">
        <v>2012</v>
      </c>
      <c r="M513" s="61">
        <f t="shared" si="10"/>
        <v>25</v>
      </c>
      <c r="N513" s="1" t="s">
        <v>623</v>
      </c>
      <c r="O513" s="1" t="s">
        <v>205</v>
      </c>
      <c r="P513" s="1" t="s">
        <v>964</v>
      </c>
      <c r="Q513" s="1" t="s">
        <v>1774</v>
      </c>
      <c r="R513" s="1" t="s">
        <v>1805</v>
      </c>
      <c r="S513" s="1" t="s">
        <v>624</v>
      </c>
      <c r="V513" s="1">
        <f>3*0.0288*10</f>
        <v>0.8640000000000001</v>
      </c>
      <c r="Y513" s="1" t="s">
        <v>41</v>
      </c>
      <c r="Z513" s="1" t="s">
        <v>1806</v>
      </c>
      <c r="AA513" s="1" t="s">
        <v>69</v>
      </c>
      <c r="AB513" s="1" t="s">
        <v>1855</v>
      </c>
      <c r="AE513" s="1" t="s">
        <v>1833</v>
      </c>
    </row>
    <row r="514" spans="1:31">
      <c r="A514" s="1" t="s">
        <v>1745</v>
      </c>
      <c r="B514" s="26" t="s">
        <v>1744</v>
      </c>
      <c r="C514" s="60">
        <v>45909</v>
      </c>
      <c r="D514" s="1" t="s">
        <v>130</v>
      </c>
      <c r="E514" s="1" t="s">
        <v>74</v>
      </c>
      <c r="F514" s="1">
        <v>2015</v>
      </c>
      <c r="G514" s="64" t="s">
        <v>1802</v>
      </c>
      <c r="H514" s="1" t="s">
        <v>147</v>
      </c>
      <c r="I514" s="61">
        <v>50.25</v>
      </c>
      <c r="J514" s="61">
        <v>-4.22</v>
      </c>
      <c r="K514" s="61">
        <v>1988</v>
      </c>
      <c r="L514" s="61">
        <v>2012</v>
      </c>
      <c r="M514" s="61">
        <f t="shared" si="10"/>
        <v>25</v>
      </c>
      <c r="N514" s="1" t="s">
        <v>623</v>
      </c>
      <c r="O514" s="1" t="s">
        <v>199</v>
      </c>
      <c r="P514" s="1" t="s">
        <v>1016</v>
      </c>
      <c r="Q514" s="1" t="s">
        <v>1776</v>
      </c>
      <c r="R514" s="1" t="s">
        <v>1805</v>
      </c>
      <c r="S514" s="1" t="s">
        <v>624</v>
      </c>
      <c r="V514" s="1">
        <f>5*0.0288*10</f>
        <v>1.44</v>
      </c>
      <c r="Y514" s="1" t="s">
        <v>41</v>
      </c>
      <c r="Z514" s="1" t="s">
        <v>1806</v>
      </c>
      <c r="AA514" s="1" t="s">
        <v>69</v>
      </c>
      <c r="AB514" s="1" t="s">
        <v>1855</v>
      </c>
      <c r="AE514" s="1" t="s">
        <v>1835</v>
      </c>
    </row>
    <row r="515" spans="1:31">
      <c r="A515" s="1" t="s">
        <v>1745</v>
      </c>
      <c r="B515" s="26" t="s">
        <v>1744</v>
      </c>
      <c r="C515" s="60">
        <v>45909</v>
      </c>
      <c r="D515" s="1" t="s">
        <v>130</v>
      </c>
      <c r="E515" s="1" t="s">
        <v>74</v>
      </c>
      <c r="F515" s="1">
        <v>2015</v>
      </c>
      <c r="G515" s="64" t="s">
        <v>1802</v>
      </c>
      <c r="H515" s="1" t="s">
        <v>147</v>
      </c>
      <c r="I515" s="61">
        <v>50.25</v>
      </c>
      <c r="J515" s="61">
        <v>-4.22</v>
      </c>
      <c r="K515" s="61">
        <v>1988</v>
      </c>
      <c r="L515" s="61">
        <v>2012</v>
      </c>
      <c r="M515" s="61">
        <f t="shared" si="10"/>
        <v>25</v>
      </c>
      <c r="N515" s="1" t="s">
        <v>623</v>
      </c>
      <c r="O515" s="1" t="s">
        <v>199</v>
      </c>
      <c r="P515" s="1" t="s">
        <v>98</v>
      </c>
      <c r="Q515" s="1" t="s">
        <v>1777</v>
      </c>
      <c r="R515" s="1" t="s">
        <v>1805</v>
      </c>
      <c r="S515" s="1" t="s">
        <v>624</v>
      </c>
      <c r="V515" s="1">
        <f>5*0.0288*10</f>
        <v>1.44</v>
      </c>
      <c r="Y515" s="1" t="s">
        <v>41</v>
      </c>
      <c r="Z515" s="1" t="s">
        <v>1806</v>
      </c>
      <c r="AA515" s="1" t="s">
        <v>69</v>
      </c>
      <c r="AB515" s="1" t="s">
        <v>1855</v>
      </c>
      <c r="AE515" s="1" t="s">
        <v>1836</v>
      </c>
    </row>
    <row r="516" spans="1:31">
      <c r="A516" s="1" t="s">
        <v>1745</v>
      </c>
      <c r="B516" s="26" t="s">
        <v>1744</v>
      </c>
      <c r="C516" s="60">
        <v>45909</v>
      </c>
      <c r="D516" s="1" t="s">
        <v>130</v>
      </c>
      <c r="E516" s="1" t="s">
        <v>74</v>
      </c>
      <c r="F516" s="1">
        <v>2015</v>
      </c>
      <c r="G516" s="64" t="s">
        <v>1802</v>
      </c>
      <c r="H516" s="1" t="s">
        <v>147</v>
      </c>
      <c r="I516" s="61">
        <v>50.25</v>
      </c>
      <c r="J516" s="61">
        <v>-4.22</v>
      </c>
      <c r="K516" s="61">
        <v>1988</v>
      </c>
      <c r="L516" s="61">
        <v>2012</v>
      </c>
      <c r="M516" s="61">
        <f t="shared" si="10"/>
        <v>25</v>
      </c>
      <c r="N516" s="1" t="s">
        <v>623</v>
      </c>
      <c r="O516" s="1" t="s">
        <v>199</v>
      </c>
      <c r="P516" s="1" t="s">
        <v>98</v>
      </c>
      <c r="Q516" s="1" t="s">
        <v>1778</v>
      </c>
      <c r="R516" s="1" t="s">
        <v>1805</v>
      </c>
      <c r="S516" s="1" t="s">
        <v>624</v>
      </c>
      <c r="V516" s="1">
        <f>-7*0.0288*10</f>
        <v>-2.016</v>
      </c>
      <c r="Y516" s="1" t="s">
        <v>694</v>
      </c>
      <c r="Z516" s="1" t="s">
        <v>1806</v>
      </c>
      <c r="AA516" s="1" t="s">
        <v>69</v>
      </c>
      <c r="AB516" s="1" t="s">
        <v>1855</v>
      </c>
      <c r="AE516" s="1" t="s">
        <v>1837</v>
      </c>
    </row>
    <row r="517" spans="1:31">
      <c r="A517" s="1" t="s">
        <v>1745</v>
      </c>
      <c r="B517" s="26" t="s">
        <v>1744</v>
      </c>
      <c r="C517" s="60">
        <v>45909</v>
      </c>
      <c r="D517" s="1" t="s">
        <v>130</v>
      </c>
      <c r="E517" s="1" t="s">
        <v>74</v>
      </c>
      <c r="F517" s="1">
        <v>2015</v>
      </c>
      <c r="G517" s="64" t="s">
        <v>1802</v>
      </c>
      <c r="H517" s="1" t="s">
        <v>147</v>
      </c>
      <c r="I517" s="61">
        <v>50.25</v>
      </c>
      <c r="J517" s="61">
        <v>-4.22</v>
      </c>
      <c r="K517" s="61">
        <v>1988</v>
      </c>
      <c r="L517" s="61">
        <v>2012</v>
      </c>
      <c r="M517" s="61">
        <f t="shared" si="10"/>
        <v>25</v>
      </c>
      <c r="N517" s="1" t="s">
        <v>623</v>
      </c>
      <c r="O517" s="1" t="s">
        <v>199</v>
      </c>
      <c r="P517" s="1" t="s">
        <v>910</v>
      </c>
      <c r="Q517" s="1" t="s">
        <v>1779</v>
      </c>
      <c r="R517" s="1" t="s">
        <v>1805</v>
      </c>
      <c r="S517" s="1" t="s">
        <v>624</v>
      </c>
      <c r="V517" s="1">
        <f>-4*0.0288*10</f>
        <v>-1.1519999999999999</v>
      </c>
      <c r="Y517" s="1" t="s">
        <v>694</v>
      </c>
      <c r="Z517" s="1" t="s">
        <v>1806</v>
      </c>
      <c r="AA517" s="1" t="s">
        <v>69</v>
      </c>
      <c r="AB517" s="1" t="s">
        <v>1855</v>
      </c>
      <c r="AE517" s="1" t="s">
        <v>1838</v>
      </c>
    </row>
    <row r="518" spans="1:31">
      <c r="A518" s="1" t="s">
        <v>1745</v>
      </c>
      <c r="B518" s="26" t="s">
        <v>1744</v>
      </c>
      <c r="C518" s="60">
        <v>45909</v>
      </c>
      <c r="D518" s="1" t="s">
        <v>130</v>
      </c>
      <c r="E518" s="1" t="s">
        <v>74</v>
      </c>
      <c r="F518" s="1">
        <v>2015</v>
      </c>
      <c r="G518" s="64" t="s">
        <v>1802</v>
      </c>
      <c r="H518" s="1" t="s">
        <v>147</v>
      </c>
      <c r="I518" s="61">
        <v>50.25</v>
      </c>
      <c r="J518" s="61">
        <v>-4.22</v>
      </c>
      <c r="K518" s="61">
        <v>1988</v>
      </c>
      <c r="L518" s="61">
        <v>2012</v>
      </c>
      <c r="M518" s="61">
        <f t="shared" si="10"/>
        <v>25</v>
      </c>
      <c r="N518" s="1" t="s">
        <v>623</v>
      </c>
      <c r="O518" s="1" t="s">
        <v>199</v>
      </c>
      <c r="P518" s="1" t="s">
        <v>1856</v>
      </c>
      <c r="Q518" s="1" t="s">
        <v>1780</v>
      </c>
      <c r="R518" s="1" t="s">
        <v>1805</v>
      </c>
      <c r="S518" s="1" t="s">
        <v>624</v>
      </c>
      <c r="V518" s="1">
        <f>5*0.0288*10</f>
        <v>1.44</v>
      </c>
      <c r="Y518" s="1" t="s">
        <v>41</v>
      </c>
      <c r="Z518" s="1" t="s">
        <v>1806</v>
      </c>
      <c r="AA518" s="1" t="s">
        <v>69</v>
      </c>
      <c r="AB518" s="1" t="s">
        <v>1855</v>
      </c>
      <c r="AE518" s="1" t="s">
        <v>1839</v>
      </c>
    </row>
    <row r="519" spans="1:31">
      <c r="A519" s="1" t="s">
        <v>1745</v>
      </c>
      <c r="B519" s="26" t="s">
        <v>1744</v>
      </c>
      <c r="C519" s="60">
        <v>45909</v>
      </c>
      <c r="D519" s="1" t="s">
        <v>130</v>
      </c>
      <c r="E519" s="1" t="s">
        <v>74</v>
      </c>
      <c r="F519" s="1">
        <v>2015</v>
      </c>
      <c r="G519" s="64" t="s">
        <v>1802</v>
      </c>
      <c r="H519" s="1" t="s">
        <v>147</v>
      </c>
      <c r="I519" s="61">
        <v>50.25</v>
      </c>
      <c r="J519" s="61">
        <v>-4.22</v>
      </c>
      <c r="K519" s="61">
        <v>1988</v>
      </c>
      <c r="L519" s="61">
        <v>2012</v>
      </c>
      <c r="M519" s="61">
        <f t="shared" si="10"/>
        <v>25</v>
      </c>
      <c r="N519" s="1" t="s">
        <v>623</v>
      </c>
      <c r="O519" s="1" t="s">
        <v>199</v>
      </c>
      <c r="P519" s="1" t="s">
        <v>1014</v>
      </c>
      <c r="Q519" s="1" t="s">
        <v>1781</v>
      </c>
      <c r="R519" s="1" t="s">
        <v>1805</v>
      </c>
      <c r="S519" s="1" t="s">
        <v>624</v>
      </c>
      <c r="V519" s="1">
        <f>-16*0.0288*10</f>
        <v>-4.6079999999999997</v>
      </c>
      <c r="Y519" s="1" t="s">
        <v>694</v>
      </c>
      <c r="Z519" s="1" t="s">
        <v>1806</v>
      </c>
      <c r="AA519" s="1" t="s">
        <v>69</v>
      </c>
      <c r="AB519" s="1" t="s">
        <v>1855</v>
      </c>
      <c r="AE519" s="1" t="s">
        <v>1840</v>
      </c>
    </row>
    <row r="520" spans="1:31">
      <c r="A520" s="1" t="s">
        <v>1745</v>
      </c>
      <c r="B520" s="26" t="s">
        <v>1744</v>
      </c>
      <c r="C520" s="60">
        <v>45909</v>
      </c>
      <c r="D520" s="1" t="s">
        <v>130</v>
      </c>
      <c r="E520" s="1" t="s">
        <v>74</v>
      </c>
      <c r="F520" s="1">
        <v>2015</v>
      </c>
      <c r="G520" s="64" t="s">
        <v>1802</v>
      </c>
      <c r="H520" s="1" t="s">
        <v>147</v>
      </c>
      <c r="I520" s="61">
        <v>50.25</v>
      </c>
      <c r="J520" s="61">
        <v>-4.22</v>
      </c>
      <c r="K520" s="61">
        <v>1988</v>
      </c>
      <c r="L520" s="61">
        <v>2012</v>
      </c>
      <c r="M520" s="61">
        <f t="shared" si="10"/>
        <v>25</v>
      </c>
      <c r="N520" s="1" t="s">
        <v>623</v>
      </c>
      <c r="O520" s="1" t="s">
        <v>199</v>
      </c>
      <c r="P520" s="1" t="s">
        <v>1014</v>
      </c>
      <c r="Q520" s="1" t="s">
        <v>1782</v>
      </c>
      <c r="R520" s="1" t="s">
        <v>1805</v>
      </c>
      <c r="S520" s="1" t="s">
        <v>624</v>
      </c>
      <c r="V520" s="1">
        <f>-4*0.0288*10</f>
        <v>-1.1519999999999999</v>
      </c>
      <c r="Y520" s="1" t="s">
        <v>694</v>
      </c>
      <c r="Z520" s="1" t="s">
        <v>1806</v>
      </c>
      <c r="AA520" s="1" t="s">
        <v>69</v>
      </c>
      <c r="AB520" s="1" t="s">
        <v>1855</v>
      </c>
      <c r="AE520" s="1" t="s">
        <v>1841</v>
      </c>
    </row>
    <row r="521" spans="1:31">
      <c r="A521" s="1" t="s">
        <v>1745</v>
      </c>
      <c r="B521" s="26" t="s">
        <v>1744</v>
      </c>
      <c r="C521" s="60">
        <v>45909</v>
      </c>
      <c r="D521" s="1" t="s">
        <v>130</v>
      </c>
      <c r="E521" s="1" t="s">
        <v>74</v>
      </c>
      <c r="F521" s="1">
        <v>2015</v>
      </c>
      <c r="G521" s="64" t="s">
        <v>1802</v>
      </c>
      <c r="H521" s="1" t="s">
        <v>147</v>
      </c>
      <c r="I521" s="61">
        <v>50.25</v>
      </c>
      <c r="J521" s="61">
        <v>-4.22</v>
      </c>
      <c r="K521" s="61">
        <v>1988</v>
      </c>
      <c r="L521" s="61">
        <v>2012</v>
      </c>
      <c r="M521" s="61">
        <f t="shared" si="10"/>
        <v>25</v>
      </c>
      <c r="N521" s="1" t="s">
        <v>623</v>
      </c>
      <c r="O521" s="1" t="s">
        <v>199</v>
      </c>
      <c r="P521" s="1" t="s">
        <v>1014</v>
      </c>
      <c r="Q521" s="1" t="s">
        <v>1783</v>
      </c>
      <c r="R521" s="1" t="s">
        <v>1805</v>
      </c>
      <c r="S521" s="1" t="s">
        <v>624</v>
      </c>
      <c r="V521" s="1">
        <f>17*0.0288*10</f>
        <v>4.8959999999999999</v>
      </c>
      <c r="Y521" s="1" t="s">
        <v>41</v>
      </c>
      <c r="Z521" s="1" t="s">
        <v>1806</v>
      </c>
      <c r="AA521" s="1" t="s">
        <v>69</v>
      </c>
      <c r="AB521" s="1" t="s">
        <v>1855</v>
      </c>
      <c r="AE521" s="1" t="s">
        <v>1842</v>
      </c>
    </row>
    <row r="522" spans="1:31">
      <c r="A522" s="1" t="s">
        <v>1745</v>
      </c>
      <c r="B522" s="26" t="s">
        <v>1744</v>
      </c>
      <c r="C522" s="60">
        <v>45909</v>
      </c>
      <c r="D522" s="1" t="s">
        <v>130</v>
      </c>
      <c r="E522" s="1" t="s">
        <v>74</v>
      </c>
      <c r="F522" s="1">
        <v>2015</v>
      </c>
      <c r="G522" s="64" t="s">
        <v>1802</v>
      </c>
      <c r="H522" s="1" t="s">
        <v>147</v>
      </c>
      <c r="I522" s="61">
        <v>50.25</v>
      </c>
      <c r="J522" s="61">
        <v>-4.22</v>
      </c>
      <c r="K522" s="61">
        <v>1988</v>
      </c>
      <c r="L522" s="61">
        <v>2012</v>
      </c>
      <c r="M522" s="61">
        <f t="shared" si="10"/>
        <v>25</v>
      </c>
      <c r="N522" s="1" t="s">
        <v>623</v>
      </c>
      <c r="O522" s="1" t="s">
        <v>199</v>
      </c>
      <c r="P522" s="1" t="s">
        <v>1015</v>
      </c>
      <c r="Q522" s="1" t="s">
        <v>1784</v>
      </c>
      <c r="R522" s="1" t="s">
        <v>1805</v>
      </c>
      <c r="S522" s="1" t="s">
        <v>624</v>
      </c>
      <c r="V522" s="1">
        <f>13*0.0288*10</f>
        <v>3.7440000000000002</v>
      </c>
      <c r="Y522" s="1" t="s">
        <v>41</v>
      </c>
      <c r="Z522" s="1" t="s">
        <v>1806</v>
      </c>
      <c r="AA522" s="1" t="s">
        <v>69</v>
      </c>
      <c r="AB522" s="1" t="s">
        <v>1855</v>
      </c>
      <c r="AE522" s="1" t="s">
        <v>1843</v>
      </c>
    </row>
    <row r="523" spans="1:31">
      <c r="A523" s="1" t="s">
        <v>1745</v>
      </c>
      <c r="B523" s="26" t="s">
        <v>1744</v>
      </c>
      <c r="C523" s="60">
        <v>45909</v>
      </c>
      <c r="D523" s="1" t="s">
        <v>130</v>
      </c>
      <c r="E523" s="1" t="s">
        <v>74</v>
      </c>
      <c r="F523" s="1">
        <v>2015</v>
      </c>
      <c r="G523" s="64" t="s">
        <v>1802</v>
      </c>
      <c r="H523" s="1" t="s">
        <v>147</v>
      </c>
      <c r="I523" s="61">
        <v>50.25</v>
      </c>
      <c r="J523" s="61">
        <v>-4.22</v>
      </c>
      <c r="K523" s="61">
        <v>1988</v>
      </c>
      <c r="L523" s="61">
        <v>2012</v>
      </c>
      <c r="M523" s="61">
        <f t="shared" si="10"/>
        <v>25</v>
      </c>
      <c r="N523" s="1" t="s">
        <v>623</v>
      </c>
      <c r="O523" s="1" t="s">
        <v>199</v>
      </c>
      <c r="P523" s="1" t="s">
        <v>1014</v>
      </c>
      <c r="Q523" s="1" t="s">
        <v>1785</v>
      </c>
      <c r="R523" s="1" t="s">
        <v>1805</v>
      </c>
      <c r="S523" s="1" t="s">
        <v>624</v>
      </c>
      <c r="V523" s="1">
        <f>-21*0.0288*10</f>
        <v>-6.048</v>
      </c>
      <c r="Y523" s="1" t="s">
        <v>694</v>
      </c>
      <c r="Z523" s="1" t="s">
        <v>1806</v>
      </c>
      <c r="AA523" s="1" t="s">
        <v>69</v>
      </c>
      <c r="AB523" s="1" t="s">
        <v>1855</v>
      </c>
      <c r="AE523" s="1" t="s">
        <v>1823</v>
      </c>
    </row>
    <row r="524" spans="1:31">
      <c r="A524" s="1" t="s">
        <v>1745</v>
      </c>
      <c r="B524" s="26" t="s">
        <v>1744</v>
      </c>
      <c r="C524" s="60">
        <v>45909</v>
      </c>
      <c r="D524" s="1" t="s">
        <v>130</v>
      </c>
      <c r="E524" s="1" t="s">
        <v>74</v>
      </c>
      <c r="F524" s="1">
        <v>2015</v>
      </c>
      <c r="G524" s="64" t="s">
        <v>1802</v>
      </c>
      <c r="H524" s="1" t="s">
        <v>147</v>
      </c>
      <c r="I524" s="61">
        <v>50.25</v>
      </c>
      <c r="J524" s="61">
        <v>-4.22</v>
      </c>
      <c r="K524" s="61">
        <v>1988</v>
      </c>
      <c r="L524" s="61">
        <v>2012</v>
      </c>
      <c r="M524" s="61">
        <f t="shared" si="10"/>
        <v>25</v>
      </c>
      <c r="N524" s="1" t="s">
        <v>623</v>
      </c>
      <c r="O524" s="1" t="s">
        <v>199</v>
      </c>
      <c r="P524" s="1" t="s">
        <v>1015</v>
      </c>
      <c r="Q524" s="1" t="s">
        <v>1786</v>
      </c>
      <c r="R524" s="1" t="s">
        <v>1805</v>
      </c>
      <c r="S524" s="1" t="s">
        <v>624</v>
      </c>
      <c r="V524" s="1">
        <f>28*0.0288*10</f>
        <v>8.0640000000000001</v>
      </c>
      <c r="Y524" s="1" t="s">
        <v>41</v>
      </c>
      <c r="Z524" s="1" t="s">
        <v>1806</v>
      </c>
      <c r="AA524" s="1" t="s">
        <v>69</v>
      </c>
      <c r="AB524" s="1" t="s">
        <v>1855</v>
      </c>
      <c r="AE524" s="1" t="s">
        <v>1843</v>
      </c>
    </row>
    <row r="525" spans="1:31">
      <c r="A525" s="1" t="s">
        <v>1745</v>
      </c>
      <c r="B525" s="26" t="s">
        <v>1744</v>
      </c>
      <c r="C525" s="60">
        <v>45909</v>
      </c>
      <c r="D525" s="1" t="s">
        <v>130</v>
      </c>
      <c r="E525" s="1" t="s">
        <v>74</v>
      </c>
      <c r="F525" s="1">
        <v>2015</v>
      </c>
      <c r="G525" s="64" t="s">
        <v>1802</v>
      </c>
      <c r="H525" s="1" t="s">
        <v>147</v>
      </c>
      <c r="I525" s="61">
        <v>50.25</v>
      </c>
      <c r="J525" s="61">
        <v>-4.22</v>
      </c>
      <c r="K525" s="61">
        <v>1988</v>
      </c>
      <c r="L525" s="61">
        <v>2012</v>
      </c>
      <c r="M525" s="61">
        <f t="shared" si="10"/>
        <v>25</v>
      </c>
      <c r="N525" s="1" t="s">
        <v>623</v>
      </c>
      <c r="O525" s="1" t="s">
        <v>199</v>
      </c>
      <c r="P525" s="1" t="s">
        <v>1015</v>
      </c>
      <c r="Q525" s="1" t="s">
        <v>1787</v>
      </c>
      <c r="R525" s="1" t="s">
        <v>1805</v>
      </c>
      <c r="S525" s="1" t="s">
        <v>624</v>
      </c>
      <c r="V525" s="1">
        <f>-4*0.0288*10</f>
        <v>-1.1519999999999999</v>
      </c>
      <c r="Y525" s="1" t="s">
        <v>694</v>
      </c>
      <c r="Z525" s="1" t="s">
        <v>1806</v>
      </c>
      <c r="AA525" s="1" t="s">
        <v>69</v>
      </c>
      <c r="AB525" s="1" t="s">
        <v>1855</v>
      </c>
      <c r="AE525" s="1" t="s">
        <v>1823</v>
      </c>
    </row>
    <row r="526" spans="1:31">
      <c r="A526" s="1" t="s">
        <v>1745</v>
      </c>
      <c r="B526" s="26" t="s">
        <v>1744</v>
      </c>
      <c r="C526" s="60">
        <v>45909</v>
      </c>
      <c r="D526" s="1" t="s">
        <v>130</v>
      </c>
      <c r="E526" s="1" t="s">
        <v>74</v>
      </c>
      <c r="F526" s="1">
        <v>2015</v>
      </c>
      <c r="G526" s="64" t="s">
        <v>1802</v>
      </c>
      <c r="H526" s="1" t="s">
        <v>147</v>
      </c>
      <c r="I526" s="61">
        <v>50.25</v>
      </c>
      <c r="J526" s="61">
        <v>-4.22</v>
      </c>
      <c r="K526" s="61">
        <v>1988</v>
      </c>
      <c r="L526" s="61">
        <v>2012</v>
      </c>
      <c r="M526" s="61">
        <f t="shared" si="10"/>
        <v>25</v>
      </c>
      <c r="N526" s="1" t="s">
        <v>623</v>
      </c>
      <c r="O526" s="1" t="s">
        <v>199</v>
      </c>
      <c r="P526" s="1" t="s">
        <v>1015</v>
      </c>
      <c r="Q526" s="1" t="s">
        <v>1788</v>
      </c>
      <c r="R526" s="1" t="s">
        <v>1805</v>
      </c>
      <c r="S526" s="1" t="s">
        <v>624</v>
      </c>
      <c r="V526" s="1">
        <f>1*0.0288*10</f>
        <v>0.28799999999999998</v>
      </c>
      <c r="Y526" s="1" t="s">
        <v>41</v>
      </c>
      <c r="Z526" s="1" t="s">
        <v>1806</v>
      </c>
      <c r="AA526" s="1" t="s">
        <v>69</v>
      </c>
      <c r="AB526" s="1" t="s">
        <v>1855</v>
      </c>
      <c r="AE526" s="1" t="s">
        <v>1844</v>
      </c>
    </row>
    <row r="527" spans="1:31">
      <c r="A527" s="1" t="s">
        <v>1745</v>
      </c>
      <c r="B527" s="26" t="s">
        <v>1744</v>
      </c>
      <c r="C527" s="60">
        <v>45909</v>
      </c>
      <c r="D527" s="1" t="s">
        <v>130</v>
      </c>
      <c r="E527" s="1" t="s">
        <v>74</v>
      </c>
      <c r="F527" s="1">
        <v>2015</v>
      </c>
      <c r="G527" s="64" t="s">
        <v>1802</v>
      </c>
      <c r="H527" s="1" t="s">
        <v>147</v>
      </c>
      <c r="I527" s="61">
        <v>50.25</v>
      </c>
      <c r="J527" s="61">
        <v>-4.22</v>
      </c>
      <c r="K527" s="61">
        <v>1988</v>
      </c>
      <c r="L527" s="61">
        <v>2012</v>
      </c>
      <c r="M527" s="61">
        <f t="shared" si="10"/>
        <v>25</v>
      </c>
      <c r="N527" s="1" t="s">
        <v>623</v>
      </c>
      <c r="O527" s="1" t="s">
        <v>199</v>
      </c>
      <c r="P527" s="1" t="s">
        <v>1014</v>
      </c>
      <c r="Q527" s="1" t="s">
        <v>1789</v>
      </c>
      <c r="R527" s="1" t="s">
        <v>1805</v>
      </c>
      <c r="S527" s="1" t="s">
        <v>624</v>
      </c>
      <c r="V527" s="1">
        <f>0*0.0288*10</f>
        <v>0</v>
      </c>
      <c r="Y527" s="1" t="s">
        <v>41</v>
      </c>
      <c r="Z527" s="1" t="s">
        <v>1806</v>
      </c>
      <c r="AA527" s="1" t="s">
        <v>69</v>
      </c>
      <c r="AB527" s="1" t="s">
        <v>1855</v>
      </c>
      <c r="AE527" s="1" t="s">
        <v>1845</v>
      </c>
    </row>
    <row r="528" spans="1:31">
      <c r="A528" s="1" t="s">
        <v>1745</v>
      </c>
      <c r="B528" s="26" t="s">
        <v>1744</v>
      </c>
      <c r="C528" s="60">
        <v>45909</v>
      </c>
      <c r="D528" s="1" t="s">
        <v>130</v>
      </c>
      <c r="E528" s="1" t="s">
        <v>74</v>
      </c>
      <c r="F528" s="1">
        <v>2015</v>
      </c>
      <c r="G528" s="64" t="s">
        <v>1802</v>
      </c>
      <c r="H528" s="1" t="s">
        <v>147</v>
      </c>
      <c r="I528" s="61">
        <v>50.25</v>
      </c>
      <c r="J528" s="61">
        <v>-4.22</v>
      </c>
      <c r="K528" s="61">
        <v>1988</v>
      </c>
      <c r="L528" s="61">
        <v>2012</v>
      </c>
      <c r="M528" s="61">
        <f t="shared" si="10"/>
        <v>25</v>
      </c>
      <c r="N528" s="1" t="s">
        <v>623</v>
      </c>
      <c r="O528" s="1" t="s">
        <v>199</v>
      </c>
      <c r="P528" s="1" t="s">
        <v>1014</v>
      </c>
      <c r="Q528" s="1" t="s">
        <v>1790</v>
      </c>
      <c r="R528" s="1" t="s">
        <v>1805</v>
      </c>
      <c r="S528" s="1" t="s">
        <v>624</v>
      </c>
      <c r="V528" s="1">
        <f>-14*0.0288*10</f>
        <v>-4.032</v>
      </c>
      <c r="Y528" s="1" t="s">
        <v>694</v>
      </c>
      <c r="Z528" s="1" t="s">
        <v>1806</v>
      </c>
      <c r="AA528" s="1" t="s">
        <v>69</v>
      </c>
      <c r="AB528" s="1" t="s">
        <v>1855</v>
      </c>
      <c r="AE528" s="1" t="s">
        <v>1840</v>
      </c>
    </row>
    <row r="529" spans="1:31">
      <c r="A529" s="1" t="s">
        <v>1745</v>
      </c>
      <c r="B529" s="26" t="s">
        <v>1744</v>
      </c>
      <c r="C529" s="60">
        <v>45909</v>
      </c>
      <c r="D529" s="1" t="s">
        <v>130</v>
      </c>
      <c r="E529" s="1" t="s">
        <v>74</v>
      </c>
      <c r="F529" s="1">
        <v>2015</v>
      </c>
      <c r="G529" s="64" t="s">
        <v>1802</v>
      </c>
      <c r="H529" s="1" t="s">
        <v>147</v>
      </c>
      <c r="I529" s="61">
        <v>50.25</v>
      </c>
      <c r="J529" s="61">
        <v>-4.22</v>
      </c>
      <c r="K529" s="61">
        <v>1988</v>
      </c>
      <c r="L529" s="61">
        <v>2012</v>
      </c>
      <c r="M529" s="61">
        <f t="shared" si="10"/>
        <v>25</v>
      </c>
      <c r="N529" s="1" t="s">
        <v>623</v>
      </c>
      <c r="O529" s="1" t="s">
        <v>199</v>
      </c>
      <c r="P529" s="1" t="s">
        <v>1014</v>
      </c>
      <c r="Q529" s="1" t="s">
        <v>1791</v>
      </c>
      <c r="R529" s="1" t="s">
        <v>1805</v>
      </c>
      <c r="S529" s="1" t="s">
        <v>624</v>
      </c>
      <c r="V529" s="1">
        <f>5*0.0288*10</f>
        <v>1.44</v>
      </c>
      <c r="Y529" s="1" t="s">
        <v>41</v>
      </c>
      <c r="Z529" s="1" t="s">
        <v>1806</v>
      </c>
      <c r="AA529" s="1" t="s">
        <v>69</v>
      </c>
      <c r="AB529" s="1" t="s">
        <v>1855</v>
      </c>
      <c r="AE529" s="1" t="s">
        <v>1846</v>
      </c>
    </row>
    <row r="530" spans="1:31">
      <c r="A530" s="1" t="s">
        <v>1745</v>
      </c>
      <c r="B530" s="26" t="s">
        <v>1744</v>
      </c>
      <c r="C530" s="60">
        <v>45909</v>
      </c>
      <c r="D530" s="1" t="s">
        <v>130</v>
      </c>
      <c r="E530" s="1" t="s">
        <v>74</v>
      </c>
      <c r="F530" s="1">
        <v>2015</v>
      </c>
      <c r="G530" s="64" t="s">
        <v>1802</v>
      </c>
      <c r="H530" s="1" t="s">
        <v>147</v>
      </c>
      <c r="I530" s="61">
        <v>50.25</v>
      </c>
      <c r="J530" s="61">
        <v>-4.22</v>
      </c>
      <c r="K530" s="61">
        <v>1988</v>
      </c>
      <c r="L530" s="61">
        <v>2012</v>
      </c>
      <c r="M530" s="61">
        <f t="shared" si="10"/>
        <v>25</v>
      </c>
      <c r="N530" s="1" t="s">
        <v>623</v>
      </c>
      <c r="O530" s="1" t="s">
        <v>199</v>
      </c>
      <c r="P530" s="1" t="s">
        <v>1014</v>
      </c>
      <c r="Q530" s="1" t="s">
        <v>1792</v>
      </c>
      <c r="R530" s="1" t="s">
        <v>1805</v>
      </c>
      <c r="S530" s="1" t="s">
        <v>624</v>
      </c>
      <c r="V530" s="1">
        <f>1*0.0288*10</f>
        <v>0.28799999999999998</v>
      </c>
      <c r="Y530" s="1" t="s">
        <v>41</v>
      </c>
      <c r="Z530" s="1" t="s">
        <v>1806</v>
      </c>
      <c r="AA530" s="1" t="s">
        <v>69</v>
      </c>
      <c r="AB530" s="1" t="s">
        <v>1855</v>
      </c>
      <c r="AE530" s="1" t="s">
        <v>1847</v>
      </c>
    </row>
    <row r="531" spans="1:31">
      <c r="A531" s="1" t="s">
        <v>1745</v>
      </c>
      <c r="B531" s="26" t="s">
        <v>1744</v>
      </c>
      <c r="C531" s="60">
        <v>45909</v>
      </c>
      <c r="D531" s="1" t="s">
        <v>130</v>
      </c>
      <c r="E531" s="1" t="s">
        <v>74</v>
      </c>
      <c r="F531" s="1">
        <v>2015</v>
      </c>
      <c r="G531" s="64" t="s">
        <v>1802</v>
      </c>
      <c r="H531" s="1" t="s">
        <v>147</v>
      </c>
      <c r="I531" s="61">
        <v>50.25</v>
      </c>
      <c r="J531" s="61">
        <v>-4.22</v>
      </c>
      <c r="K531" s="61">
        <v>1988</v>
      </c>
      <c r="L531" s="61">
        <v>2012</v>
      </c>
      <c r="M531" s="61">
        <f t="shared" si="10"/>
        <v>25</v>
      </c>
      <c r="N531" s="1" t="s">
        <v>623</v>
      </c>
      <c r="O531" s="1" t="s">
        <v>199</v>
      </c>
      <c r="P531" s="1" t="s">
        <v>1857</v>
      </c>
      <c r="Q531" s="1" t="s">
        <v>1794</v>
      </c>
      <c r="R531" s="1" t="s">
        <v>1805</v>
      </c>
      <c r="S531" s="1" t="s">
        <v>624</v>
      </c>
      <c r="V531" s="1">
        <f>6*0.0288*10</f>
        <v>1.7280000000000002</v>
      </c>
      <c r="Y531" s="1" t="s">
        <v>41</v>
      </c>
      <c r="Z531" s="1" t="s">
        <v>1806</v>
      </c>
      <c r="AA531" s="1" t="s">
        <v>69</v>
      </c>
      <c r="AB531" s="1" t="s">
        <v>1855</v>
      </c>
      <c r="AE531" s="1" t="s">
        <v>1849</v>
      </c>
    </row>
    <row r="532" spans="1:31">
      <c r="A532" s="1" t="s">
        <v>1745</v>
      </c>
      <c r="B532" s="26" t="s">
        <v>1744</v>
      </c>
      <c r="C532" s="60">
        <v>45909</v>
      </c>
      <c r="D532" s="1" t="s">
        <v>130</v>
      </c>
      <c r="E532" s="1" t="s">
        <v>74</v>
      </c>
      <c r="F532" s="1">
        <v>2015</v>
      </c>
      <c r="G532" s="64" t="s">
        <v>1802</v>
      </c>
      <c r="H532" s="1" t="s">
        <v>147</v>
      </c>
      <c r="I532" s="61">
        <v>50.25</v>
      </c>
      <c r="J532" s="61">
        <v>-4.22</v>
      </c>
      <c r="K532" s="61">
        <v>1988</v>
      </c>
      <c r="L532" s="61">
        <v>2012</v>
      </c>
      <c r="M532" s="61">
        <f t="shared" si="10"/>
        <v>25</v>
      </c>
      <c r="N532" s="1" t="s">
        <v>623</v>
      </c>
      <c r="O532" s="1" t="s">
        <v>199</v>
      </c>
      <c r="P532" s="1" t="s">
        <v>1857</v>
      </c>
      <c r="Q532" s="1" t="s">
        <v>1795</v>
      </c>
      <c r="R532" s="1" t="s">
        <v>1805</v>
      </c>
      <c r="S532" s="1" t="s">
        <v>624</v>
      </c>
      <c r="V532" s="1">
        <f>-6*0.0288*10</f>
        <v>-1.7280000000000002</v>
      </c>
      <c r="Y532" s="1" t="s">
        <v>694</v>
      </c>
      <c r="Z532" s="1" t="s">
        <v>1806</v>
      </c>
      <c r="AA532" s="1" t="s">
        <v>69</v>
      </c>
      <c r="AB532" s="1" t="s">
        <v>1855</v>
      </c>
      <c r="AE532" s="1" t="s">
        <v>1809</v>
      </c>
    </row>
    <row r="533" spans="1:31">
      <c r="A533" s="1" t="s">
        <v>1745</v>
      </c>
      <c r="B533" s="26" t="s">
        <v>1744</v>
      </c>
      <c r="C533" s="60">
        <v>45909</v>
      </c>
      <c r="D533" s="1" t="s">
        <v>130</v>
      </c>
      <c r="E533" s="1" t="s">
        <v>74</v>
      </c>
      <c r="F533" s="1">
        <v>2015</v>
      </c>
      <c r="G533" s="64" t="s">
        <v>1802</v>
      </c>
      <c r="H533" s="1" t="s">
        <v>147</v>
      </c>
      <c r="I533" s="61">
        <v>50.25</v>
      </c>
      <c r="J533" s="61">
        <v>-4.22</v>
      </c>
      <c r="K533" s="61">
        <v>1988</v>
      </c>
      <c r="L533" s="61">
        <v>2012</v>
      </c>
      <c r="M533" s="61">
        <f t="shared" si="10"/>
        <v>25</v>
      </c>
      <c r="N533" s="1" t="s">
        <v>623</v>
      </c>
      <c r="O533" s="1" t="s">
        <v>199</v>
      </c>
      <c r="P533" s="1" t="s">
        <v>1020</v>
      </c>
      <c r="Q533" s="1" t="s">
        <v>1796</v>
      </c>
      <c r="R533" s="1" t="s">
        <v>1805</v>
      </c>
      <c r="S533" s="1" t="s">
        <v>624</v>
      </c>
      <c r="V533" s="1">
        <f>-66*0.0288*10</f>
        <v>-19.007999999999999</v>
      </c>
      <c r="Y533" s="1" t="s">
        <v>694</v>
      </c>
      <c r="Z533" s="1" t="s">
        <v>1806</v>
      </c>
      <c r="AA533" s="1" t="s">
        <v>69</v>
      </c>
      <c r="AB533" s="1" t="s">
        <v>1855</v>
      </c>
      <c r="AE533" s="1" t="s">
        <v>1850</v>
      </c>
    </row>
    <row r="534" spans="1:31">
      <c r="A534" s="1" t="s">
        <v>1745</v>
      </c>
      <c r="B534" s="26" t="s">
        <v>1744</v>
      </c>
      <c r="C534" s="60">
        <v>45909</v>
      </c>
      <c r="D534" s="1" t="s">
        <v>130</v>
      </c>
      <c r="E534" s="1" t="s">
        <v>74</v>
      </c>
      <c r="F534" s="1">
        <v>2015</v>
      </c>
      <c r="G534" s="64" t="s">
        <v>1802</v>
      </c>
      <c r="H534" s="1" t="s">
        <v>147</v>
      </c>
      <c r="I534" s="61">
        <v>50.25</v>
      </c>
      <c r="J534" s="61">
        <v>-4.22</v>
      </c>
      <c r="K534" s="61">
        <v>1988</v>
      </c>
      <c r="L534" s="61">
        <v>2012</v>
      </c>
      <c r="M534" s="61">
        <f t="shared" si="10"/>
        <v>25</v>
      </c>
      <c r="N534" s="1" t="s">
        <v>623</v>
      </c>
      <c r="O534" s="1" t="s">
        <v>199</v>
      </c>
      <c r="P534" s="1" t="s">
        <v>1804</v>
      </c>
      <c r="Q534" s="1" t="s">
        <v>1797</v>
      </c>
      <c r="R534" s="1" t="s">
        <v>1805</v>
      </c>
      <c r="S534" s="1" t="s">
        <v>624</v>
      </c>
      <c r="V534" s="1">
        <f>2*0.0288*10</f>
        <v>0.57599999999999996</v>
      </c>
      <c r="Y534" s="1" t="s">
        <v>41</v>
      </c>
      <c r="Z534" s="1" t="s">
        <v>1806</v>
      </c>
      <c r="AA534" s="1" t="s">
        <v>69</v>
      </c>
      <c r="AB534" s="1" t="s">
        <v>1855</v>
      </c>
      <c r="AE534" s="1" t="s">
        <v>1851</v>
      </c>
    </row>
    <row r="535" spans="1:31">
      <c r="A535" s="1" t="s">
        <v>1745</v>
      </c>
      <c r="B535" s="26" t="s">
        <v>1744</v>
      </c>
      <c r="C535" s="60">
        <v>45909</v>
      </c>
      <c r="D535" s="1" t="s">
        <v>130</v>
      </c>
      <c r="E535" s="1" t="s">
        <v>74</v>
      </c>
      <c r="F535" s="1">
        <v>2015</v>
      </c>
      <c r="G535" s="64" t="s">
        <v>1802</v>
      </c>
      <c r="H535" s="1" t="s">
        <v>147</v>
      </c>
      <c r="I535" s="61">
        <v>50.25</v>
      </c>
      <c r="J535" s="61">
        <v>-4.22</v>
      </c>
      <c r="K535" s="61">
        <v>1988</v>
      </c>
      <c r="L535" s="61">
        <v>2012</v>
      </c>
      <c r="M535" s="61">
        <f t="shared" si="10"/>
        <v>25</v>
      </c>
      <c r="N535" s="1" t="s">
        <v>623</v>
      </c>
      <c r="O535" s="1" t="s">
        <v>199</v>
      </c>
      <c r="P535" s="1" t="s">
        <v>1014</v>
      </c>
      <c r="Q535" s="1" t="s">
        <v>1798</v>
      </c>
      <c r="R535" s="1" t="s">
        <v>1805</v>
      </c>
      <c r="S535" s="1" t="s">
        <v>624</v>
      </c>
      <c r="V535" s="1">
        <f>18*0.0288*10</f>
        <v>5.1839999999999993</v>
      </c>
      <c r="Y535" s="1" t="s">
        <v>41</v>
      </c>
      <c r="Z535" s="1" t="s">
        <v>1806</v>
      </c>
      <c r="AA535" s="1" t="s">
        <v>69</v>
      </c>
      <c r="AB535" s="1" t="s">
        <v>1855</v>
      </c>
      <c r="AE535" s="1" t="s">
        <v>1842</v>
      </c>
    </row>
    <row r="536" spans="1:31">
      <c r="A536" s="1" t="s">
        <v>1745</v>
      </c>
      <c r="B536" s="26" t="s">
        <v>1744</v>
      </c>
      <c r="C536" s="60">
        <v>45909</v>
      </c>
      <c r="D536" s="1" t="s">
        <v>130</v>
      </c>
      <c r="E536" s="1" t="s">
        <v>74</v>
      </c>
      <c r="F536" s="1">
        <v>2015</v>
      </c>
      <c r="G536" s="64" t="s">
        <v>1802</v>
      </c>
      <c r="H536" s="1" t="s">
        <v>147</v>
      </c>
      <c r="I536" s="61">
        <v>50.25</v>
      </c>
      <c r="J536" s="61">
        <v>-4.22</v>
      </c>
      <c r="K536" s="61">
        <v>1988</v>
      </c>
      <c r="L536" s="61">
        <v>2012</v>
      </c>
      <c r="M536" s="61">
        <f t="shared" si="10"/>
        <v>25</v>
      </c>
      <c r="N536" s="1" t="s">
        <v>623</v>
      </c>
      <c r="O536" s="1" t="s">
        <v>199</v>
      </c>
      <c r="P536" s="1" t="s">
        <v>1015</v>
      </c>
      <c r="Q536" s="1" t="s">
        <v>1799</v>
      </c>
      <c r="R536" s="1" t="s">
        <v>1805</v>
      </c>
      <c r="S536" s="1" t="s">
        <v>624</v>
      </c>
      <c r="V536" s="1">
        <f>2*0.0288*10</f>
        <v>0.57599999999999996</v>
      </c>
      <c r="Y536" s="1" t="s">
        <v>41</v>
      </c>
      <c r="Z536" s="1" t="s">
        <v>1806</v>
      </c>
      <c r="AA536" s="1" t="s">
        <v>69</v>
      </c>
      <c r="AB536" s="1" t="s">
        <v>1855</v>
      </c>
      <c r="AE536" s="1" t="s">
        <v>1852</v>
      </c>
    </row>
    <row r="537" spans="1:31">
      <c r="A537" s="1" t="s">
        <v>1745</v>
      </c>
      <c r="B537" s="26" t="s">
        <v>1744</v>
      </c>
      <c r="C537" s="60">
        <v>45909</v>
      </c>
      <c r="D537" s="1" t="s">
        <v>130</v>
      </c>
      <c r="E537" s="1" t="s">
        <v>74</v>
      </c>
      <c r="F537" s="1">
        <v>2015</v>
      </c>
      <c r="G537" s="64" t="s">
        <v>1802</v>
      </c>
      <c r="H537" s="1" t="s">
        <v>147</v>
      </c>
      <c r="I537" s="61">
        <v>50.25</v>
      </c>
      <c r="J537" s="61">
        <v>-4.22</v>
      </c>
      <c r="K537" s="61">
        <v>1988</v>
      </c>
      <c r="L537" s="61">
        <v>2012</v>
      </c>
      <c r="M537" s="61">
        <f t="shared" si="10"/>
        <v>25</v>
      </c>
      <c r="N537" s="1" t="s">
        <v>623</v>
      </c>
      <c r="O537" s="1" t="s">
        <v>205</v>
      </c>
      <c r="P537" s="1" t="s">
        <v>788</v>
      </c>
      <c r="Q537" s="1" t="s">
        <v>1800</v>
      </c>
      <c r="R537" s="1" t="s">
        <v>1805</v>
      </c>
      <c r="S537" s="1" t="s">
        <v>624</v>
      </c>
      <c r="V537" s="1">
        <f>3*0.0288*10</f>
        <v>0.8640000000000001</v>
      </c>
      <c r="Y537" s="1" t="s">
        <v>41</v>
      </c>
      <c r="Z537" s="1" t="s">
        <v>1806</v>
      </c>
      <c r="AA537" s="1" t="s">
        <v>69</v>
      </c>
      <c r="AB537" s="1" t="s">
        <v>1855</v>
      </c>
      <c r="AE537" s="1" t="s">
        <v>1853</v>
      </c>
    </row>
    <row r="538" spans="1:31">
      <c r="A538" s="1" t="s">
        <v>1745</v>
      </c>
      <c r="B538" s="26" t="s">
        <v>1744</v>
      </c>
      <c r="C538" s="60">
        <v>45909</v>
      </c>
      <c r="D538" s="1" t="s">
        <v>130</v>
      </c>
      <c r="E538" s="1" t="s">
        <v>74</v>
      </c>
      <c r="F538" s="1">
        <v>2015</v>
      </c>
      <c r="G538" s="64" t="s">
        <v>1802</v>
      </c>
      <c r="H538" s="1" t="s">
        <v>147</v>
      </c>
      <c r="I538" s="61">
        <v>50.25</v>
      </c>
      <c r="J538" s="61">
        <v>-4.22</v>
      </c>
      <c r="K538" s="61">
        <v>1988</v>
      </c>
      <c r="L538" s="61">
        <v>2012</v>
      </c>
      <c r="M538" s="61">
        <f t="shared" si="10"/>
        <v>25</v>
      </c>
      <c r="N538" s="1" t="s">
        <v>623</v>
      </c>
      <c r="O538" s="1" t="s">
        <v>205</v>
      </c>
      <c r="P538" s="1" t="s">
        <v>788</v>
      </c>
      <c r="Q538" s="1" t="s">
        <v>1801</v>
      </c>
      <c r="R538" s="1" t="s">
        <v>1805</v>
      </c>
      <c r="S538" s="1" t="s">
        <v>624</v>
      </c>
      <c r="V538" s="1">
        <f>-7*0.0288*10</f>
        <v>-2.016</v>
      </c>
      <c r="Y538" s="1" t="s">
        <v>694</v>
      </c>
      <c r="Z538" s="1" t="s">
        <v>1806</v>
      </c>
      <c r="AA538" s="1" t="s">
        <v>69</v>
      </c>
      <c r="AB538" s="1" t="s">
        <v>1855</v>
      </c>
      <c r="AE538" s="1" t="s">
        <v>1854</v>
      </c>
    </row>
    <row r="539" spans="1:31">
      <c r="A539" s="1" t="s">
        <v>1745</v>
      </c>
      <c r="B539" s="26" t="s">
        <v>1744</v>
      </c>
      <c r="C539" s="60">
        <v>45909</v>
      </c>
      <c r="D539" s="1" t="s">
        <v>44</v>
      </c>
      <c r="E539" s="1" t="s">
        <v>74</v>
      </c>
      <c r="F539" s="1">
        <v>2015</v>
      </c>
      <c r="G539" s="64" t="s">
        <v>1802</v>
      </c>
      <c r="H539" s="1" t="s">
        <v>147</v>
      </c>
      <c r="I539" s="61">
        <v>50.25</v>
      </c>
      <c r="J539" s="61">
        <v>-4.22</v>
      </c>
      <c r="K539" s="61">
        <v>1988</v>
      </c>
      <c r="L539" s="61">
        <v>2012</v>
      </c>
      <c r="M539" s="61">
        <f t="shared" si="10"/>
        <v>25</v>
      </c>
      <c r="N539" s="1" t="s">
        <v>623</v>
      </c>
      <c r="O539" s="1" t="s">
        <v>199</v>
      </c>
      <c r="P539" s="1" t="s">
        <v>1886</v>
      </c>
      <c r="Q539" s="1" t="s">
        <v>1753</v>
      </c>
      <c r="R539" s="1" t="s">
        <v>1805</v>
      </c>
      <c r="S539" s="1" t="s">
        <v>624</v>
      </c>
      <c r="T539"/>
      <c r="U539"/>
      <c r="V539" s="1">
        <f>3*0.0288*10</f>
        <v>0.8640000000000001</v>
      </c>
      <c r="W539"/>
      <c r="X539"/>
      <c r="Y539" s="1" t="s">
        <v>41</v>
      </c>
      <c r="Z539" s="1" t="s">
        <v>1806</v>
      </c>
      <c r="AA539" s="1" t="s">
        <v>69</v>
      </c>
      <c r="AB539" s="1" t="s">
        <v>1855</v>
      </c>
      <c r="AC539"/>
      <c r="AD539"/>
      <c r="AE539" s="1" t="s">
        <v>1814</v>
      </c>
    </row>
    <row r="540" spans="1:31">
      <c r="A540" s="1" t="s">
        <v>1745</v>
      </c>
      <c r="B540" s="26" t="s">
        <v>1744</v>
      </c>
      <c r="C540" s="60">
        <v>45909</v>
      </c>
      <c r="D540" s="1" t="s">
        <v>44</v>
      </c>
      <c r="E540" s="1" t="s">
        <v>74</v>
      </c>
      <c r="F540" s="1">
        <v>2015</v>
      </c>
      <c r="G540" s="64" t="s">
        <v>1802</v>
      </c>
      <c r="H540" s="1" t="s">
        <v>147</v>
      </c>
      <c r="I540" s="61">
        <v>50.25</v>
      </c>
      <c r="J540" s="61">
        <v>-4.22</v>
      </c>
      <c r="K540" s="61">
        <v>1988</v>
      </c>
      <c r="L540" s="61">
        <v>2012</v>
      </c>
      <c r="M540" s="61">
        <f t="shared" ref="M540:M542" si="11">L540-K540+1</f>
        <v>25</v>
      </c>
      <c r="N540" s="1" t="s">
        <v>623</v>
      </c>
      <c r="O540" s="1" t="s">
        <v>205</v>
      </c>
      <c r="P540" s="1" t="s">
        <v>1803</v>
      </c>
      <c r="Q540" s="1" t="s">
        <v>1766</v>
      </c>
      <c r="R540" s="1" t="s">
        <v>1805</v>
      </c>
      <c r="S540" s="1" t="s">
        <v>624</v>
      </c>
      <c r="V540" s="1">
        <f>3*0.0288*10</f>
        <v>0.8640000000000001</v>
      </c>
      <c r="Y540" s="1" t="s">
        <v>41</v>
      </c>
      <c r="Z540" s="1" t="s">
        <v>1806</v>
      </c>
      <c r="AA540" s="1" t="s">
        <v>69</v>
      </c>
      <c r="AB540" s="1" t="s">
        <v>1855</v>
      </c>
      <c r="AE540" s="1" t="s">
        <v>1825</v>
      </c>
    </row>
    <row r="541" spans="1:31">
      <c r="A541" s="1" t="s">
        <v>1745</v>
      </c>
      <c r="B541" s="26" t="s">
        <v>1744</v>
      </c>
      <c r="C541" s="60">
        <v>45909</v>
      </c>
      <c r="D541" s="1" t="s">
        <v>44</v>
      </c>
      <c r="E541" s="1" t="s">
        <v>74</v>
      </c>
      <c r="F541" s="1">
        <v>2015</v>
      </c>
      <c r="G541" s="64" t="s">
        <v>1802</v>
      </c>
      <c r="H541" s="1" t="s">
        <v>147</v>
      </c>
      <c r="I541" s="61">
        <v>50.25</v>
      </c>
      <c r="J541" s="61">
        <v>-4.22</v>
      </c>
      <c r="K541" s="61">
        <v>1988</v>
      </c>
      <c r="L541" s="61">
        <v>2012</v>
      </c>
      <c r="M541" s="61">
        <f t="shared" si="11"/>
        <v>25</v>
      </c>
      <c r="N541" s="1" t="s">
        <v>623</v>
      </c>
      <c r="O541" s="1" t="s">
        <v>199</v>
      </c>
      <c r="P541" s="1" t="s">
        <v>1803</v>
      </c>
      <c r="Q541" s="1" t="s">
        <v>1775</v>
      </c>
      <c r="R541" s="1" t="s">
        <v>1805</v>
      </c>
      <c r="S541" s="1" t="s">
        <v>624</v>
      </c>
      <c r="V541" s="1">
        <f>7*0.0288*10</f>
        <v>2.016</v>
      </c>
      <c r="Y541" s="1" t="s">
        <v>41</v>
      </c>
      <c r="Z541" s="1" t="s">
        <v>1806</v>
      </c>
      <c r="AA541" s="1" t="s">
        <v>69</v>
      </c>
      <c r="AB541" s="1" t="s">
        <v>1855</v>
      </c>
      <c r="AE541" s="1" t="s">
        <v>1834</v>
      </c>
    </row>
    <row r="542" spans="1:31">
      <c r="A542" s="1" t="s">
        <v>1745</v>
      </c>
      <c r="B542" s="26" t="s">
        <v>1744</v>
      </c>
      <c r="C542" s="60">
        <v>45909</v>
      </c>
      <c r="D542" s="1" t="s">
        <v>44</v>
      </c>
      <c r="E542" s="1" t="s">
        <v>74</v>
      </c>
      <c r="F542" s="1">
        <v>2015</v>
      </c>
      <c r="G542" s="64" t="s">
        <v>1802</v>
      </c>
      <c r="H542" s="1" t="s">
        <v>147</v>
      </c>
      <c r="I542" s="61">
        <v>50.25</v>
      </c>
      <c r="J542" s="61">
        <v>-4.22</v>
      </c>
      <c r="K542" s="61">
        <v>1988</v>
      </c>
      <c r="L542" s="61">
        <v>2012</v>
      </c>
      <c r="M542" s="61">
        <f t="shared" si="11"/>
        <v>25</v>
      </c>
      <c r="N542" s="1" t="s">
        <v>623</v>
      </c>
      <c r="O542" s="1" t="s">
        <v>199</v>
      </c>
      <c r="P542" s="1" t="s">
        <v>1803</v>
      </c>
      <c r="Q542" s="1" t="s">
        <v>1793</v>
      </c>
      <c r="R542" s="1" t="s">
        <v>1805</v>
      </c>
      <c r="S542" s="1" t="s">
        <v>624</v>
      </c>
      <c r="V542" s="1">
        <f>10*0.0288*10</f>
        <v>2.88</v>
      </c>
      <c r="Y542" s="1" t="s">
        <v>41</v>
      </c>
      <c r="Z542" s="1" t="s">
        <v>1806</v>
      </c>
      <c r="AA542" s="1" t="s">
        <v>69</v>
      </c>
      <c r="AB542" s="1" t="s">
        <v>1855</v>
      </c>
      <c r="AE542" s="1" t="s">
        <v>1848</v>
      </c>
    </row>
    <row r="543" spans="1:31">
      <c r="A543" s="1" t="s">
        <v>276</v>
      </c>
      <c r="C543" s="60">
        <v>45875</v>
      </c>
      <c r="D543" s="1" t="s">
        <v>130</v>
      </c>
      <c r="E543" s="1" t="s">
        <v>776</v>
      </c>
      <c r="F543" s="1">
        <v>2013</v>
      </c>
      <c r="I543" s="1">
        <v>65.44</v>
      </c>
      <c r="J543" s="1">
        <v>36.94</v>
      </c>
      <c r="K543" s="1">
        <v>1957</v>
      </c>
      <c r="O543" s="1" t="s">
        <v>199</v>
      </c>
      <c r="P543" s="1" t="s">
        <v>1014</v>
      </c>
      <c r="Q543" s="1" t="s">
        <v>278</v>
      </c>
      <c r="R543" s="1" t="s">
        <v>777</v>
      </c>
      <c r="S543" s="1" t="s">
        <v>71</v>
      </c>
      <c r="T543" s="1" t="s">
        <v>40</v>
      </c>
      <c r="U543" s="1" t="s">
        <v>52</v>
      </c>
      <c r="V543" s="1">
        <v>-3.6</v>
      </c>
      <c r="W543" s="1" t="s">
        <v>201</v>
      </c>
      <c r="X543" s="1" t="s">
        <v>40</v>
      </c>
      <c r="Y543" s="1" t="s">
        <v>694</v>
      </c>
      <c r="Z543" s="1" t="s">
        <v>40</v>
      </c>
      <c r="AA543" s="1" t="s">
        <v>40</v>
      </c>
      <c r="AB543" s="1" t="s">
        <v>40</v>
      </c>
      <c r="AC543" s="1" t="s">
        <v>40</v>
      </c>
      <c r="AD543" s="1" t="s">
        <v>40</v>
      </c>
      <c r="AE543" s="1" t="s">
        <v>778</v>
      </c>
    </row>
    <row r="544" spans="1:31">
      <c r="A544" s="1" t="s">
        <v>276</v>
      </c>
      <c r="C544" s="60">
        <v>45875</v>
      </c>
      <c r="D544" s="1" t="s">
        <v>130</v>
      </c>
      <c r="E544" s="1" t="s">
        <v>776</v>
      </c>
      <c r="F544" s="1">
        <v>2013</v>
      </c>
      <c r="I544" s="1">
        <v>65.44</v>
      </c>
      <c r="J544" s="1">
        <v>36.94</v>
      </c>
      <c r="K544" s="1">
        <v>1957</v>
      </c>
      <c r="O544" s="1" t="s">
        <v>199</v>
      </c>
      <c r="P544" s="1" t="s">
        <v>1014</v>
      </c>
      <c r="Q544" s="1" t="s">
        <v>280</v>
      </c>
      <c r="R544" s="1" t="s">
        <v>777</v>
      </c>
      <c r="S544" s="1" t="s">
        <v>71</v>
      </c>
      <c r="T544" s="1" t="s">
        <v>40</v>
      </c>
      <c r="U544" s="1" t="s">
        <v>52</v>
      </c>
      <c r="V544" s="1">
        <v>0</v>
      </c>
      <c r="W544" s="1" t="s">
        <v>223</v>
      </c>
      <c r="X544" s="1" t="s">
        <v>40</v>
      </c>
      <c r="Y544" s="1" t="s">
        <v>41</v>
      </c>
      <c r="Z544" s="1" t="s">
        <v>40</v>
      </c>
      <c r="AA544" s="1" t="s">
        <v>40</v>
      </c>
      <c r="AB544" s="1" t="s">
        <v>40</v>
      </c>
      <c r="AC544" s="1" t="s">
        <v>40</v>
      </c>
      <c r="AD544" s="1" t="s">
        <v>40</v>
      </c>
      <c r="AE544" s="1" t="s">
        <v>778</v>
      </c>
    </row>
    <row r="545" spans="1:31">
      <c r="A545" s="1" t="s">
        <v>276</v>
      </c>
      <c r="C545" s="60">
        <v>45875</v>
      </c>
      <c r="D545" s="1" t="s">
        <v>130</v>
      </c>
      <c r="E545" s="1" t="s">
        <v>776</v>
      </c>
      <c r="F545" s="1">
        <v>2013</v>
      </c>
      <c r="I545" s="1">
        <v>65.44</v>
      </c>
      <c r="J545" s="1">
        <v>36.94</v>
      </c>
      <c r="K545" s="1">
        <v>1957</v>
      </c>
      <c r="O545" s="1" t="s">
        <v>199</v>
      </c>
      <c r="P545" s="1" t="s">
        <v>1014</v>
      </c>
      <c r="Q545" s="1" t="s">
        <v>110</v>
      </c>
      <c r="R545" s="1" t="s">
        <v>777</v>
      </c>
      <c r="S545" s="1" t="s">
        <v>71</v>
      </c>
      <c r="T545" s="1" t="s">
        <v>40</v>
      </c>
      <c r="U545" s="1" t="s">
        <v>52</v>
      </c>
      <c r="V545" s="1">
        <v>0</v>
      </c>
      <c r="W545" s="1" t="s">
        <v>223</v>
      </c>
      <c r="X545" s="1" t="s">
        <v>40</v>
      </c>
      <c r="Y545" s="1" t="s">
        <v>41</v>
      </c>
      <c r="Z545" s="1" t="s">
        <v>40</v>
      </c>
      <c r="AA545" s="1" t="s">
        <v>40</v>
      </c>
      <c r="AB545" s="1" t="s">
        <v>40</v>
      </c>
      <c r="AC545" s="1" t="s">
        <v>40</v>
      </c>
      <c r="AD545" s="1" t="s">
        <v>40</v>
      </c>
      <c r="AE545" s="1" t="s">
        <v>778</v>
      </c>
    </row>
    <row r="546" spans="1:31">
      <c r="A546" s="1" t="s">
        <v>276</v>
      </c>
      <c r="C546" s="60">
        <v>45875</v>
      </c>
      <c r="D546" s="1" t="s">
        <v>130</v>
      </c>
      <c r="E546" s="1" t="s">
        <v>776</v>
      </c>
      <c r="F546" s="1">
        <v>2013</v>
      </c>
      <c r="I546" s="1">
        <v>65.44</v>
      </c>
      <c r="J546" s="1">
        <v>36.94</v>
      </c>
      <c r="K546" s="1">
        <v>1957</v>
      </c>
      <c r="O546" s="1" t="s">
        <v>199</v>
      </c>
      <c r="P546" s="1" t="s">
        <v>1014</v>
      </c>
      <c r="Q546" s="1" t="s">
        <v>64</v>
      </c>
      <c r="R546" s="1" t="s">
        <v>777</v>
      </c>
      <c r="S546" s="1" t="s">
        <v>71</v>
      </c>
      <c r="T546" s="1" t="s">
        <v>40</v>
      </c>
      <c r="U546" s="1" t="s">
        <v>52</v>
      </c>
      <c r="V546" s="1">
        <v>0</v>
      </c>
      <c r="W546" s="1" t="s">
        <v>223</v>
      </c>
      <c r="X546" s="1" t="s">
        <v>40</v>
      </c>
      <c r="Y546" s="1" t="s">
        <v>41</v>
      </c>
      <c r="Z546" s="1" t="s">
        <v>40</v>
      </c>
      <c r="AA546" s="1" t="s">
        <v>40</v>
      </c>
      <c r="AB546" s="1" t="s">
        <v>40</v>
      </c>
      <c r="AC546" s="1" t="s">
        <v>40</v>
      </c>
      <c r="AD546" s="1" t="s">
        <v>40</v>
      </c>
      <c r="AE546" s="1" t="s">
        <v>778</v>
      </c>
    </row>
    <row r="547" spans="1:31">
      <c r="A547" s="1" t="s">
        <v>276</v>
      </c>
      <c r="C547" s="60">
        <v>45875</v>
      </c>
      <c r="D547" s="1" t="s">
        <v>130</v>
      </c>
      <c r="E547" s="1" t="s">
        <v>776</v>
      </c>
      <c r="F547" s="1">
        <v>2013</v>
      </c>
      <c r="I547" s="1">
        <v>65.44</v>
      </c>
      <c r="J547" s="1">
        <v>36.94</v>
      </c>
      <c r="K547" s="1">
        <v>1957</v>
      </c>
      <c r="O547" s="1" t="s">
        <v>199</v>
      </c>
      <c r="P547" s="1" t="s">
        <v>98</v>
      </c>
      <c r="Q547" s="1" t="s">
        <v>281</v>
      </c>
      <c r="R547" s="1" t="s">
        <v>777</v>
      </c>
      <c r="S547" s="1" t="s">
        <v>71</v>
      </c>
      <c r="T547" s="1" t="s">
        <v>40</v>
      </c>
      <c r="U547" s="1" t="s">
        <v>52</v>
      </c>
      <c r="V547" s="1">
        <v>0</v>
      </c>
      <c r="W547" s="1" t="s">
        <v>223</v>
      </c>
      <c r="X547" s="1" t="s">
        <v>40</v>
      </c>
      <c r="Y547" s="1" t="s">
        <v>41</v>
      </c>
      <c r="Z547" s="1" t="s">
        <v>40</v>
      </c>
      <c r="AA547" s="1" t="s">
        <v>40</v>
      </c>
      <c r="AB547" s="1" t="s">
        <v>40</v>
      </c>
      <c r="AC547" s="1" t="s">
        <v>40</v>
      </c>
      <c r="AD547" s="1" t="s">
        <v>40</v>
      </c>
      <c r="AE547" s="1" t="s">
        <v>778</v>
      </c>
    </row>
    <row r="548" spans="1:31">
      <c r="A548" s="1" t="s">
        <v>61</v>
      </c>
      <c r="B548" s="1" t="s">
        <v>1322</v>
      </c>
      <c r="C548" s="54">
        <v>45863</v>
      </c>
      <c r="D548" s="1" t="s">
        <v>130</v>
      </c>
      <c r="E548" s="1" t="s">
        <v>751</v>
      </c>
      <c r="F548" s="1">
        <v>2012</v>
      </c>
      <c r="G548" s="1" t="s">
        <v>62</v>
      </c>
      <c r="H548" s="1" t="s">
        <v>27</v>
      </c>
      <c r="I548" s="1">
        <v>56.51</v>
      </c>
      <c r="J548" s="1">
        <v>3.52</v>
      </c>
      <c r="K548" s="1">
        <v>1983</v>
      </c>
      <c r="L548" s="1">
        <v>2006</v>
      </c>
      <c r="M548" s="1">
        <f>L548-K548+1</f>
        <v>24</v>
      </c>
      <c r="N548" s="1" t="s">
        <v>30</v>
      </c>
      <c r="O548" s="1" t="s">
        <v>199</v>
      </c>
      <c r="P548" s="1" t="s">
        <v>1014</v>
      </c>
      <c r="Q548" s="58" t="s">
        <v>63</v>
      </c>
      <c r="R548" s="1" t="s">
        <v>29</v>
      </c>
      <c r="S548" s="1" t="s">
        <v>38</v>
      </c>
      <c r="T548" s="1" t="s">
        <v>40</v>
      </c>
      <c r="U548" s="1" t="s">
        <v>40</v>
      </c>
      <c r="V548" s="59">
        <v>-6.3259514179087803</v>
      </c>
      <c r="W548" s="59"/>
      <c r="X548" s="1" t="s">
        <v>40</v>
      </c>
      <c r="Y548" s="1" t="s">
        <v>694</v>
      </c>
      <c r="Z548" s="1" t="s">
        <v>40</v>
      </c>
      <c r="AA548" s="1" t="s">
        <v>69</v>
      </c>
      <c r="AB548" s="1" t="s">
        <v>68</v>
      </c>
      <c r="AC548" s="1" t="s">
        <v>44</v>
      </c>
      <c r="AD548" s="1" t="s">
        <v>40</v>
      </c>
      <c r="AE548" s="1" t="s">
        <v>40</v>
      </c>
    </row>
    <row r="549" spans="1:31">
      <c r="A549" s="1" t="s">
        <v>61</v>
      </c>
      <c r="B549" s="1" t="s">
        <v>1322</v>
      </c>
      <c r="C549" s="54">
        <v>45863</v>
      </c>
      <c r="D549" s="1" t="s">
        <v>130</v>
      </c>
      <c r="E549" s="1" t="s">
        <v>751</v>
      </c>
      <c r="F549" s="1">
        <v>2012</v>
      </c>
      <c r="G549" s="1" t="s">
        <v>62</v>
      </c>
      <c r="H549" s="1" t="s">
        <v>27</v>
      </c>
      <c r="I549" s="1">
        <v>56.51</v>
      </c>
      <c r="J549" s="1">
        <v>3.52</v>
      </c>
      <c r="K549" s="1">
        <v>1983</v>
      </c>
      <c r="L549" s="1">
        <v>2006</v>
      </c>
      <c r="M549" s="1">
        <f>L549-K549+1</f>
        <v>24</v>
      </c>
      <c r="N549" s="1" t="s">
        <v>30</v>
      </c>
      <c r="O549" s="1" t="s">
        <v>199</v>
      </c>
      <c r="P549" s="1" t="s">
        <v>1014</v>
      </c>
      <c r="Q549" s="58" t="s">
        <v>64</v>
      </c>
      <c r="R549" s="1" t="s">
        <v>29</v>
      </c>
      <c r="S549" s="1" t="s">
        <v>38</v>
      </c>
      <c r="T549" s="1" t="s">
        <v>40</v>
      </c>
      <c r="U549" s="1" t="s">
        <v>40</v>
      </c>
      <c r="V549" s="59">
        <v>-11.267290889181799</v>
      </c>
      <c r="W549" s="59"/>
      <c r="X549" s="1" t="s">
        <v>40</v>
      </c>
      <c r="Y549" s="1" t="s">
        <v>694</v>
      </c>
      <c r="Z549" s="1" t="s">
        <v>40</v>
      </c>
      <c r="AA549" s="1" t="s">
        <v>69</v>
      </c>
      <c r="AB549" s="1" t="s">
        <v>68</v>
      </c>
      <c r="AC549" s="1" t="s">
        <v>44</v>
      </c>
      <c r="AD549" s="1" t="s">
        <v>40</v>
      </c>
      <c r="AE549" s="1" t="s">
        <v>40</v>
      </c>
    </row>
    <row r="550" spans="1:31">
      <c r="A550" s="1" t="s">
        <v>61</v>
      </c>
      <c r="B550" s="1" t="s">
        <v>1322</v>
      </c>
      <c r="C550" s="54">
        <v>45863</v>
      </c>
      <c r="D550" s="1" t="s">
        <v>130</v>
      </c>
      <c r="E550" s="1" t="s">
        <v>751</v>
      </c>
      <c r="F550" s="1">
        <v>2012</v>
      </c>
      <c r="G550" s="1" t="s">
        <v>62</v>
      </c>
      <c r="H550" s="1" t="s">
        <v>27</v>
      </c>
      <c r="I550" s="1">
        <v>56.51</v>
      </c>
      <c r="J550" s="1">
        <v>3.52</v>
      </c>
      <c r="K550" s="1">
        <v>1983</v>
      </c>
      <c r="L550" s="1">
        <v>2006</v>
      </c>
      <c r="M550" s="1">
        <f>L550-K550+1</f>
        <v>24</v>
      </c>
      <c r="N550" s="1" t="s">
        <v>30</v>
      </c>
      <c r="O550" s="1" t="s">
        <v>199</v>
      </c>
      <c r="P550" s="1" t="s">
        <v>1014</v>
      </c>
      <c r="Q550" s="58" t="s">
        <v>65</v>
      </c>
      <c r="R550" s="1" t="s">
        <v>29</v>
      </c>
      <c r="S550" s="1" t="s">
        <v>38</v>
      </c>
      <c r="T550" s="1" t="s">
        <v>40</v>
      </c>
      <c r="U550" s="1" t="s">
        <v>40</v>
      </c>
      <c r="V550" s="1">
        <v>-1.00315090840018</v>
      </c>
      <c r="X550" s="1" t="s">
        <v>40</v>
      </c>
      <c r="Y550" s="1" t="s">
        <v>694</v>
      </c>
      <c r="Z550" s="1" t="s">
        <v>40</v>
      </c>
      <c r="AA550" s="1" t="s">
        <v>69</v>
      </c>
      <c r="AB550" s="1" t="s">
        <v>68</v>
      </c>
      <c r="AC550" s="1" t="s">
        <v>44</v>
      </c>
      <c r="AD550" s="1" t="s">
        <v>40</v>
      </c>
      <c r="AE550" s="1" t="s">
        <v>40</v>
      </c>
    </row>
    <row r="551" spans="1:31">
      <c r="A551" s="1" t="s">
        <v>61</v>
      </c>
      <c r="B551" s="1" t="s">
        <v>1322</v>
      </c>
      <c r="C551" s="54">
        <v>45863</v>
      </c>
      <c r="D551" s="1" t="s">
        <v>130</v>
      </c>
      <c r="E551" s="1" t="s">
        <v>751</v>
      </c>
      <c r="F551" s="1">
        <v>2012</v>
      </c>
      <c r="G551" s="1" t="s">
        <v>62</v>
      </c>
      <c r="H551" s="1" t="s">
        <v>27</v>
      </c>
      <c r="I551" s="1">
        <v>56.51</v>
      </c>
      <c r="J551" s="1">
        <v>3.52</v>
      </c>
      <c r="K551" s="1">
        <v>1983</v>
      </c>
      <c r="L551" s="1">
        <v>2006</v>
      </c>
      <c r="M551" s="1">
        <f>L551-K551+1</f>
        <v>24</v>
      </c>
      <c r="N551" s="1" t="s">
        <v>30</v>
      </c>
      <c r="O551" s="1" t="s">
        <v>199</v>
      </c>
      <c r="P551" s="1" t="s">
        <v>1014</v>
      </c>
      <c r="Q551" s="58" t="s">
        <v>66</v>
      </c>
      <c r="R551" s="1" t="s">
        <v>29</v>
      </c>
      <c r="S551" s="1" t="s">
        <v>38</v>
      </c>
      <c r="T551" s="1" t="s">
        <v>40</v>
      </c>
      <c r="U551" s="1" t="s">
        <v>40</v>
      </c>
      <c r="V551" s="1">
        <v>12.411674003888301</v>
      </c>
      <c r="X551" s="1" t="s">
        <v>40</v>
      </c>
      <c r="Y551" s="1" t="s">
        <v>41</v>
      </c>
      <c r="Z551" s="1" t="s">
        <v>40</v>
      </c>
      <c r="AA551" s="1" t="s">
        <v>69</v>
      </c>
      <c r="AB551" s="1" t="s">
        <v>68</v>
      </c>
      <c r="AC551" s="1" t="s">
        <v>44</v>
      </c>
      <c r="AD551" s="1" t="s">
        <v>40</v>
      </c>
      <c r="AE551" s="1" t="s">
        <v>40</v>
      </c>
    </row>
    <row r="552" spans="1:31">
      <c r="A552" s="1" t="s">
        <v>634</v>
      </c>
      <c r="B552" s="1" t="s">
        <v>752</v>
      </c>
      <c r="C552" s="60">
        <v>45874</v>
      </c>
      <c r="D552" s="1" t="s">
        <v>130</v>
      </c>
      <c r="E552" s="1" t="s">
        <v>751</v>
      </c>
      <c r="F552" s="1">
        <v>2012</v>
      </c>
      <c r="G552" s="1" t="s">
        <v>635</v>
      </c>
      <c r="H552" s="1" t="s">
        <v>147</v>
      </c>
      <c r="I552" s="1">
        <v>66.332499999999996</v>
      </c>
      <c r="J552" s="1">
        <v>33.668333333333337</v>
      </c>
      <c r="K552" s="1">
        <v>1964</v>
      </c>
      <c r="L552" s="1">
        <v>2010</v>
      </c>
      <c r="M552" s="1">
        <v>47</v>
      </c>
      <c r="N552" s="1" t="s">
        <v>30</v>
      </c>
      <c r="O552" s="1" t="s">
        <v>199</v>
      </c>
      <c r="P552" s="1" t="s">
        <v>1014</v>
      </c>
      <c r="Q552" s="1" t="s">
        <v>278</v>
      </c>
      <c r="R552" s="1" t="s">
        <v>636</v>
      </c>
      <c r="S552" s="1" t="s">
        <v>71</v>
      </c>
      <c r="T552" s="1" t="s">
        <v>40</v>
      </c>
      <c r="U552" s="1" t="s">
        <v>40</v>
      </c>
      <c r="V552" s="1" t="s">
        <v>40</v>
      </c>
      <c r="X552" s="1" t="s">
        <v>40</v>
      </c>
      <c r="Y552" s="1" t="s">
        <v>694</v>
      </c>
      <c r="Z552" s="1" t="s">
        <v>40</v>
      </c>
      <c r="AA552" s="1" t="s">
        <v>40</v>
      </c>
      <c r="AB552" s="1" t="s">
        <v>637</v>
      </c>
      <c r="AC552" s="1" t="s">
        <v>44</v>
      </c>
      <c r="AD552" s="1" t="s">
        <v>40</v>
      </c>
      <c r="AE552" s="1" t="s">
        <v>40</v>
      </c>
    </row>
    <row r="553" spans="1:31">
      <c r="A553" s="1" t="s">
        <v>634</v>
      </c>
      <c r="B553" s="1" t="s">
        <v>752</v>
      </c>
      <c r="C553" s="60">
        <v>45874</v>
      </c>
      <c r="D553" s="1" t="s">
        <v>130</v>
      </c>
      <c r="E553" s="1" t="s">
        <v>751</v>
      </c>
      <c r="F553" s="1">
        <v>2012</v>
      </c>
      <c r="G553" s="1" t="s">
        <v>635</v>
      </c>
      <c r="H553" s="1" t="s">
        <v>147</v>
      </c>
      <c r="I553" s="1">
        <v>66.332499999999996</v>
      </c>
      <c r="J553" s="1">
        <v>33.668333333333337</v>
      </c>
      <c r="K553" s="1">
        <v>1964</v>
      </c>
      <c r="L553" s="1">
        <v>2010</v>
      </c>
      <c r="M553" s="1">
        <v>47</v>
      </c>
      <c r="N553" s="1" t="s">
        <v>30</v>
      </c>
      <c r="O553" s="1" t="s">
        <v>199</v>
      </c>
      <c r="P553" s="1" t="s">
        <v>1014</v>
      </c>
      <c r="Q553" s="1" t="s">
        <v>638</v>
      </c>
      <c r="R553" s="1" t="s">
        <v>636</v>
      </c>
      <c r="S553" s="1" t="s">
        <v>71</v>
      </c>
      <c r="T553" s="1" t="s">
        <v>40</v>
      </c>
      <c r="U553" s="1" t="s">
        <v>40</v>
      </c>
      <c r="V553" s="1" t="s">
        <v>40</v>
      </c>
      <c r="X553" s="1" t="s">
        <v>40</v>
      </c>
      <c r="Y553" s="1" t="s">
        <v>694</v>
      </c>
      <c r="Z553" s="1" t="s">
        <v>40</v>
      </c>
      <c r="AA553" s="1" t="s">
        <v>40</v>
      </c>
      <c r="AB553" s="1" t="s">
        <v>639</v>
      </c>
      <c r="AC553" s="1" t="s">
        <v>44</v>
      </c>
      <c r="AD553" s="1" t="s">
        <v>40</v>
      </c>
      <c r="AE553" s="1" t="s">
        <v>40</v>
      </c>
    </row>
    <row r="554" spans="1:31">
      <c r="A554" s="1" t="s">
        <v>61</v>
      </c>
      <c r="B554" s="26" t="s">
        <v>1858</v>
      </c>
      <c r="C554" s="54">
        <v>45863</v>
      </c>
      <c r="D554" s="1" t="s">
        <v>130</v>
      </c>
      <c r="E554" s="1" t="s">
        <v>751</v>
      </c>
      <c r="F554" s="1">
        <v>2012</v>
      </c>
      <c r="G554" s="1" t="s">
        <v>62</v>
      </c>
      <c r="H554" s="1" t="s">
        <v>27</v>
      </c>
      <c r="I554" s="1">
        <v>56.51</v>
      </c>
      <c r="J554" s="1">
        <v>3.52</v>
      </c>
      <c r="K554" s="1">
        <v>1983</v>
      </c>
      <c r="L554" s="1">
        <v>2006</v>
      </c>
      <c r="M554" s="1">
        <f>L554-K554+1</f>
        <v>24</v>
      </c>
      <c r="N554" s="1" t="s">
        <v>30</v>
      </c>
      <c r="O554" s="1" t="s">
        <v>199</v>
      </c>
      <c r="P554" s="1" t="s">
        <v>1856</v>
      </c>
      <c r="Q554" s="58" t="s">
        <v>67</v>
      </c>
      <c r="R554" s="1" t="s">
        <v>29</v>
      </c>
      <c r="S554" s="1" t="s">
        <v>38</v>
      </c>
      <c r="T554" s="1" t="s">
        <v>40</v>
      </c>
      <c r="U554" s="1" t="s">
        <v>40</v>
      </c>
      <c r="V554" s="1">
        <v>-6.2285190730519098</v>
      </c>
      <c r="X554" s="1" t="s">
        <v>40</v>
      </c>
      <c r="Y554" s="1" t="s">
        <v>694</v>
      </c>
      <c r="Z554" s="1" t="s">
        <v>40</v>
      </c>
      <c r="AA554" s="1" t="s">
        <v>69</v>
      </c>
      <c r="AB554" s="1" t="s">
        <v>68</v>
      </c>
      <c r="AC554" s="1" t="s">
        <v>44</v>
      </c>
      <c r="AD554" s="1" t="s">
        <v>40</v>
      </c>
      <c r="AE554" s="1" t="s">
        <v>40</v>
      </c>
    </row>
    <row r="555" spans="1:31">
      <c r="A555" s="1" t="s">
        <v>780</v>
      </c>
      <c r="C555" s="60">
        <v>45875</v>
      </c>
      <c r="D555" s="1" t="s">
        <v>130</v>
      </c>
      <c r="E555" s="1" t="s">
        <v>776</v>
      </c>
      <c r="F555" s="1">
        <v>2012</v>
      </c>
      <c r="I555" s="1">
        <v>56.11</v>
      </c>
      <c r="J555" s="1">
        <v>3.3</v>
      </c>
      <c r="K555" s="1">
        <v>1960</v>
      </c>
      <c r="O555" s="1" t="s">
        <v>199</v>
      </c>
      <c r="P555" s="1" t="s">
        <v>1886</v>
      </c>
      <c r="Q555" s="1" t="s">
        <v>328</v>
      </c>
      <c r="R555" s="1" t="s">
        <v>329</v>
      </c>
      <c r="S555" s="1" t="s">
        <v>71</v>
      </c>
      <c r="T555" s="1" t="s">
        <v>40</v>
      </c>
      <c r="U555" s="1" t="s">
        <v>52</v>
      </c>
      <c r="V555" s="1">
        <v>0</v>
      </c>
      <c r="W555" s="1" t="s">
        <v>223</v>
      </c>
      <c r="X555" s="1" t="s">
        <v>40</v>
      </c>
      <c r="Y555" s="1" t="s">
        <v>41</v>
      </c>
      <c r="Z555" s="1" t="s">
        <v>40</v>
      </c>
      <c r="AA555" s="1" t="s">
        <v>40</v>
      </c>
      <c r="AB555" s="1" t="s">
        <v>40</v>
      </c>
      <c r="AC555" s="1" t="s">
        <v>44</v>
      </c>
      <c r="AD555" s="1" t="s">
        <v>40</v>
      </c>
      <c r="AE555" s="1" t="s">
        <v>778</v>
      </c>
    </row>
    <row r="556" spans="1:31">
      <c r="A556" s="1" t="s">
        <v>780</v>
      </c>
      <c r="C556" s="60">
        <v>45875</v>
      </c>
      <c r="D556" s="1" t="s">
        <v>130</v>
      </c>
      <c r="E556" s="1" t="s">
        <v>776</v>
      </c>
      <c r="F556" s="1">
        <v>2012</v>
      </c>
      <c r="I556" s="1">
        <v>57.5</v>
      </c>
      <c r="J556" s="1">
        <v>-14.5</v>
      </c>
      <c r="K556" s="1">
        <v>1960</v>
      </c>
      <c r="O556" s="1" t="s">
        <v>199</v>
      </c>
      <c r="P556" s="1" t="s">
        <v>1886</v>
      </c>
      <c r="Q556" s="1" t="s">
        <v>328</v>
      </c>
      <c r="R556" s="1" t="s">
        <v>783</v>
      </c>
      <c r="S556" s="1" t="s">
        <v>71</v>
      </c>
      <c r="T556" s="1" t="s">
        <v>40</v>
      </c>
      <c r="U556" s="1" t="s">
        <v>782</v>
      </c>
      <c r="V556" s="1">
        <v>0</v>
      </c>
      <c r="W556" s="1" t="s">
        <v>781</v>
      </c>
      <c r="X556" s="1" t="s">
        <v>40</v>
      </c>
      <c r="Y556" s="1" t="s">
        <v>41</v>
      </c>
      <c r="Z556" s="1" t="s">
        <v>40</v>
      </c>
      <c r="AA556" s="1" t="s">
        <v>40</v>
      </c>
      <c r="AB556" s="1" t="s">
        <v>40</v>
      </c>
      <c r="AC556" s="1" t="s">
        <v>44</v>
      </c>
      <c r="AD556" s="1" t="s">
        <v>40</v>
      </c>
      <c r="AE556" s="1" t="s">
        <v>778</v>
      </c>
    </row>
    <row r="557" spans="1:31">
      <c r="A557" t="s">
        <v>61</v>
      </c>
      <c r="B557"/>
      <c r="C557" s="60">
        <v>45889</v>
      </c>
      <c r="D557" s="1" t="s">
        <v>130</v>
      </c>
      <c r="E557" s="1" t="s">
        <v>751</v>
      </c>
      <c r="F557">
        <v>2012</v>
      </c>
      <c r="G557" t="s">
        <v>62</v>
      </c>
      <c r="H557" t="s">
        <v>147</v>
      </c>
      <c r="I557" s="21">
        <v>56.5</v>
      </c>
      <c r="J557" s="21">
        <v>-1.5</v>
      </c>
      <c r="K557" s="21">
        <v>1983</v>
      </c>
      <c r="L557" s="21">
        <v>2006</v>
      </c>
      <c r="M557" s="21">
        <v>24</v>
      </c>
      <c r="N557" t="s">
        <v>623</v>
      </c>
      <c r="O557" t="s">
        <v>152</v>
      </c>
      <c r="P557" t="s">
        <v>152</v>
      </c>
      <c r="Q557" t="s">
        <v>1362</v>
      </c>
      <c r="R557" t="s">
        <v>29</v>
      </c>
      <c r="S557"/>
      <c r="T557"/>
      <c r="U557"/>
      <c r="V557">
        <v>-5.7583409685132496</v>
      </c>
      <c r="W557"/>
      <c r="X557"/>
      <c r="Y557" t="s">
        <v>694</v>
      </c>
      <c r="Z557"/>
      <c r="AA557"/>
      <c r="AB557" t="s">
        <v>1363</v>
      </c>
      <c r="AC557"/>
      <c r="AD557"/>
    </row>
    <row r="558" spans="1:31">
      <c r="A558" s="1" t="s">
        <v>118</v>
      </c>
      <c r="B558" s="26" t="s">
        <v>119</v>
      </c>
      <c r="C558" s="54">
        <v>45867</v>
      </c>
      <c r="D558" s="1" t="s">
        <v>130</v>
      </c>
      <c r="E558" s="1" t="s">
        <v>751</v>
      </c>
      <c r="F558" s="1">
        <v>2011</v>
      </c>
      <c r="G558" s="1" t="s">
        <v>120</v>
      </c>
      <c r="H558" s="1" t="s">
        <v>27</v>
      </c>
      <c r="I558" s="1">
        <v>53.39</v>
      </c>
      <c r="J558" s="1">
        <v>-5.87</v>
      </c>
      <c r="K558" s="1">
        <v>1958</v>
      </c>
      <c r="L558" s="1">
        <v>2008</v>
      </c>
      <c r="M558" s="1">
        <f t="shared" ref="M558:M575" si="12">L558-K558+1</f>
        <v>51</v>
      </c>
      <c r="N558" s="1" t="s">
        <v>30</v>
      </c>
      <c r="O558" s="1" t="s">
        <v>199</v>
      </c>
      <c r="P558" s="1" t="s">
        <v>1014</v>
      </c>
      <c r="Q558" s="1" t="s">
        <v>66</v>
      </c>
      <c r="R558" s="1" t="s">
        <v>1323</v>
      </c>
      <c r="S558" s="1" t="s">
        <v>38</v>
      </c>
      <c r="T558" s="1" t="s">
        <v>40</v>
      </c>
      <c r="U558" s="1" t="s">
        <v>40</v>
      </c>
      <c r="V558" s="1">
        <v>-1.9391025641025641</v>
      </c>
      <c r="X558" s="1" t="s">
        <v>40</v>
      </c>
      <c r="Y558" s="1" t="s">
        <v>694</v>
      </c>
      <c r="Z558" s="1" t="s">
        <v>40</v>
      </c>
      <c r="AA558" s="1" t="s">
        <v>69</v>
      </c>
      <c r="AB558" s="1" t="s">
        <v>156</v>
      </c>
      <c r="AC558" s="1" t="s">
        <v>44</v>
      </c>
      <c r="AD558" s="1" t="s">
        <v>129</v>
      </c>
      <c r="AE558" s="1" t="s">
        <v>753</v>
      </c>
    </row>
    <row r="559" spans="1:31">
      <c r="A559" s="1" t="s">
        <v>118</v>
      </c>
      <c r="B559" s="1" t="s">
        <v>119</v>
      </c>
      <c r="C559" s="54">
        <v>45867</v>
      </c>
      <c r="D559" s="1" t="s">
        <v>130</v>
      </c>
      <c r="E559" s="1" t="s">
        <v>751</v>
      </c>
      <c r="F559" s="1">
        <v>2011</v>
      </c>
      <c r="G559" s="1" t="s">
        <v>121</v>
      </c>
      <c r="H559" s="1" t="s">
        <v>27</v>
      </c>
      <c r="I559" s="1">
        <v>48.14</v>
      </c>
      <c r="J559" s="1">
        <v>-5.59</v>
      </c>
      <c r="K559" s="1">
        <v>1958</v>
      </c>
      <c r="L559" s="1">
        <v>2008</v>
      </c>
      <c r="M559" s="1">
        <f t="shared" si="12"/>
        <v>51</v>
      </c>
      <c r="N559" s="1" t="s">
        <v>30</v>
      </c>
      <c r="O559" s="1" t="s">
        <v>199</v>
      </c>
      <c r="P559" s="1" t="s">
        <v>1014</v>
      </c>
      <c r="Q559" s="1" t="s">
        <v>66</v>
      </c>
      <c r="R559" s="1" t="s">
        <v>1323</v>
      </c>
      <c r="S559" s="1" t="s">
        <v>38</v>
      </c>
      <c r="T559" s="1" t="s">
        <v>40</v>
      </c>
      <c r="U559" s="1" t="s">
        <v>40</v>
      </c>
      <c r="V559" s="1">
        <v>-4.1519607843137267</v>
      </c>
      <c r="X559" s="1" t="s">
        <v>40</v>
      </c>
      <c r="Y559" s="1" t="s">
        <v>694</v>
      </c>
      <c r="Z559" s="1" t="s">
        <v>40</v>
      </c>
      <c r="AA559" s="1" t="s">
        <v>69</v>
      </c>
      <c r="AB559" s="1" t="s">
        <v>157</v>
      </c>
      <c r="AC559" s="1" t="s">
        <v>44</v>
      </c>
      <c r="AD559" s="1" t="s">
        <v>129</v>
      </c>
      <c r="AE559" s="1" t="s">
        <v>753</v>
      </c>
    </row>
    <row r="560" spans="1:31" s="62" customFormat="1">
      <c r="A560" s="1" t="s">
        <v>118</v>
      </c>
      <c r="B560" s="1" t="s">
        <v>119</v>
      </c>
      <c r="C560" s="54">
        <v>45867</v>
      </c>
      <c r="D560" s="1" t="s">
        <v>130</v>
      </c>
      <c r="E560" s="1" t="s">
        <v>751</v>
      </c>
      <c r="F560" s="1">
        <v>2011</v>
      </c>
      <c r="G560" s="1" t="s">
        <v>122</v>
      </c>
      <c r="H560" s="1" t="s">
        <v>27</v>
      </c>
      <c r="I560" s="1">
        <v>49.5</v>
      </c>
      <c r="J560" s="1">
        <v>-8.83</v>
      </c>
      <c r="K560" s="1">
        <v>1958</v>
      </c>
      <c r="L560" s="1">
        <v>2008</v>
      </c>
      <c r="M560" s="1">
        <f t="shared" si="12"/>
        <v>51</v>
      </c>
      <c r="N560" s="1" t="s">
        <v>30</v>
      </c>
      <c r="O560" s="1" t="s">
        <v>199</v>
      </c>
      <c r="P560" s="1" t="s">
        <v>1014</v>
      </c>
      <c r="Q560" s="1" t="s">
        <v>66</v>
      </c>
      <c r="R560" s="1" t="s">
        <v>1323</v>
      </c>
      <c r="S560" s="1" t="s">
        <v>38</v>
      </c>
      <c r="T560" s="1" t="s">
        <v>40</v>
      </c>
      <c r="U560" s="1" t="s">
        <v>40</v>
      </c>
      <c r="V560" s="1">
        <v>-0.59313725490195868</v>
      </c>
      <c r="W560" s="1"/>
      <c r="X560" s="1" t="s">
        <v>40</v>
      </c>
      <c r="Y560" s="1" t="s">
        <v>694</v>
      </c>
      <c r="Z560" s="1" t="s">
        <v>40</v>
      </c>
      <c r="AA560" s="1" t="s">
        <v>69</v>
      </c>
      <c r="AB560" s="1" t="s">
        <v>158</v>
      </c>
      <c r="AC560" s="1" t="s">
        <v>44</v>
      </c>
      <c r="AD560" s="1" t="s">
        <v>129</v>
      </c>
      <c r="AE560" s="1" t="s">
        <v>753</v>
      </c>
    </row>
    <row r="561" spans="1:31">
      <c r="A561" s="1" t="s">
        <v>118</v>
      </c>
      <c r="B561" s="1" t="s">
        <v>119</v>
      </c>
      <c r="C561" s="54">
        <v>45867</v>
      </c>
      <c r="D561" s="1" t="s">
        <v>130</v>
      </c>
      <c r="E561" s="1" t="s">
        <v>751</v>
      </c>
      <c r="F561" s="1">
        <v>2011</v>
      </c>
      <c r="G561" s="1" t="s">
        <v>123</v>
      </c>
      <c r="H561" s="1" t="s">
        <v>27</v>
      </c>
      <c r="I561" s="1">
        <v>50.95</v>
      </c>
      <c r="J561" s="1">
        <v>-13.1</v>
      </c>
      <c r="K561" s="1">
        <v>1958</v>
      </c>
      <c r="L561" s="1">
        <v>2008</v>
      </c>
      <c r="M561" s="1">
        <f t="shared" si="12"/>
        <v>51</v>
      </c>
      <c r="N561" s="1" t="s">
        <v>30</v>
      </c>
      <c r="O561" s="1" t="s">
        <v>199</v>
      </c>
      <c r="P561" s="1" t="s">
        <v>1014</v>
      </c>
      <c r="Q561" s="1" t="s">
        <v>66</v>
      </c>
      <c r="R561" s="1" t="s">
        <v>1323</v>
      </c>
      <c r="S561" s="1" t="s">
        <v>38</v>
      </c>
      <c r="T561" s="1" t="s">
        <v>40</v>
      </c>
      <c r="U561" s="1" t="s">
        <v>40</v>
      </c>
      <c r="V561" s="1">
        <v>-2.0759803921568607</v>
      </c>
      <c r="X561" s="1" t="s">
        <v>40</v>
      </c>
      <c r="Y561" s="1" t="s">
        <v>694</v>
      </c>
      <c r="Z561" s="1" t="s">
        <v>40</v>
      </c>
      <c r="AA561" s="1" t="s">
        <v>69</v>
      </c>
      <c r="AB561" s="1" t="s">
        <v>159</v>
      </c>
      <c r="AC561" s="1" t="s">
        <v>44</v>
      </c>
      <c r="AD561" s="1" t="s">
        <v>129</v>
      </c>
      <c r="AE561" s="1" t="s">
        <v>753</v>
      </c>
    </row>
    <row r="562" spans="1:31">
      <c r="A562" s="1" t="s">
        <v>118</v>
      </c>
      <c r="B562" s="1" t="s">
        <v>119</v>
      </c>
      <c r="C562" s="54">
        <v>45867</v>
      </c>
      <c r="D562" s="1" t="s">
        <v>130</v>
      </c>
      <c r="E562" s="1" t="s">
        <v>751</v>
      </c>
      <c r="F562" s="1">
        <v>2011</v>
      </c>
      <c r="G562" s="1" t="s">
        <v>124</v>
      </c>
      <c r="H562" s="1" t="s">
        <v>27</v>
      </c>
      <c r="I562" s="1">
        <v>41.66</v>
      </c>
      <c r="J562" s="1">
        <v>-14.39</v>
      </c>
      <c r="K562" s="1">
        <v>1958</v>
      </c>
      <c r="L562" s="1">
        <v>2008</v>
      </c>
      <c r="M562" s="1">
        <f t="shared" si="12"/>
        <v>51</v>
      </c>
      <c r="N562" s="1" t="s">
        <v>30</v>
      </c>
      <c r="O562" s="1" t="s">
        <v>199</v>
      </c>
      <c r="P562" s="1" t="s">
        <v>1014</v>
      </c>
      <c r="Q562" s="1" t="s">
        <v>66</v>
      </c>
      <c r="R562" s="1" t="s">
        <v>1323</v>
      </c>
      <c r="S562" s="1" t="s">
        <v>38</v>
      </c>
      <c r="T562" s="1" t="s">
        <v>40</v>
      </c>
      <c r="U562" s="1" t="s">
        <v>40</v>
      </c>
      <c r="V562" s="1">
        <v>-1.482843137254902</v>
      </c>
      <c r="X562" s="1" t="s">
        <v>40</v>
      </c>
      <c r="Y562" s="1" t="s">
        <v>694</v>
      </c>
      <c r="Z562" s="1" t="s">
        <v>40</v>
      </c>
      <c r="AA562" s="1" t="s">
        <v>69</v>
      </c>
      <c r="AB562" s="1" t="s">
        <v>160</v>
      </c>
      <c r="AC562" s="1" t="s">
        <v>44</v>
      </c>
      <c r="AD562" s="1" t="s">
        <v>129</v>
      </c>
      <c r="AE562" s="1" t="s">
        <v>753</v>
      </c>
    </row>
    <row r="563" spans="1:31">
      <c r="A563" s="1" t="s">
        <v>118</v>
      </c>
      <c r="B563" s="1" t="s">
        <v>119</v>
      </c>
      <c r="C563" s="54">
        <v>45867</v>
      </c>
      <c r="D563" s="1" t="s">
        <v>130</v>
      </c>
      <c r="E563" s="1" t="s">
        <v>751</v>
      </c>
      <c r="F563" s="1">
        <v>2011</v>
      </c>
      <c r="G563" s="1" t="s">
        <v>125</v>
      </c>
      <c r="H563" s="1" t="s">
        <v>27</v>
      </c>
      <c r="I563" s="1">
        <v>44.82</v>
      </c>
      <c r="J563" s="1">
        <v>-20.2</v>
      </c>
      <c r="K563" s="1">
        <v>1958</v>
      </c>
      <c r="L563" s="1">
        <v>2008</v>
      </c>
      <c r="M563" s="1">
        <f t="shared" si="12"/>
        <v>51</v>
      </c>
      <c r="N563" s="1" t="s">
        <v>30</v>
      </c>
      <c r="O563" s="1" t="s">
        <v>199</v>
      </c>
      <c r="P563" s="1" t="s">
        <v>1014</v>
      </c>
      <c r="Q563" s="1" t="s">
        <v>66</v>
      </c>
      <c r="R563" s="1" t="s">
        <v>1323</v>
      </c>
      <c r="S563" s="1" t="s">
        <v>38</v>
      </c>
      <c r="T563" s="1" t="s">
        <v>40</v>
      </c>
      <c r="U563" s="1" t="s">
        <v>40</v>
      </c>
      <c r="V563" s="1">
        <v>-1.1862745098039227</v>
      </c>
      <c r="X563" s="1" t="s">
        <v>40</v>
      </c>
      <c r="Y563" s="1" t="s">
        <v>694</v>
      </c>
      <c r="Z563" s="1" t="s">
        <v>40</v>
      </c>
      <c r="AA563" s="1" t="s">
        <v>69</v>
      </c>
      <c r="AB563" s="1" t="s">
        <v>161</v>
      </c>
      <c r="AC563" s="1" t="s">
        <v>44</v>
      </c>
      <c r="AD563" s="1" t="s">
        <v>129</v>
      </c>
      <c r="AE563" s="1" t="s">
        <v>753</v>
      </c>
    </row>
    <row r="564" spans="1:31">
      <c r="A564" s="1" t="s">
        <v>118</v>
      </c>
      <c r="B564" s="1" t="s">
        <v>119</v>
      </c>
      <c r="C564" s="54">
        <v>45867</v>
      </c>
      <c r="D564" s="1" t="s">
        <v>130</v>
      </c>
      <c r="E564" s="1" t="s">
        <v>751</v>
      </c>
      <c r="F564" s="1">
        <v>2011</v>
      </c>
      <c r="G564" s="1" t="s">
        <v>126</v>
      </c>
      <c r="H564" s="1" t="s">
        <v>27</v>
      </c>
      <c r="I564" s="1">
        <v>55.23</v>
      </c>
      <c r="J564" s="1">
        <v>-18.940000000000001</v>
      </c>
      <c r="K564" s="1">
        <v>1958</v>
      </c>
      <c r="L564" s="1">
        <v>2008</v>
      </c>
      <c r="M564" s="1">
        <f t="shared" si="12"/>
        <v>51</v>
      </c>
      <c r="N564" s="1" t="s">
        <v>30</v>
      </c>
      <c r="O564" s="1" t="s">
        <v>199</v>
      </c>
      <c r="P564" s="1" t="s">
        <v>1014</v>
      </c>
      <c r="Q564" s="1" t="s">
        <v>66</v>
      </c>
      <c r="R564" s="1" t="s">
        <v>1323</v>
      </c>
      <c r="S564" s="1" t="s">
        <v>38</v>
      </c>
      <c r="T564" s="1" t="s">
        <v>40</v>
      </c>
      <c r="U564" s="1" t="s">
        <v>40</v>
      </c>
      <c r="V564" s="1">
        <v>-5.3382352941176441</v>
      </c>
      <c r="X564" s="1" t="s">
        <v>40</v>
      </c>
      <c r="Y564" s="1" t="s">
        <v>694</v>
      </c>
      <c r="Z564" s="1" t="s">
        <v>40</v>
      </c>
      <c r="AA564" s="1" t="s">
        <v>69</v>
      </c>
      <c r="AB564" s="1" t="s">
        <v>162</v>
      </c>
      <c r="AC564" s="1" t="s">
        <v>44</v>
      </c>
      <c r="AD564" s="1" t="s">
        <v>129</v>
      </c>
      <c r="AE564" s="1" t="s">
        <v>753</v>
      </c>
    </row>
    <row r="565" spans="1:31">
      <c r="A565" s="1" t="s">
        <v>118</v>
      </c>
      <c r="B565" s="1" t="s">
        <v>119</v>
      </c>
      <c r="C565" s="54">
        <v>45867</v>
      </c>
      <c r="D565" s="1" t="s">
        <v>130</v>
      </c>
      <c r="E565" s="1" t="s">
        <v>751</v>
      </c>
      <c r="F565" s="1">
        <v>2011</v>
      </c>
      <c r="G565" s="1" t="s">
        <v>127</v>
      </c>
      <c r="H565" s="1" t="s">
        <v>27</v>
      </c>
      <c r="I565" s="1">
        <v>59.68</v>
      </c>
      <c r="J565" s="1">
        <v>-9.48</v>
      </c>
      <c r="K565" s="1">
        <v>1958</v>
      </c>
      <c r="L565" s="1">
        <v>2008</v>
      </c>
      <c r="M565" s="1">
        <f t="shared" si="12"/>
        <v>51</v>
      </c>
      <c r="N565" s="1" t="s">
        <v>30</v>
      </c>
      <c r="O565" s="1" t="s">
        <v>199</v>
      </c>
      <c r="P565" s="1" t="s">
        <v>1014</v>
      </c>
      <c r="Q565" s="1" t="s">
        <v>66</v>
      </c>
      <c r="R565" s="1" t="s">
        <v>1323</v>
      </c>
      <c r="S565" s="1" t="s">
        <v>38</v>
      </c>
      <c r="T565" s="1" t="s">
        <v>40</v>
      </c>
      <c r="U565" s="1" t="s">
        <v>40</v>
      </c>
      <c r="V565" s="1">
        <v>-2.0759803921568607</v>
      </c>
      <c r="X565" s="1" t="s">
        <v>40</v>
      </c>
      <c r="Y565" s="1" t="s">
        <v>694</v>
      </c>
      <c r="Z565" s="1" t="s">
        <v>40</v>
      </c>
      <c r="AA565" s="1" t="s">
        <v>69</v>
      </c>
      <c r="AB565" s="1" t="s">
        <v>163</v>
      </c>
      <c r="AC565" s="1" t="s">
        <v>44</v>
      </c>
      <c r="AD565" s="1" t="s">
        <v>129</v>
      </c>
      <c r="AE565" s="1" t="s">
        <v>753</v>
      </c>
    </row>
    <row r="566" spans="1:31">
      <c r="A566" s="1" t="s">
        <v>118</v>
      </c>
      <c r="B566" s="1" t="s">
        <v>119</v>
      </c>
      <c r="C566" s="54">
        <v>45867</v>
      </c>
      <c r="D566" s="1" t="s">
        <v>130</v>
      </c>
      <c r="E566" s="1" t="s">
        <v>751</v>
      </c>
      <c r="F566" s="1">
        <v>2011</v>
      </c>
      <c r="G566" s="1" t="s">
        <v>128</v>
      </c>
      <c r="H566" s="1" t="s">
        <v>27</v>
      </c>
      <c r="I566" s="1">
        <v>57.52</v>
      </c>
      <c r="J566" s="1">
        <v>-9.42</v>
      </c>
      <c r="K566" s="1">
        <v>1958</v>
      </c>
      <c r="L566" s="1">
        <v>2008</v>
      </c>
      <c r="M566" s="1">
        <f t="shared" si="12"/>
        <v>51</v>
      </c>
      <c r="N566" s="1" t="s">
        <v>30</v>
      </c>
      <c r="O566" s="1" t="s">
        <v>199</v>
      </c>
      <c r="P566" s="1" t="s">
        <v>1014</v>
      </c>
      <c r="Q566" s="1" t="s">
        <v>66</v>
      </c>
      <c r="R566" s="1" t="s">
        <v>1323</v>
      </c>
      <c r="S566" s="1" t="s">
        <v>38</v>
      </c>
      <c r="T566" s="1" t="s">
        <v>40</v>
      </c>
      <c r="U566" s="1" t="s">
        <v>40</v>
      </c>
      <c r="V566" s="1">
        <v>0</v>
      </c>
      <c r="X566" s="1" t="s">
        <v>40</v>
      </c>
      <c r="Y566" s="1" t="s">
        <v>223</v>
      </c>
      <c r="Z566" s="1" t="s">
        <v>40</v>
      </c>
      <c r="AA566" s="1" t="s">
        <v>69</v>
      </c>
      <c r="AB566" s="1" t="s">
        <v>164</v>
      </c>
      <c r="AC566" s="1" t="s">
        <v>44</v>
      </c>
      <c r="AD566" s="1" t="s">
        <v>129</v>
      </c>
      <c r="AE566" s="1" t="s">
        <v>753</v>
      </c>
    </row>
    <row r="567" spans="1:31">
      <c r="A567" s="1" t="s">
        <v>118</v>
      </c>
      <c r="B567" s="1" t="s">
        <v>119</v>
      </c>
      <c r="C567" s="54">
        <v>45867</v>
      </c>
      <c r="D567" s="1" t="s">
        <v>130</v>
      </c>
      <c r="E567" s="1" t="s">
        <v>751</v>
      </c>
      <c r="F567" s="1">
        <v>2011</v>
      </c>
      <c r="G567" s="1" t="s">
        <v>120</v>
      </c>
      <c r="H567" s="1" t="s">
        <v>27</v>
      </c>
      <c r="I567" s="1">
        <v>53.39</v>
      </c>
      <c r="J567" s="1">
        <v>-5.87</v>
      </c>
      <c r="K567" s="1">
        <v>1958</v>
      </c>
      <c r="L567" s="1">
        <v>2008</v>
      </c>
      <c r="M567" s="1">
        <f t="shared" si="12"/>
        <v>51</v>
      </c>
      <c r="N567" s="1" t="s">
        <v>30</v>
      </c>
      <c r="O567" s="1" t="s">
        <v>199</v>
      </c>
      <c r="P567" s="1" t="s">
        <v>1014</v>
      </c>
      <c r="Q567" s="1" t="s">
        <v>65</v>
      </c>
      <c r="R567" s="1" t="s">
        <v>1323</v>
      </c>
      <c r="S567" s="1" t="s">
        <v>38</v>
      </c>
      <c r="T567" s="1" t="s">
        <v>40</v>
      </c>
      <c r="U567" s="1" t="s">
        <v>40</v>
      </c>
      <c r="V567" s="1">
        <v>-3.5588235294117627</v>
      </c>
      <c r="X567" s="1" t="s">
        <v>40</v>
      </c>
      <c r="Y567" s="1" t="s">
        <v>694</v>
      </c>
      <c r="Z567" s="1" t="s">
        <v>40</v>
      </c>
      <c r="AA567" s="1" t="s">
        <v>69</v>
      </c>
      <c r="AB567" s="1" t="s">
        <v>164</v>
      </c>
      <c r="AC567" s="1" t="s">
        <v>44</v>
      </c>
      <c r="AD567" s="1" t="s">
        <v>129</v>
      </c>
      <c r="AE567" s="1" t="s">
        <v>753</v>
      </c>
    </row>
    <row r="568" spans="1:31">
      <c r="A568" s="1" t="s">
        <v>118</v>
      </c>
      <c r="B568" s="1" t="s">
        <v>119</v>
      </c>
      <c r="C568" s="54">
        <v>45867</v>
      </c>
      <c r="D568" s="1" t="s">
        <v>130</v>
      </c>
      <c r="E568" s="1" t="s">
        <v>751</v>
      </c>
      <c r="F568" s="1">
        <v>2011</v>
      </c>
      <c r="G568" s="1" t="s">
        <v>121</v>
      </c>
      <c r="H568" s="1" t="s">
        <v>27</v>
      </c>
      <c r="I568" s="1">
        <v>48.14</v>
      </c>
      <c r="J568" s="1">
        <v>-5.59</v>
      </c>
      <c r="K568" s="1">
        <v>1958</v>
      </c>
      <c r="L568" s="1">
        <v>2008</v>
      </c>
      <c r="M568" s="1">
        <f t="shared" si="12"/>
        <v>51</v>
      </c>
      <c r="N568" s="1" t="s">
        <v>30</v>
      </c>
      <c r="O568" s="1" t="s">
        <v>199</v>
      </c>
      <c r="P568" s="1" t="s">
        <v>1014</v>
      </c>
      <c r="Q568" s="1" t="s">
        <v>65</v>
      </c>
      <c r="R568" s="1" t="s">
        <v>1323</v>
      </c>
      <c r="S568" s="1" t="s">
        <v>38</v>
      </c>
      <c r="T568" s="1" t="s">
        <v>40</v>
      </c>
      <c r="U568" s="1" t="s">
        <v>40</v>
      </c>
      <c r="V568" s="1">
        <v>-1.1862745098039227</v>
      </c>
      <c r="X568" s="1" t="s">
        <v>40</v>
      </c>
      <c r="Y568" s="1" t="s">
        <v>694</v>
      </c>
      <c r="Z568" s="1" t="s">
        <v>40</v>
      </c>
      <c r="AA568" s="1" t="s">
        <v>69</v>
      </c>
      <c r="AB568" s="1" t="s">
        <v>164</v>
      </c>
      <c r="AC568" s="1" t="s">
        <v>44</v>
      </c>
      <c r="AD568" s="1" t="s">
        <v>129</v>
      </c>
      <c r="AE568" s="1" t="s">
        <v>753</v>
      </c>
    </row>
    <row r="569" spans="1:31">
      <c r="A569" s="1" t="s">
        <v>118</v>
      </c>
      <c r="B569" s="1" t="s">
        <v>119</v>
      </c>
      <c r="C569" s="54">
        <v>45867</v>
      </c>
      <c r="D569" s="1" t="s">
        <v>130</v>
      </c>
      <c r="E569" s="1" t="s">
        <v>751</v>
      </c>
      <c r="F569" s="1">
        <v>2011</v>
      </c>
      <c r="G569" s="1" t="s">
        <v>122</v>
      </c>
      <c r="H569" s="1" t="s">
        <v>27</v>
      </c>
      <c r="I569" s="1">
        <v>49.5</v>
      </c>
      <c r="J569" s="1">
        <v>-8.83</v>
      </c>
      <c r="K569" s="1">
        <v>1958</v>
      </c>
      <c r="L569" s="1">
        <v>2008</v>
      </c>
      <c r="M569" s="1">
        <f t="shared" si="12"/>
        <v>51</v>
      </c>
      <c r="N569" s="1" t="s">
        <v>30</v>
      </c>
      <c r="O569" s="1" t="s">
        <v>199</v>
      </c>
      <c r="P569" s="1" t="s">
        <v>1014</v>
      </c>
      <c r="Q569" s="1" t="s">
        <v>65</v>
      </c>
      <c r="R569" s="1" t="s">
        <v>1323</v>
      </c>
      <c r="S569" s="1" t="s">
        <v>38</v>
      </c>
      <c r="T569" s="1" t="s">
        <v>40</v>
      </c>
      <c r="U569" s="1" t="s">
        <v>40</v>
      </c>
      <c r="V569" s="1">
        <v>-3.5588235294117627</v>
      </c>
      <c r="X569" s="1" t="s">
        <v>40</v>
      </c>
      <c r="Y569" s="1" t="s">
        <v>694</v>
      </c>
      <c r="Z569" s="1" t="s">
        <v>40</v>
      </c>
      <c r="AA569" s="1" t="s">
        <v>69</v>
      </c>
      <c r="AB569" s="1" t="s">
        <v>164</v>
      </c>
      <c r="AC569" s="1" t="s">
        <v>44</v>
      </c>
      <c r="AD569" s="1" t="s">
        <v>129</v>
      </c>
      <c r="AE569" s="1" t="s">
        <v>753</v>
      </c>
    </row>
    <row r="570" spans="1:31" ht="14.5" customHeight="1">
      <c r="A570" s="1" t="s">
        <v>118</v>
      </c>
      <c r="B570" s="1" t="s">
        <v>119</v>
      </c>
      <c r="C570" s="54">
        <v>45867</v>
      </c>
      <c r="D570" s="1" t="s">
        <v>130</v>
      </c>
      <c r="E570" s="1" t="s">
        <v>751</v>
      </c>
      <c r="F570" s="1">
        <v>2011</v>
      </c>
      <c r="G570" s="1" t="s">
        <v>123</v>
      </c>
      <c r="H570" s="1" t="s">
        <v>27</v>
      </c>
      <c r="I570" s="1">
        <v>50.95</v>
      </c>
      <c r="J570" s="1">
        <v>-13.1</v>
      </c>
      <c r="K570" s="1">
        <v>1958</v>
      </c>
      <c r="L570" s="1">
        <v>2008</v>
      </c>
      <c r="M570" s="1">
        <f t="shared" si="12"/>
        <v>51</v>
      </c>
      <c r="N570" s="1" t="s">
        <v>30</v>
      </c>
      <c r="O570" s="1" t="s">
        <v>199</v>
      </c>
      <c r="P570" s="1" t="s">
        <v>1014</v>
      </c>
      <c r="Q570" s="1" t="s">
        <v>65</v>
      </c>
      <c r="R570" s="1" t="s">
        <v>1323</v>
      </c>
      <c r="S570" s="1" t="s">
        <v>38</v>
      </c>
      <c r="T570" s="1" t="s">
        <v>40</v>
      </c>
      <c r="U570" s="1" t="s">
        <v>40</v>
      </c>
      <c r="V570" s="1">
        <v>-2.965686274509804</v>
      </c>
      <c r="X570" s="1" t="s">
        <v>40</v>
      </c>
      <c r="Y570" s="1" t="s">
        <v>694</v>
      </c>
      <c r="Z570" s="1" t="s">
        <v>40</v>
      </c>
      <c r="AA570" s="1" t="s">
        <v>69</v>
      </c>
      <c r="AB570" s="1" t="s">
        <v>164</v>
      </c>
      <c r="AC570" s="1" t="s">
        <v>44</v>
      </c>
      <c r="AD570" s="1" t="s">
        <v>129</v>
      </c>
      <c r="AE570" s="1" t="s">
        <v>753</v>
      </c>
    </row>
    <row r="571" spans="1:31">
      <c r="A571" s="1" t="s">
        <v>118</v>
      </c>
      <c r="B571" s="1" t="s">
        <v>119</v>
      </c>
      <c r="C571" s="54">
        <v>45867</v>
      </c>
      <c r="D571" s="1" t="s">
        <v>130</v>
      </c>
      <c r="E571" s="1" t="s">
        <v>751</v>
      </c>
      <c r="F571" s="1">
        <v>2011</v>
      </c>
      <c r="G571" s="1" t="s">
        <v>124</v>
      </c>
      <c r="H571" s="1" t="s">
        <v>27</v>
      </c>
      <c r="I571" s="1">
        <v>41.66</v>
      </c>
      <c r="J571" s="1">
        <v>-14.39</v>
      </c>
      <c r="K571" s="1">
        <v>1958</v>
      </c>
      <c r="L571" s="1">
        <v>2008</v>
      </c>
      <c r="M571" s="1">
        <f t="shared" si="12"/>
        <v>51</v>
      </c>
      <c r="N571" s="1" t="s">
        <v>30</v>
      </c>
      <c r="O571" s="1" t="s">
        <v>199</v>
      </c>
      <c r="P571" s="1" t="s">
        <v>1014</v>
      </c>
      <c r="Q571" s="1" t="s">
        <v>65</v>
      </c>
      <c r="R571" s="1" t="s">
        <v>1323</v>
      </c>
      <c r="S571" s="1" t="s">
        <v>38</v>
      </c>
      <c r="T571" s="1" t="s">
        <v>40</v>
      </c>
      <c r="U571" s="1" t="s">
        <v>40</v>
      </c>
      <c r="V571" s="1">
        <v>-0.59313725490196401</v>
      </c>
      <c r="X571" s="1" t="s">
        <v>40</v>
      </c>
      <c r="Y571" s="1" t="s">
        <v>694</v>
      </c>
      <c r="Z571" s="1" t="s">
        <v>40</v>
      </c>
      <c r="AA571" s="1" t="s">
        <v>69</v>
      </c>
      <c r="AB571" s="1" t="s">
        <v>164</v>
      </c>
      <c r="AC571" s="1" t="s">
        <v>44</v>
      </c>
      <c r="AD571" s="1" t="s">
        <v>129</v>
      </c>
      <c r="AE571" s="1" t="s">
        <v>753</v>
      </c>
    </row>
    <row r="572" spans="1:31">
      <c r="A572" s="1" t="s">
        <v>118</v>
      </c>
      <c r="B572" s="1" t="s">
        <v>119</v>
      </c>
      <c r="C572" s="54">
        <v>45867</v>
      </c>
      <c r="D572" s="1" t="s">
        <v>130</v>
      </c>
      <c r="E572" s="1" t="s">
        <v>751</v>
      </c>
      <c r="F572" s="1">
        <v>2011</v>
      </c>
      <c r="G572" s="1" t="s">
        <v>125</v>
      </c>
      <c r="H572" s="1" t="s">
        <v>27</v>
      </c>
      <c r="I572" s="1">
        <v>44.82</v>
      </c>
      <c r="J572" s="1">
        <v>-20.2</v>
      </c>
      <c r="K572" s="1">
        <v>1958</v>
      </c>
      <c r="L572" s="1">
        <v>2008</v>
      </c>
      <c r="M572" s="1">
        <f t="shared" si="12"/>
        <v>51</v>
      </c>
      <c r="N572" s="1" t="s">
        <v>30</v>
      </c>
      <c r="O572" s="1" t="s">
        <v>199</v>
      </c>
      <c r="P572" s="1" t="s">
        <v>1014</v>
      </c>
      <c r="Q572" s="1" t="s">
        <v>65</v>
      </c>
      <c r="R572" s="1" t="s">
        <v>1323</v>
      </c>
      <c r="S572" s="1" t="s">
        <v>38</v>
      </c>
      <c r="T572" s="1" t="s">
        <v>40</v>
      </c>
      <c r="U572" s="1" t="s">
        <v>40</v>
      </c>
      <c r="V572" s="1">
        <v>-0.29656862745097934</v>
      </c>
      <c r="X572" s="1" t="s">
        <v>40</v>
      </c>
      <c r="Y572" s="1" t="s">
        <v>694</v>
      </c>
      <c r="Z572" s="1" t="s">
        <v>40</v>
      </c>
      <c r="AA572" s="1" t="s">
        <v>69</v>
      </c>
      <c r="AB572" s="1" t="s">
        <v>164</v>
      </c>
      <c r="AC572" s="1" t="s">
        <v>44</v>
      </c>
      <c r="AD572" s="1" t="s">
        <v>129</v>
      </c>
      <c r="AE572" s="1" t="s">
        <v>753</v>
      </c>
    </row>
    <row r="573" spans="1:31">
      <c r="A573" s="1" t="s">
        <v>118</v>
      </c>
      <c r="B573" s="1" t="s">
        <v>119</v>
      </c>
      <c r="C573" s="54">
        <v>45867</v>
      </c>
      <c r="D573" s="1" t="s">
        <v>130</v>
      </c>
      <c r="E573" s="1" t="s">
        <v>751</v>
      </c>
      <c r="F573" s="1">
        <v>2011</v>
      </c>
      <c r="G573" s="1" t="s">
        <v>126</v>
      </c>
      <c r="H573" s="1" t="s">
        <v>27</v>
      </c>
      <c r="I573" s="1">
        <v>55.23</v>
      </c>
      <c r="J573" s="1">
        <v>-18.940000000000001</v>
      </c>
      <c r="K573" s="1">
        <v>1958</v>
      </c>
      <c r="L573" s="1">
        <v>2008</v>
      </c>
      <c r="M573" s="1">
        <f t="shared" si="12"/>
        <v>51</v>
      </c>
      <c r="N573" s="1" t="s">
        <v>30</v>
      </c>
      <c r="O573" s="1" t="s">
        <v>199</v>
      </c>
      <c r="P573" s="1" t="s">
        <v>1014</v>
      </c>
      <c r="Q573" s="1" t="s">
        <v>65</v>
      </c>
      <c r="R573" s="1" t="s">
        <v>1323</v>
      </c>
      <c r="S573" s="1" t="s">
        <v>38</v>
      </c>
      <c r="T573" s="1" t="s">
        <v>40</v>
      </c>
      <c r="U573" s="1" t="s">
        <v>40</v>
      </c>
      <c r="V573" s="1">
        <v>0.59313725490196401</v>
      </c>
      <c r="X573" s="1" t="s">
        <v>40</v>
      </c>
      <c r="Y573" s="1" t="s">
        <v>41</v>
      </c>
      <c r="Z573" s="1" t="s">
        <v>40</v>
      </c>
      <c r="AA573" s="1" t="s">
        <v>69</v>
      </c>
      <c r="AB573" s="1" t="s">
        <v>164</v>
      </c>
      <c r="AC573" s="1" t="s">
        <v>44</v>
      </c>
      <c r="AD573" s="1" t="s">
        <v>129</v>
      </c>
      <c r="AE573" s="1" t="s">
        <v>753</v>
      </c>
    </row>
    <row r="574" spans="1:31">
      <c r="A574" s="1" t="s">
        <v>118</v>
      </c>
      <c r="B574" s="1" t="s">
        <v>119</v>
      </c>
      <c r="C574" s="54">
        <v>45867</v>
      </c>
      <c r="D574" s="1" t="s">
        <v>130</v>
      </c>
      <c r="E574" s="1" t="s">
        <v>751</v>
      </c>
      <c r="F574" s="1">
        <v>2011</v>
      </c>
      <c r="G574" s="1" t="s">
        <v>127</v>
      </c>
      <c r="H574" s="1" t="s">
        <v>27</v>
      </c>
      <c r="I574" s="1">
        <v>59.68</v>
      </c>
      <c r="J574" s="1">
        <v>-9.48</v>
      </c>
      <c r="K574" s="1">
        <v>1958</v>
      </c>
      <c r="L574" s="1">
        <v>2008</v>
      </c>
      <c r="M574" s="1">
        <f t="shared" si="12"/>
        <v>51</v>
      </c>
      <c r="N574" s="1" t="s">
        <v>30</v>
      </c>
      <c r="O574" s="1" t="s">
        <v>199</v>
      </c>
      <c r="P574" s="1" t="s">
        <v>1014</v>
      </c>
      <c r="Q574" s="1" t="s">
        <v>65</v>
      </c>
      <c r="R574" s="1" t="s">
        <v>1323</v>
      </c>
      <c r="S574" s="1" t="s">
        <v>38</v>
      </c>
      <c r="T574" s="1" t="s">
        <v>40</v>
      </c>
      <c r="U574" s="1" t="s">
        <v>40</v>
      </c>
      <c r="V574" s="1">
        <v>-2.965686274509804</v>
      </c>
      <c r="X574" s="1" t="s">
        <v>40</v>
      </c>
      <c r="Y574" s="1" t="s">
        <v>694</v>
      </c>
      <c r="Z574" s="1" t="s">
        <v>40</v>
      </c>
      <c r="AA574" s="1" t="s">
        <v>69</v>
      </c>
      <c r="AB574" s="1" t="s">
        <v>164</v>
      </c>
      <c r="AC574" s="1" t="s">
        <v>44</v>
      </c>
      <c r="AD574" s="1" t="s">
        <v>129</v>
      </c>
      <c r="AE574" s="1" t="s">
        <v>753</v>
      </c>
    </row>
    <row r="575" spans="1:31">
      <c r="A575" s="1" t="s">
        <v>118</v>
      </c>
      <c r="B575" s="1" t="s">
        <v>119</v>
      </c>
      <c r="C575" s="54">
        <v>45867</v>
      </c>
      <c r="D575" s="1" t="s">
        <v>130</v>
      </c>
      <c r="E575" s="1" t="s">
        <v>751</v>
      </c>
      <c r="F575" s="1">
        <v>2011</v>
      </c>
      <c r="G575" s="1" t="s">
        <v>128</v>
      </c>
      <c r="H575" s="1" t="s">
        <v>27</v>
      </c>
      <c r="I575" s="1">
        <v>57.52</v>
      </c>
      <c r="J575" s="1">
        <v>-9.42</v>
      </c>
      <c r="K575" s="1">
        <v>1958</v>
      </c>
      <c r="L575" s="1">
        <v>2008</v>
      </c>
      <c r="M575" s="1">
        <f t="shared" si="12"/>
        <v>51</v>
      </c>
      <c r="N575" s="1" t="s">
        <v>30</v>
      </c>
      <c r="O575" s="1" t="s">
        <v>199</v>
      </c>
      <c r="P575" s="1" t="s">
        <v>1014</v>
      </c>
      <c r="Q575" s="1" t="s">
        <v>65</v>
      </c>
      <c r="R575" s="1" t="s">
        <v>1323</v>
      </c>
      <c r="S575" s="1" t="s">
        <v>38</v>
      </c>
      <c r="T575" s="1" t="s">
        <v>40</v>
      </c>
      <c r="U575" s="1" t="s">
        <v>40</v>
      </c>
      <c r="V575" s="1">
        <v>-1.1862745098039227</v>
      </c>
      <c r="X575" s="1" t="s">
        <v>40</v>
      </c>
      <c r="Y575" s="1" t="s">
        <v>694</v>
      </c>
      <c r="Z575" s="1" t="s">
        <v>40</v>
      </c>
      <c r="AA575" s="1" t="s">
        <v>69</v>
      </c>
      <c r="AB575" s="1" t="s">
        <v>164</v>
      </c>
      <c r="AC575" s="1" t="s">
        <v>44</v>
      </c>
      <c r="AD575" s="1" t="s">
        <v>129</v>
      </c>
      <c r="AE575" s="1" t="s">
        <v>753</v>
      </c>
    </row>
    <row r="576" spans="1:31">
      <c r="A576" s="1" t="s">
        <v>756</v>
      </c>
      <c r="B576" s="1" t="s">
        <v>757</v>
      </c>
      <c r="C576" s="60">
        <v>45874</v>
      </c>
      <c r="D576" s="1" t="s">
        <v>130</v>
      </c>
      <c r="E576" s="1" t="s">
        <v>74</v>
      </c>
      <c r="F576" s="1">
        <v>2010</v>
      </c>
      <c r="G576" s="1" t="s">
        <v>62</v>
      </c>
      <c r="H576" s="1" t="s">
        <v>147</v>
      </c>
      <c r="I576" s="1">
        <v>54.18</v>
      </c>
      <c r="J576" s="1">
        <v>7.9</v>
      </c>
      <c r="K576" s="1">
        <v>1975</v>
      </c>
      <c r="L576" s="1">
        <v>2004</v>
      </c>
      <c r="M576" s="1">
        <v>30</v>
      </c>
      <c r="N576" s="1" t="s">
        <v>623</v>
      </c>
      <c r="O576" s="1" t="s">
        <v>199</v>
      </c>
      <c r="P576" s="1" t="s">
        <v>1020</v>
      </c>
      <c r="Q576" s="1" t="s">
        <v>219</v>
      </c>
      <c r="R576" s="1" t="s">
        <v>760</v>
      </c>
      <c r="S576" s="1" t="s">
        <v>71</v>
      </c>
      <c r="T576" s="1" t="s">
        <v>40</v>
      </c>
      <c r="U576" s="1" t="s">
        <v>52</v>
      </c>
      <c r="V576" s="1">
        <f>(((20.7-25.8)*7)/M576)*10</f>
        <v>-11.900000000000004</v>
      </c>
      <c r="W576" s="1" t="s">
        <v>201</v>
      </c>
      <c r="X576" s="1" t="s">
        <v>40</v>
      </c>
      <c r="Y576" s="1" t="s">
        <v>694</v>
      </c>
      <c r="Z576" s="1" t="s">
        <v>40</v>
      </c>
      <c r="AA576" s="1" t="s">
        <v>40</v>
      </c>
      <c r="AB576" s="1" t="s">
        <v>1336</v>
      </c>
      <c r="AC576" s="1" t="s">
        <v>40</v>
      </c>
      <c r="AD576" s="1" t="s">
        <v>40</v>
      </c>
      <c r="AE576" s="1" t="s">
        <v>1335</v>
      </c>
    </row>
    <row r="577" spans="1:31">
      <c r="A577" s="1" t="s">
        <v>756</v>
      </c>
      <c r="B577" s="1" t="s">
        <v>757</v>
      </c>
      <c r="C577" s="60">
        <v>45874</v>
      </c>
      <c r="D577" s="1" t="s">
        <v>130</v>
      </c>
      <c r="E577" s="1" t="s">
        <v>74</v>
      </c>
      <c r="F577" s="1">
        <v>2010</v>
      </c>
      <c r="G577" s="1" t="s">
        <v>62</v>
      </c>
      <c r="H577" s="1" t="s">
        <v>147</v>
      </c>
      <c r="I577" s="1">
        <v>54.18</v>
      </c>
      <c r="J577" s="1">
        <v>7.9</v>
      </c>
      <c r="K577" s="1">
        <v>1975</v>
      </c>
      <c r="L577" s="1">
        <v>2004</v>
      </c>
      <c r="M577" s="1">
        <v>30</v>
      </c>
      <c r="N577" s="1" t="s">
        <v>623</v>
      </c>
      <c r="O577" s="1" t="s">
        <v>199</v>
      </c>
      <c r="P577" s="1" t="s">
        <v>1020</v>
      </c>
      <c r="Q577" s="1" t="s">
        <v>758</v>
      </c>
      <c r="R577" s="1" t="s">
        <v>760</v>
      </c>
      <c r="S577" s="1" t="s">
        <v>71</v>
      </c>
      <c r="T577" s="1" t="s">
        <v>40</v>
      </c>
      <c r="U577" s="1" t="s">
        <v>52</v>
      </c>
      <c r="V577" s="1">
        <f>(((11-21)*7)/M577)*10</f>
        <v>-23.333333333333336</v>
      </c>
      <c r="W577" s="1" t="s">
        <v>201</v>
      </c>
      <c r="X577" s="1" t="s">
        <v>40</v>
      </c>
      <c r="Y577" s="1" t="s">
        <v>694</v>
      </c>
      <c r="Z577" s="1" t="s">
        <v>40</v>
      </c>
      <c r="AA577" s="1" t="s">
        <v>40</v>
      </c>
      <c r="AB577" s="1" t="s">
        <v>1336</v>
      </c>
      <c r="AC577" s="1" t="s">
        <v>40</v>
      </c>
      <c r="AD577" s="1" t="s">
        <v>40</v>
      </c>
      <c r="AE577" s="1" t="s">
        <v>1335</v>
      </c>
    </row>
    <row r="578" spans="1:31">
      <c r="A578" s="1" t="s">
        <v>756</v>
      </c>
      <c r="B578" s="1" t="s">
        <v>757</v>
      </c>
      <c r="C578" s="60">
        <v>45874</v>
      </c>
      <c r="D578" s="1" t="s">
        <v>130</v>
      </c>
      <c r="E578" s="1" t="s">
        <v>74</v>
      </c>
      <c r="F578" s="1">
        <v>2010</v>
      </c>
      <c r="G578" s="1" t="s">
        <v>62</v>
      </c>
      <c r="H578" s="1" t="s">
        <v>147</v>
      </c>
      <c r="I578" s="1">
        <v>54.18</v>
      </c>
      <c r="J578" s="1">
        <v>7.9</v>
      </c>
      <c r="K578" s="1">
        <v>1975</v>
      </c>
      <c r="L578" s="1">
        <v>2004</v>
      </c>
      <c r="M578" s="1">
        <v>30</v>
      </c>
      <c r="N578" s="1" t="s">
        <v>623</v>
      </c>
      <c r="O578" s="1" t="s">
        <v>199</v>
      </c>
      <c r="P578" s="1" t="s">
        <v>1020</v>
      </c>
      <c r="Q578" s="1" t="s">
        <v>759</v>
      </c>
      <c r="R578" s="1" t="s">
        <v>760</v>
      </c>
      <c r="S578" s="1" t="s">
        <v>71</v>
      </c>
      <c r="T578" s="1" t="s">
        <v>40</v>
      </c>
      <c r="U578" s="1" t="s">
        <v>52</v>
      </c>
      <c r="V578" s="1">
        <f>(((14.1-20.1)*7)/M578)*10</f>
        <v>-14.000000000000005</v>
      </c>
      <c r="W578" s="1" t="s">
        <v>201</v>
      </c>
      <c r="X578" s="1" t="s">
        <v>40</v>
      </c>
      <c r="Y578" s="1" t="s">
        <v>694</v>
      </c>
      <c r="Z578" s="1" t="s">
        <v>40</v>
      </c>
      <c r="AA578" s="1" t="s">
        <v>40</v>
      </c>
      <c r="AB578" s="1" t="s">
        <v>1336</v>
      </c>
      <c r="AC578" s="1" t="s">
        <v>40</v>
      </c>
      <c r="AD578" s="1" t="s">
        <v>40</v>
      </c>
      <c r="AE578" s="1" t="s">
        <v>1335</v>
      </c>
    </row>
    <row r="579" spans="1:31">
      <c r="A579" s="1" t="s">
        <v>756</v>
      </c>
      <c r="B579" s="47" t="s">
        <v>1879</v>
      </c>
      <c r="C579" s="60">
        <v>45874</v>
      </c>
      <c r="D579" s="1" t="s">
        <v>130</v>
      </c>
      <c r="E579" s="1" t="s">
        <v>74</v>
      </c>
      <c r="F579" s="1">
        <v>2010</v>
      </c>
      <c r="G579" s="1" t="s">
        <v>62</v>
      </c>
      <c r="H579" s="1" t="s">
        <v>147</v>
      </c>
      <c r="I579" s="1">
        <v>54.18</v>
      </c>
      <c r="J579" s="1">
        <v>7.9</v>
      </c>
      <c r="K579" s="1">
        <v>1975</v>
      </c>
      <c r="L579" s="1">
        <v>2004</v>
      </c>
      <c r="M579" s="1">
        <v>30</v>
      </c>
      <c r="N579" s="1" t="s">
        <v>623</v>
      </c>
      <c r="O579" s="1" t="s">
        <v>199</v>
      </c>
      <c r="P579" s="1" t="s">
        <v>1856</v>
      </c>
      <c r="Q579" s="1" t="s">
        <v>181</v>
      </c>
      <c r="R579" s="1" t="s">
        <v>760</v>
      </c>
      <c r="S579" s="1" t="s">
        <v>71</v>
      </c>
      <c r="T579" s="1" t="s">
        <v>40</v>
      </c>
      <c r="U579" s="1" t="s">
        <v>52</v>
      </c>
      <c r="V579" s="1">
        <f>(((18.1-19.6)*7)/M579)*10</f>
        <v>-3.5</v>
      </c>
      <c r="W579" s="1" t="s">
        <v>201</v>
      </c>
      <c r="X579" s="1" t="s">
        <v>40</v>
      </c>
      <c r="Y579" s="1" t="s">
        <v>41</v>
      </c>
      <c r="Z579" s="1" t="s">
        <v>40</v>
      </c>
      <c r="AA579" s="1" t="s">
        <v>40</v>
      </c>
      <c r="AB579" s="1" t="s">
        <v>1336</v>
      </c>
      <c r="AC579" s="1" t="s">
        <v>40</v>
      </c>
      <c r="AD579" s="1" t="s">
        <v>40</v>
      </c>
      <c r="AE579" s="1" t="s">
        <v>1335</v>
      </c>
    </row>
    <row r="580" spans="1:31" ht="14.5" customHeight="1">
      <c r="A580" t="s">
        <v>1343</v>
      </c>
      <c r="B580"/>
      <c r="C580" s="60">
        <v>45889</v>
      </c>
      <c r="D580" s="1" t="s">
        <v>130</v>
      </c>
      <c r="E580" s="1" t="s">
        <v>751</v>
      </c>
      <c r="F580">
        <v>2010</v>
      </c>
      <c r="G580" t="s">
        <v>1344</v>
      </c>
      <c r="H580" t="s">
        <v>723</v>
      </c>
      <c r="I580" s="28">
        <v>-38.72</v>
      </c>
      <c r="J580" s="28">
        <v>-62.272399999999998</v>
      </c>
      <c r="K580" s="21">
        <v>1978</v>
      </c>
      <c r="L580" s="21">
        <v>2007</v>
      </c>
      <c r="M580" s="21">
        <v>30</v>
      </c>
      <c r="N580"/>
      <c r="O580" t="s">
        <v>152</v>
      </c>
      <c r="P580" t="s">
        <v>152</v>
      </c>
      <c r="Q580" t="s">
        <v>1345</v>
      </c>
      <c r="R580"/>
      <c r="S580"/>
      <c r="T580"/>
      <c r="U580"/>
      <c r="V580">
        <v>-12.333333333333334</v>
      </c>
      <c r="W580"/>
      <c r="X580"/>
      <c r="Y580" t="s">
        <v>694</v>
      </c>
      <c r="Z580"/>
      <c r="AA580"/>
      <c r="AB580" t="s">
        <v>1346</v>
      </c>
      <c r="AC580"/>
      <c r="AD580"/>
    </row>
    <row r="581" spans="1:31">
      <c r="A581" s="1" t="s">
        <v>264</v>
      </c>
      <c r="C581" s="60">
        <v>45875</v>
      </c>
      <c r="D581" s="1" t="s">
        <v>130</v>
      </c>
      <c r="E581" s="1" t="s">
        <v>776</v>
      </c>
      <c r="F581" s="1">
        <v>2009</v>
      </c>
      <c r="I581" s="1">
        <v>45.7</v>
      </c>
      <c r="J581" s="1">
        <v>13.71</v>
      </c>
      <c r="K581" s="1">
        <v>1970</v>
      </c>
      <c r="O581" s="1" t="s">
        <v>199</v>
      </c>
      <c r="P581" s="1" t="s">
        <v>1014</v>
      </c>
      <c r="Q581" s="1" t="s">
        <v>134</v>
      </c>
      <c r="R581" s="1" t="s">
        <v>266</v>
      </c>
      <c r="S581" s="1" t="s">
        <v>71</v>
      </c>
      <c r="T581" s="1" t="s">
        <v>40</v>
      </c>
      <c r="U581" s="1" t="s">
        <v>52</v>
      </c>
      <c r="V581" s="1">
        <v>5.7830000000000004</v>
      </c>
      <c r="W581" s="1" t="s">
        <v>214</v>
      </c>
      <c r="X581" s="1" t="s">
        <v>40</v>
      </c>
      <c r="Y581" s="1" t="s">
        <v>41</v>
      </c>
      <c r="Z581" s="1" t="s">
        <v>40</v>
      </c>
      <c r="AA581" s="1" t="s">
        <v>40</v>
      </c>
      <c r="AB581" s="1" t="s">
        <v>1863</v>
      </c>
      <c r="AC581" s="1" t="s">
        <v>44</v>
      </c>
      <c r="AD581" s="1" t="s">
        <v>40</v>
      </c>
      <c r="AE581" s="1" t="s">
        <v>1035</v>
      </c>
    </row>
    <row r="582" spans="1:31">
      <c r="A582" s="1" t="s">
        <v>264</v>
      </c>
      <c r="C582" s="60">
        <v>45875</v>
      </c>
      <c r="D582" s="1" t="s">
        <v>130</v>
      </c>
      <c r="E582" s="1" t="s">
        <v>776</v>
      </c>
      <c r="F582" s="1">
        <v>2009</v>
      </c>
      <c r="I582" s="1">
        <v>45.7</v>
      </c>
      <c r="J582" s="1">
        <v>13.71</v>
      </c>
      <c r="K582" s="1">
        <v>1970</v>
      </c>
      <c r="O582" s="1" t="s">
        <v>199</v>
      </c>
      <c r="P582" s="1" t="s">
        <v>1014</v>
      </c>
      <c r="Q582" s="1" t="s">
        <v>267</v>
      </c>
      <c r="R582" s="1" t="s">
        <v>266</v>
      </c>
      <c r="S582" s="1" t="s">
        <v>71</v>
      </c>
      <c r="T582" s="1" t="s">
        <v>40</v>
      </c>
      <c r="U582" s="1" t="s">
        <v>52</v>
      </c>
      <c r="V582" s="1">
        <v>3.044</v>
      </c>
      <c r="W582" s="1" t="s">
        <v>201</v>
      </c>
      <c r="X582" s="1" t="s">
        <v>40</v>
      </c>
      <c r="Y582" s="1" t="s">
        <v>694</v>
      </c>
      <c r="Z582" s="1" t="s">
        <v>40</v>
      </c>
      <c r="AA582" s="1" t="s">
        <v>40</v>
      </c>
      <c r="AB582" s="1" t="s">
        <v>1863</v>
      </c>
      <c r="AC582" s="1" t="s">
        <v>44</v>
      </c>
      <c r="AD582" s="1" t="s">
        <v>40</v>
      </c>
      <c r="AE582" s="1" t="s">
        <v>1035</v>
      </c>
    </row>
    <row r="583" spans="1:31">
      <c r="A583" s="1" t="s">
        <v>264</v>
      </c>
      <c r="C583" s="60">
        <v>45875</v>
      </c>
      <c r="D583" s="1" t="s">
        <v>130</v>
      </c>
      <c r="E583" s="1" t="s">
        <v>776</v>
      </c>
      <c r="F583" s="1">
        <v>2009</v>
      </c>
      <c r="I583" s="1">
        <v>45.7</v>
      </c>
      <c r="J583" s="1">
        <v>13.71</v>
      </c>
      <c r="K583" s="1">
        <v>1970</v>
      </c>
      <c r="O583" s="1" t="s">
        <v>199</v>
      </c>
      <c r="P583" s="1" t="s">
        <v>1014</v>
      </c>
      <c r="Q583" s="1" t="s">
        <v>268</v>
      </c>
      <c r="R583" s="1" t="s">
        <v>266</v>
      </c>
      <c r="S583" s="1" t="s">
        <v>71</v>
      </c>
      <c r="T583" s="1" t="s">
        <v>40</v>
      </c>
      <c r="U583" s="1" t="s">
        <v>52</v>
      </c>
      <c r="V583" s="1">
        <v>1.7390000000000001</v>
      </c>
      <c r="W583" s="1" t="s">
        <v>201</v>
      </c>
      <c r="X583" s="1" t="s">
        <v>40</v>
      </c>
      <c r="Y583" s="1" t="s">
        <v>694</v>
      </c>
      <c r="Z583" s="1" t="s">
        <v>40</v>
      </c>
      <c r="AA583" s="1" t="s">
        <v>40</v>
      </c>
      <c r="AB583" s="1" t="s">
        <v>1863</v>
      </c>
      <c r="AC583" s="1" t="s">
        <v>44</v>
      </c>
      <c r="AD583" s="1" t="s">
        <v>40</v>
      </c>
      <c r="AE583" s="1" t="s">
        <v>1035</v>
      </c>
    </row>
    <row r="584" spans="1:31">
      <c r="A584" s="1" t="s">
        <v>264</v>
      </c>
      <c r="C584" s="60">
        <v>45875</v>
      </c>
      <c r="D584" s="1" t="s">
        <v>130</v>
      </c>
      <c r="E584" s="1" t="s">
        <v>776</v>
      </c>
      <c r="F584" s="1">
        <v>2009</v>
      </c>
      <c r="I584" s="1">
        <v>45.7</v>
      </c>
      <c r="J584" s="1">
        <v>13.71</v>
      </c>
      <c r="K584" s="1">
        <v>1970</v>
      </c>
      <c r="O584" s="1" t="s">
        <v>199</v>
      </c>
      <c r="P584" s="1" t="s">
        <v>1014</v>
      </c>
      <c r="Q584" s="1" t="s">
        <v>269</v>
      </c>
      <c r="R584" s="1" t="s">
        <v>266</v>
      </c>
      <c r="S584" s="1" t="s">
        <v>71</v>
      </c>
      <c r="T584" s="1" t="s">
        <v>40</v>
      </c>
      <c r="U584" s="1" t="s">
        <v>52</v>
      </c>
      <c r="V584" s="1">
        <v>7.827</v>
      </c>
      <c r="W584" s="1" t="s">
        <v>214</v>
      </c>
      <c r="X584" s="1" t="s">
        <v>40</v>
      </c>
      <c r="Y584" s="1" t="s">
        <v>41</v>
      </c>
      <c r="Z584" s="1" t="s">
        <v>40</v>
      </c>
      <c r="AA584" s="1" t="s">
        <v>40</v>
      </c>
      <c r="AB584" s="1" t="s">
        <v>1863</v>
      </c>
      <c r="AC584" s="1" t="s">
        <v>44</v>
      </c>
      <c r="AD584" s="1" t="s">
        <v>40</v>
      </c>
      <c r="AE584" s="1" t="s">
        <v>1035</v>
      </c>
    </row>
    <row r="585" spans="1:31">
      <c r="A585" s="1" t="s">
        <v>264</v>
      </c>
      <c r="C585" s="60">
        <v>45875</v>
      </c>
      <c r="D585" s="1" t="s">
        <v>130</v>
      </c>
      <c r="E585" s="1" t="s">
        <v>776</v>
      </c>
      <c r="F585" s="1">
        <v>2009</v>
      </c>
      <c r="I585" s="1">
        <v>45.7</v>
      </c>
      <c r="J585" s="1">
        <v>13.71</v>
      </c>
      <c r="K585" s="1">
        <v>1970</v>
      </c>
      <c r="O585" s="1" t="s">
        <v>199</v>
      </c>
      <c r="P585" s="1" t="s">
        <v>1014</v>
      </c>
      <c r="Q585" s="1" t="s">
        <v>270</v>
      </c>
      <c r="R585" s="1" t="s">
        <v>266</v>
      </c>
      <c r="S585" s="1" t="s">
        <v>71</v>
      </c>
      <c r="T585" s="1" t="s">
        <v>40</v>
      </c>
      <c r="U585" s="1" t="s">
        <v>52</v>
      </c>
      <c r="V585" s="1">
        <v>12.175000000000001</v>
      </c>
      <c r="W585" s="1" t="s">
        <v>223</v>
      </c>
      <c r="X585" s="1" t="s">
        <v>40</v>
      </c>
      <c r="Y585" s="1" t="s">
        <v>41</v>
      </c>
      <c r="Z585" s="1" t="s">
        <v>40</v>
      </c>
      <c r="AA585" s="1" t="s">
        <v>40</v>
      </c>
      <c r="AB585" s="1" t="s">
        <v>1863</v>
      </c>
      <c r="AC585" s="1" t="s">
        <v>44</v>
      </c>
      <c r="AD585" s="1" t="s">
        <v>40</v>
      </c>
      <c r="AE585" s="1" t="s">
        <v>1035</v>
      </c>
    </row>
    <row r="586" spans="1:31">
      <c r="A586" s="1" t="s">
        <v>264</v>
      </c>
      <c r="C586" s="60">
        <v>45875</v>
      </c>
      <c r="D586" s="1" t="s">
        <v>130</v>
      </c>
      <c r="E586" s="1" t="s">
        <v>776</v>
      </c>
      <c r="F586" s="1">
        <v>2009</v>
      </c>
      <c r="I586" s="1">
        <v>45.7</v>
      </c>
      <c r="J586" s="1">
        <v>13.71</v>
      </c>
      <c r="K586" s="1">
        <v>1970</v>
      </c>
      <c r="O586" s="1" t="s">
        <v>199</v>
      </c>
      <c r="P586" s="1" t="s">
        <v>1014</v>
      </c>
      <c r="Q586" s="1" t="s">
        <v>66</v>
      </c>
      <c r="R586" s="1" t="s">
        <v>266</v>
      </c>
      <c r="S586" s="1" t="s">
        <v>71</v>
      </c>
      <c r="T586" s="1" t="s">
        <v>40</v>
      </c>
      <c r="U586" s="1" t="s">
        <v>54</v>
      </c>
      <c r="V586" s="1">
        <v>10.43</v>
      </c>
      <c r="W586" s="1" t="s">
        <v>214</v>
      </c>
      <c r="X586" s="1" t="s">
        <v>40</v>
      </c>
      <c r="Y586" s="1" t="s">
        <v>694</v>
      </c>
      <c r="Z586" s="1" t="s">
        <v>40</v>
      </c>
      <c r="AA586" s="1" t="s">
        <v>40</v>
      </c>
      <c r="AB586" s="1" t="s">
        <v>1863</v>
      </c>
      <c r="AC586" s="1" t="s">
        <v>44</v>
      </c>
      <c r="AD586" s="1" t="s">
        <v>40</v>
      </c>
      <c r="AE586" s="1" t="s">
        <v>1035</v>
      </c>
    </row>
    <row r="587" spans="1:31">
      <c r="A587" s="1" t="s">
        <v>264</v>
      </c>
      <c r="C587" s="60">
        <v>45875</v>
      </c>
      <c r="D587" s="1" t="s">
        <v>130</v>
      </c>
      <c r="E587" s="1" t="s">
        <v>776</v>
      </c>
      <c r="F587" s="1">
        <v>2009</v>
      </c>
      <c r="I587" s="1">
        <v>45.7</v>
      </c>
      <c r="J587" s="1">
        <v>13.71</v>
      </c>
      <c r="K587" s="1">
        <v>1970</v>
      </c>
      <c r="O587" s="1" t="s">
        <v>199</v>
      </c>
      <c r="P587" s="1" t="s">
        <v>1015</v>
      </c>
      <c r="Q587" s="1" t="s">
        <v>666</v>
      </c>
      <c r="R587" s="1" t="s">
        <v>266</v>
      </c>
      <c r="S587" s="1" t="s">
        <v>71</v>
      </c>
      <c r="T587" s="1" t="s">
        <v>40</v>
      </c>
      <c r="U587" s="1" t="s">
        <v>54</v>
      </c>
      <c r="V587" s="1">
        <v>14.78</v>
      </c>
      <c r="W587" s="1" t="s">
        <v>214</v>
      </c>
      <c r="X587" s="1" t="s">
        <v>40</v>
      </c>
      <c r="Y587" s="1" t="s">
        <v>694</v>
      </c>
      <c r="Z587" s="1" t="s">
        <v>40</v>
      </c>
      <c r="AA587" s="1" t="s">
        <v>40</v>
      </c>
      <c r="AB587" s="1" t="s">
        <v>1863</v>
      </c>
      <c r="AC587" s="1" t="s">
        <v>44</v>
      </c>
      <c r="AD587" s="1" t="s">
        <v>40</v>
      </c>
      <c r="AE587" s="1" t="s">
        <v>1035</v>
      </c>
    </row>
    <row r="588" spans="1:31">
      <c r="A588" s="1" t="s">
        <v>264</v>
      </c>
      <c r="C588" s="60">
        <v>45875</v>
      </c>
      <c r="D588" s="1" t="s">
        <v>130</v>
      </c>
      <c r="E588" s="1" t="s">
        <v>776</v>
      </c>
      <c r="F588" s="1">
        <v>2009</v>
      </c>
      <c r="I588" s="1">
        <v>45.7</v>
      </c>
      <c r="J588" s="1">
        <v>13.71</v>
      </c>
      <c r="K588" s="1">
        <v>1970</v>
      </c>
      <c r="O588" s="1" t="s">
        <v>199</v>
      </c>
      <c r="P588" s="1" t="s">
        <v>1014</v>
      </c>
      <c r="Q588" s="1" t="s">
        <v>56</v>
      </c>
      <c r="R588" s="1" t="s">
        <v>266</v>
      </c>
      <c r="S588" s="1" t="s">
        <v>71</v>
      </c>
      <c r="T588" s="1" t="s">
        <v>40</v>
      </c>
      <c r="U588" s="1" t="s">
        <v>52</v>
      </c>
      <c r="V588" s="1">
        <v>-8.6999999999999993</v>
      </c>
      <c r="W588" s="1" t="s">
        <v>201</v>
      </c>
      <c r="X588" s="1" t="s">
        <v>40</v>
      </c>
      <c r="Y588" s="1" t="s">
        <v>694</v>
      </c>
      <c r="Z588" s="1" t="s">
        <v>40</v>
      </c>
      <c r="AA588" s="1" t="s">
        <v>40</v>
      </c>
      <c r="AB588" s="1" t="s">
        <v>1863</v>
      </c>
      <c r="AC588" s="1" t="s">
        <v>44</v>
      </c>
      <c r="AD588" s="1" t="s">
        <v>40</v>
      </c>
      <c r="AE588" s="1" t="s">
        <v>1035</v>
      </c>
    </row>
    <row r="589" spans="1:31">
      <c r="A589" s="1" t="s">
        <v>264</v>
      </c>
      <c r="C589" s="60">
        <v>45875</v>
      </c>
      <c r="D589" s="1" t="s">
        <v>130</v>
      </c>
      <c r="E589" s="1" t="s">
        <v>776</v>
      </c>
      <c r="F589" s="1">
        <v>2009</v>
      </c>
      <c r="I589" s="1">
        <v>45.7</v>
      </c>
      <c r="J589" s="1">
        <v>13.71</v>
      </c>
      <c r="K589" s="1">
        <v>1970</v>
      </c>
      <c r="O589" s="1" t="s">
        <v>199</v>
      </c>
      <c r="P589" s="1" t="s">
        <v>1015</v>
      </c>
      <c r="Q589" s="1" t="s">
        <v>271</v>
      </c>
      <c r="R589" s="1" t="s">
        <v>266</v>
      </c>
      <c r="S589" s="1" t="s">
        <v>71</v>
      </c>
      <c r="T589" s="1" t="s">
        <v>40</v>
      </c>
      <c r="U589" s="1" t="s">
        <v>272</v>
      </c>
      <c r="V589" s="1">
        <v>39</v>
      </c>
      <c r="W589" s="1" t="s">
        <v>214</v>
      </c>
      <c r="X589" s="1" t="s">
        <v>40</v>
      </c>
      <c r="Y589" s="1" t="s">
        <v>694</v>
      </c>
      <c r="Z589" s="1" t="s">
        <v>40</v>
      </c>
      <c r="AA589" s="1" t="s">
        <v>40</v>
      </c>
      <c r="AB589" s="1" t="s">
        <v>1863</v>
      </c>
      <c r="AC589" s="1" t="s">
        <v>44</v>
      </c>
      <c r="AD589" s="1" t="s">
        <v>40</v>
      </c>
      <c r="AE589" s="1" t="s">
        <v>1035</v>
      </c>
    </row>
    <row r="590" spans="1:31">
      <c r="A590" s="1" t="s">
        <v>264</v>
      </c>
      <c r="C590" s="60">
        <v>45875</v>
      </c>
      <c r="D590" s="1" t="s">
        <v>130</v>
      </c>
      <c r="E590" s="1" t="s">
        <v>776</v>
      </c>
      <c r="F590" s="1">
        <v>2009</v>
      </c>
      <c r="I590" s="1">
        <v>45.7</v>
      </c>
      <c r="J590" s="1">
        <v>13.71</v>
      </c>
      <c r="K590" s="1">
        <v>1970</v>
      </c>
      <c r="O590" s="1" t="s">
        <v>199</v>
      </c>
      <c r="P590" s="1" t="s">
        <v>1015</v>
      </c>
      <c r="Q590" s="1" t="s">
        <v>273</v>
      </c>
      <c r="R590" s="1" t="s">
        <v>266</v>
      </c>
      <c r="S590" s="1" t="s">
        <v>71</v>
      </c>
      <c r="T590" s="1" t="s">
        <v>40</v>
      </c>
      <c r="U590" s="1" t="s">
        <v>55</v>
      </c>
      <c r="V590" s="1">
        <v>10.44</v>
      </c>
      <c r="W590" s="1" t="s">
        <v>214</v>
      </c>
      <c r="X590" s="1" t="s">
        <v>40</v>
      </c>
      <c r="Y590" s="1" t="s">
        <v>694</v>
      </c>
      <c r="Z590" s="1" t="s">
        <v>40</v>
      </c>
      <c r="AA590" s="1" t="s">
        <v>40</v>
      </c>
      <c r="AB590" s="1" t="s">
        <v>1863</v>
      </c>
      <c r="AC590" s="1" t="s">
        <v>44</v>
      </c>
      <c r="AD590" s="1" t="s">
        <v>40</v>
      </c>
      <c r="AE590" s="1" t="s">
        <v>1035</v>
      </c>
    </row>
    <row r="591" spans="1:31">
      <c r="A591" s="1" t="s">
        <v>264</v>
      </c>
      <c r="C591" s="60">
        <v>45875</v>
      </c>
      <c r="D591" s="1" t="s">
        <v>130</v>
      </c>
      <c r="E591" s="1" t="s">
        <v>776</v>
      </c>
      <c r="F591" s="1">
        <v>2009</v>
      </c>
      <c r="I591" s="1">
        <v>45.7</v>
      </c>
      <c r="J591" s="1">
        <v>13.71</v>
      </c>
      <c r="K591" s="1">
        <v>1970</v>
      </c>
      <c r="O591" s="1" t="s">
        <v>199</v>
      </c>
      <c r="P591" s="1" t="s">
        <v>1015</v>
      </c>
      <c r="Q591" s="1" t="s">
        <v>274</v>
      </c>
      <c r="R591" s="1" t="s">
        <v>266</v>
      </c>
      <c r="S591" s="1" t="s">
        <v>71</v>
      </c>
      <c r="T591" s="1" t="s">
        <v>40</v>
      </c>
      <c r="U591" s="1" t="s">
        <v>55</v>
      </c>
      <c r="V591" s="1">
        <v>13.04</v>
      </c>
      <c r="W591" s="1" t="s">
        <v>214</v>
      </c>
      <c r="X591" s="1" t="s">
        <v>40</v>
      </c>
      <c r="Y591" s="1" t="s">
        <v>694</v>
      </c>
      <c r="Z591" s="1" t="s">
        <v>40</v>
      </c>
      <c r="AA591" s="1" t="s">
        <v>40</v>
      </c>
      <c r="AB591" s="1" t="s">
        <v>1863</v>
      </c>
      <c r="AC591" s="1" t="s">
        <v>44</v>
      </c>
      <c r="AD591" s="1" t="s">
        <v>40</v>
      </c>
      <c r="AE591" s="1" t="s">
        <v>1035</v>
      </c>
    </row>
    <row r="592" spans="1:31">
      <c r="A592" s="1" t="s">
        <v>264</v>
      </c>
      <c r="C592" s="60">
        <v>45875</v>
      </c>
      <c r="D592" s="1" t="s">
        <v>130</v>
      </c>
      <c r="E592" s="1" t="s">
        <v>776</v>
      </c>
      <c r="F592" s="1">
        <v>2009</v>
      </c>
      <c r="I592" s="1">
        <v>45.7</v>
      </c>
      <c r="J592" s="1">
        <v>13.71</v>
      </c>
      <c r="K592" s="1">
        <v>1970</v>
      </c>
      <c r="O592" s="1" t="s">
        <v>199</v>
      </c>
      <c r="P592" s="1" t="s">
        <v>1014</v>
      </c>
      <c r="Q592" s="1" t="s">
        <v>64</v>
      </c>
      <c r="R592" s="1" t="s">
        <v>266</v>
      </c>
      <c r="S592" s="1" t="s">
        <v>71</v>
      </c>
      <c r="T592" s="1" t="s">
        <v>40</v>
      </c>
      <c r="U592" s="1" t="s">
        <v>52</v>
      </c>
      <c r="V592" s="1">
        <v>-13.91</v>
      </c>
      <c r="W592" s="1" t="s">
        <v>201</v>
      </c>
      <c r="X592" s="1" t="s">
        <v>40</v>
      </c>
      <c r="Y592" s="1" t="s">
        <v>694</v>
      </c>
      <c r="Z592" s="1" t="s">
        <v>40</v>
      </c>
      <c r="AA592" s="1" t="s">
        <v>40</v>
      </c>
      <c r="AB592" s="1" t="s">
        <v>1863</v>
      </c>
      <c r="AC592" s="1" t="s">
        <v>44</v>
      </c>
      <c r="AD592" s="1" t="s">
        <v>40</v>
      </c>
      <c r="AE592" s="1" t="s">
        <v>1035</v>
      </c>
    </row>
    <row r="593" spans="1:31">
      <c r="A593" s="1" t="s">
        <v>264</v>
      </c>
      <c r="C593" s="60">
        <v>45875</v>
      </c>
      <c r="D593" s="1" t="s">
        <v>130</v>
      </c>
      <c r="E593" s="1" t="s">
        <v>776</v>
      </c>
      <c r="F593" s="1">
        <v>2009</v>
      </c>
      <c r="I593" s="1">
        <v>45.7</v>
      </c>
      <c r="J593" s="1">
        <v>13.71</v>
      </c>
      <c r="K593" s="1">
        <v>1970</v>
      </c>
      <c r="O593" s="1" t="s">
        <v>199</v>
      </c>
      <c r="P593" s="1" t="s">
        <v>1856</v>
      </c>
      <c r="Q593" s="1" t="s">
        <v>1862</v>
      </c>
      <c r="R593" s="1" t="s">
        <v>266</v>
      </c>
      <c r="S593" s="1" t="s">
        <v>71</v>
      </c>
      <c r="T593" s="1" t="s">
        <v>40</v>
      </c>
      <c r="U593" s="1" t="s">
        <v>53</v>
      </c>
      <c r="V593" s="1">
        <v>19.13</v>
      </c>
      <c r="W593" s="1" t="s">
        <v>214</v>
      </c>
      <c r="X593" s="1" t="s">
        <v>40</v>
      </c>
      <c r="Y593" s="1" t="s">
        <v>694</v>
      </c>
      <c r="Z593" s="1" t="s">
        <v>40</v>
      </c>
      <c r="AA593" s="1" t="s">
        <v>40</v>
      </c>
      <c r="AB593" s="1" t="s">
        <v>1863</v>
      </c>
      <c r="AC593" s="1" t="s">
        <v>44</v>
      </c>
      <c r="AD593" s="1" t="s">
        <v>40</v>
      </c>
      <c r="AE593" s="1" t="s">
        <v>1035</v>
      </c>
    </row>
    <row r="594" spans="1:31">
      <c r="A594" t="s">
        <v>1347</v>
      </c>
      <c r="B594"/>
      <c r="C594" s="60">
        <v>45889</v>
      </c>
      <c r="D594" s="1" t="s">
        <v>130</v>
      </c>
      <c r="E594" s="1" t="s">
        <v>751</v>
      </c>
      <c r="F594">
        <v>2009</v>
      </c>
      <c r="G594" t="s">
        <v>265</v>
      </c>
      <c r="H594" t="s">
        <v>147</v>
      </c>
      <c r="I594" s="21">
        <v>41</v>
      </c>
      <c r="J594" s="21">
        <v>-14</v>
      </c>
      <c r="K594" s="21">
        <v>1908</v>
      </c>
      <c r="L594" s="21">
        <v>2005</v>
      </c>
      <c r="M594" s="21">
        <v>98</v>
      </c>
      <c r="N594" t="s">
        <v>659</v>
      </c>
      <c r="O594" t="s">
        <v>152</v>
      </c>
      <c r="P594" t="s">
        <v>1078</v>
      </c>
      <c r="Q594" t="s">
        <v>40</v>
      </c>
      <c r="R594"/>
      <c r="S594"/>
      <c r="T594"/>
      <c r="U594"/>
      <c r="V594" t="s">
        <v>40</v>
      </c>
      <c r="W594"/>
      <c r="X594"/>
      <c r="Y594" t="s">
        <v>694</v>
      </c>
      <c r="Z594"/>
      <c r="AA594"/>
      <c r="AB594"/>
      <c r="AC594"/>
      <c r="AD594"/>
    </row>
    <row r="595" spans="1:31">
      <c r="A595" s="1" t="s">
        <v>2062</v>
      </c>
      <c r="B595" s="47" t="s">
        <v>1431</v>
      </c>
      <c r="D595" s="1" t="s">
        <v>130</v>
      </c>
      <c r="E595" s="1" t="s">
        <v>74</v>
      </c>
      <c r="F595" s="1">
        <v>2008</v>
      </c>
      <c r="G595" s="1" t="s">
        <v>2063</v>
      </c>
      <c r="H595" s="1" t="s">
        <v>147</v>
      </c>
      <c r="K595" s="1">
        <v>1955</v>
      </c>
      <c r="L595" s="1">
        <v>2003</v>
      </c>
      <c r="M595" s="1">
        <f>L595-K595+1</f>
        <v>49</v>
      </c>
      <c r="N595" s="1" t="s">
        <v>623</v>
      </c>
      <c r="O595" s="1" t="s">
        <v>1582</v>
      </c>
      <c r="P595" s="1" t="s">
        <v>217</v>
      </c>
      <c r="Q595" s="1" t="s">
        <v>2064</v>
      </c>
      <c r="R595" s="1" t="s">
        <v>2066</v>
      </c>
      <c r="V595" s="1">
        <v>-3.8</v>
      </c>
      <c r="Y595" s="1" t="s">
        <v>694</v>
      </c>
      <c r="AB595" s="1" t="s">
        <v>1685</v>
      </c>
    </row>
    <row r="596" spans="1:31">
      <c r="A596" s="1" t="s">
        <v>2062</v>
      </c>
      <c r="B596" s="1" t="s">
        <v>1431</v>
      </c>
      <c r="D596" s="1" t="s">
        <v>130</v>
      </c>
      <c r="E596" s="1" t="s">
        <v>74</v>
      </c>
      <c r="F596" s="1">
        <v>2008</v>
      </c>
      <c r="G596" s="1" t="s">
        <v>2063</v>
      </c>
      <c r="H596" s="1" t="s">
        <v>147</v>
      </c>
      <c r="K596" s="1">
        <v>1955</v>
      </c>
      <c r="L596" s="1">
        <v>2003</v>
      </c>
      <c r="M596" s="1">
        <f>L596-K596+1</f>
        <v>49</v>
      </c>
      <c r="N596" s="1" t="s">
        <v>623</v>
      </c>
      <c r="O596" s="1" t="s">
        <v>1582</v>
      </c>
      <c r="P596" s="1" t="s">
        <v>217</v>
      </c>
      <c r="Q596" s="1" t="s">
        <v>2065</v>
      </c>
      <c r="R596" s="1" t="s">
        <v>2066</v>
      </c>
      <c r="V596" s="1">
        <v>-4.4000000000000004</v>
      </c>
      <c r="Y596" s="1" t="s">
        <v>694</v>
      </c>
      <c r="AB596" s="1" t="s">
        <v>1685</v>
      </c>
    </row>
    <row r="597" spans="1:31">
      <c r="A597" s="1" t="s">
        <v>657</v>
      </c>
      <c r="B597" s="1" t="s">
        <v>764</v>
      </c>
      <c r="C597" s="60">
        <v>45874</v>
      </c>
      <c r="D597" s="1" t="s">
        <v>130</v>
      </c>
      <c r="E597" s="1" t="s">
        <v>751</v>
      </c>
      <c r="F597" s="1">
        <v>2006</v>
      </c>
      <c r="G597" s="1" t="s">
        <v>658</v>
      </c>
      <c r="H597" s="1" t="s">
        <v>147</v>
      </c>
      <c r="I597" s="1">
        <v>41.5</v>
      </c>
      <c r="J597" s="1">
        <v>-71.349999999999994</v>
      </c>
      <c r="K597" s="1">
        <v>1951</v>
      </c>
      <c r="L597" s="1">
        <v>2003</v>
      </c>
      <c r="M597" s="1">
        <v>53</v>
      </c>
      <c r="N597" s="1" t="s">
        <v>659</v>
      </c>
      <c r="O597" s="1" t="s">
        <v>199</v>
      </c>
      <c r="P597" s="1" t="s">
        <v>1014</v>
      </c>
      <c r="Q597" s="1" t="s">
        <v>33</v>
      </c>
      <c r="R597" s="1" t="s">
        <v>765</v>
      </c>
      <c r="S597" s="1" t="s">
        <v>71</v>
      </c>
      <c r="T597" s="1" t="s">
        <v>40</v>
      </c>
      <c r="U597" s="1" t="s">
        <v>40</v>
      </c>
      <c r="V597" s="1">
        <v>0</v>
      </c>
      <c r="X597" s="1" t="s">
        <v>40</v>
      </c>
      <c r="Y597" s="1" t="s">
        <v>223</v>
      </c>
      <c r="Z597" s="1" t="s">
        <v>40</v>
      </c>
      <c r="AA597" s="1" t="s">
        <v>40</v>
      </c>
      <c r="AB597" s="1" t="s">
        <v>766</v>
      </c>
      <c r="AC597" s="1" t="s">
        <v>44</v>
      </c>
      <c r="AD597" s="1" t="s">
        <v>40</v>
      </c>
      <c r="AE597" s="1" t="s">
        <v>767</v>
      </c>
    </row>
    <row r="598" spans="1:31">
      <c r="A598" s="1" t="s">
        <v>657</v>
      </c>
      <c r="B598" s="1" t="s">
        <v>764</v>
      </c>
      <c r="C598" s="60">
        <v>45874</v>
      </c>
      <c r="D598" s="1" t="s">
        <v>130</v>
      </c>
      <c r="E598" s="1" t="s">
        <v>909</v>
      </c>
      <c r="F598" s="1">
        <v>2006</v>
      </c>
      <c r="G598" s="1" t="s">
        <v>658</v>
      </c>
      <c r="H598" s="1" t="s">
        <v>147</v>
      </c>
      <c r="I598" s="1">
        <v>41.5</v>
      </c>
      <c r="J598" s="1">
        <v>-71.349999999999994</v>
      </c>
      <c r="K598" s="1">
        <v>1951</v>
      </c>
      <c r="L598" s="1">
        <v>2003</v>
      </c>
      <c r="M598" s="1">
        <v>53</v>
      </c>
      <c r="N598" s="1" t="s">
        <v>659</v>
      </c>
      <c r="O598" s="1" t="s">
        <v>199</v>
      </c>
      <c r="P598" s="1" t="s">
        <v>1020</v>
      </c>
      <c r="Q598" s="1" t="s">
        <v>200</v>
      </c>
      <c r="R598" s="1" t="s">
        <v>765</v>
      </c>
      <c r="S598" s="1" t="s">
        <v>71</v>
      </c>
      <c r="T598" s="1" t="s">
        <v>40</v>
      </c>
      <c r="U598" s="1" t="s">
        <v>55</v>
      </c>
      <c r="V598" s="1">
        <v>-11.13</v>
      </c>
      <c r="W598" s="1" t="s">
        <v>201</v>
      </c>
      <c r="X598" s="1" t="s">
        <v>40</v>
      </c>
      <c r="Y598" s="1" t="s">
        <v>694</v>
      </c>
      <c r="Z598" s="1" t="s">
        <v>40</v>
      </c>
      <c r="AA598" s="1" t="s">
        <v>40</v>
      </c>
      <c r="AB598" s="1" t="s">
        <v>1337</v>
      </c>
      <c r="AC598" s="1" t="s">
        <v>44</v>
      </c>
      <c r="AD598" s="1" t="s">
        <v>40</v>
      </c>
    </row>
    <row r="599" spans="1:31">
      <c r="A599" s="1" t="s">
        <v>660</v>
      </c>
      <c r="B599" s="26" t="s">
        <v>774</v>
      </c>
      <c r="C599" s="60">
        <v>45874</v>
      </c>
      <c r="D599" s="1" t="s">
        <v>130</v>
      </c>
      <c r="E599" s="1" t="s">
        <v>751</v>
      </c>
      <c r="F599" s="1">
        <v>2005</v>
      </c>
      <c r="G599" s="1" t="s">
        <v>661</v>
      </c>
      <c r="H599" s="1" t="s">
        <v>147</v>
      </c>
      <c r="I599" s="1">
        <v>56</v>
      </c>
      <c r="J599" s="1">
        <v>3</v>
      </c>
      <c r="K599" s="1">
        <v>1958</v>
      </c>
      <c r="L599" s="1">
        <v>2005</v>
      </c>
      <c r="M599" s="1">
        <v>48</v>
      </c>
      <c r="N599" s="1" t="s">
        <v>623</v>
      </c>
      <c r="O599" s="1" t="s">
        <v>205</v>
      </c>
      <c r="P599" s="1" t="s">
        <v>964</v>
      </c>
      <c r="Q599" s="1" t="s">
        <v>1338</v>
      </c>
      <c r="R599" s="1" t="s">
        <v>29</v>
      </c>
      <c r="S599" s="1" t="s">
        <v>71</v>
      </c>
      <c r="T599" s="1" t="s">
        <v>40</v>
      </c>
      <c r="U599" s="1" t="s">
        <v>40</v>
      </c>
      <c r="V599" s="1">
        <v>-3.8</v>
      </c>
      <c r="X599" s="1" t="s">
        <v>40</v>
      </c>
      <c r="Y599" s="1" t="s">
        <v>694</v>
      </c>
      <c r="Z599" s="1" t="s">
        <v>40</v>
      </c>
      <c r="AA599" s="1" t="s">
        <v>40</v>
      </c>
      <c r="AB599" s="1" t="s">
        <v>1339</v>
      </c>
      <c r="AC599" s="1" t="s">
        <v>44</v>
      </c>
      <c r="AD599" s="1" t="s">
        <v>40</v>
      </c>
      <c r="AE599" s="1" t="s">
        <v>40</v>
      </c>
    </row>
    <row r="600" spans="1:31">
      <c r="A600" s="1" t="s">
        <v>1032</v>
      </c>
      <c r="B600" s="1" t="s">
        <v>1033</v>
      </c>
      <c r="C600" s="60">
        <v>45880</v>
      </c>
      <c r="D600" s="1" t="s">
        <v>130</v>
      </c>
      <c r="E600" s="1" t="s">
        <v>74</v>
      </c>
      <c r="F600" s="1">
        <v>2005</v>
      </c>
      <c r="G600" s="1" t="s">
        <v>1034</v>
      </c>
      <c r="H600" s="1" t="s">
        <v>147</v>
      </c>
      <c r="I600" s="1">
        <v>41.47</v>
      </c>
      <c r="J600" s="1">
        <v>71.400000000000006</v>
      </c>
      <c r="K600" s="1">
        <v>1950</v>
      </c>
      <c r="L600" s="1">
        <v>1999</v>
      </c>
      <c r="M600" s="1">
        <f>L600-K600+1</f>
        <v>50</v>
      </c>
      <c r="N600" s="1" t="s">
        <v>133</v>
      </c>
      <c r="O600" s="1" t="s">
        <v>199</v>
      </c>
      <c r="P600" s="1" t="s">
        <v>1020</v>
      </c>
      <c r="Q600" s="1" t="s">
        <v>200</v>
      </c>
      <c r="R600" s="1" t="s">
        <v>765</v>
      </c>
      <c r="S600" s="1" t="s">
        <v>71</v>
      </c>
      <c r="T600" s="1" t="s">
        <v>40</v>
      </c>
      <c r="U600" s="1" t="s">
        <v>40</v>
      </c>
      <c r="V600" s="1">
        <v>-14.6</v>
      </c>
      <c r="Y600" s="1" t="s">
        <v>694</v>
      </c>
      <c r="AA600" s="1" t="s">
        <v>1340</v>
      </c>
      <c r="AB600" s="1" t="s">
        <v>1031</v>
      </c>
    </row>
    <row r="601" spans="1:31">
      <c r="A601" s="1" t="s">
        <v>662</v>
      </c>
      <c r="B601" s="1" t="s">
        <v>761</v>
      </c>
      <c r="C601" s="60">
        <v>45874</v>
      </c>
      <c r="D601" s="1" t="s">
        <v>130</v>
      </c>
      <c r="E601" s="1" t="s">
        <v>909</v>
      </c>
      <c r="F601" s="1">
        <v>2004</v>
      </c>
      <c r="G601" s="1" t="s">
        <v>62</v>
      </c>
      <c r="H601" s="1" t="s">
        <v>147</v>
      </c>
      <c r="I601" s="1">
        <v>55</v>
      </c>
      <c r="J601" s="1">
        <v>5</v>
      </c>
      <c r="K601" s="1">
        <v>1958</v>
      </c>
      <c r="L601" s="1">
        <v>2002</v>
      </c>
      <c r="M601" s="1">
        <v>45</v>
      </c>
      <c r="N601" s="1" t="s">
        <v>623</v>
      </c>
      <c r="O601" s="1" t="s">
        <v>205</v>
      </c>
      <c r="P601" s="1" t="s">
        <v>910</v>
      </c>
      <c r="Q601" s="1" t="s">
        <v>675</v>
      </c>
      <c r="R601" s="1" t="s">
        <v>763</v>
      </c>
      <c r="S601" s="1" t="s">
        <v>71</v>
      </c>
      <c r="T601" s="1" t="s">
        <v>40</v>
      </c>
      <c r="U601" s="1" t="s">
        <v>40</v>
      </c>
      <c r="V601" s="1">
        <v>-2.7707892059999999</v>
      </c>
      <c r="X601" s="1" t="s">
        <v>40</v>
      </c>
      <c r="Y601" s="1" t="s">
        <v>694</v>
      </c>
      <c r="Z601" s="1" t="s">
        <v>40</v>
      </c>
      <c r="AA601" s="1" t="s">
        <v>40</v>
      </c>
      <c r="AB601" s="1" t="s">
        <v>40</v>
      </c>
      <c r="AC601" s="1" t="s">
        <v>40</v>
      </c>
      <c r="AD601" s="1" t="s">
        <v>40</v>
      </c>
      <c r="AE601" s="1" t="s">
        <v>762</v>
      </c>
    </row>
    <row r="602" spans="1:31">
      <c r="A602" s="1" t="s">
        <v>662</v>
      </c>
      <c r="B602" s="1" t="s">
        <v>761</v>
      </c>
      <c r="C602" s="60">
        <v>45874</v>
      </c>
      <c r="D602" s="1" t="s">
        <v>130</v>
      </c>
      <c r="E602" s="1" t="s">
        <v>909</v>
      </c>
      <c r="F602" s="1">
        <v>2004</v>
      </c>
      <c r="G602" s="1" t="s">
        <v>62</v>
      </c>
      <c r="H602" s="1" t="s">
        <v>147</v>
      </c>
      <c r="I602" s="1">
        <v>55</v>
      </c>
      <c r="J602" s="1">
        <v>5</v>
      </c>
      <c r="K602" s="1">
        <v>1958</v>
      </c>
      <c r="L602" s="1">
        <v>2002</v>
      </c>
      <c r="M602" s="1">
        <v>45</v>
      </c>
      <c r="N602" s="1" t="s">
        <v>623</v>
      </c>
      <c r="O602" s="1" t="s">
        <v>205</v>
      </c>
      <c r="P602" s="1" t="s">
        <v>910</v>
      </c>
      <c r="Q602" s="1" t="s">
        <v>677</v>
      </c>
      <c r="R602" s="1" t="s">
        <v>763</v>
      </c>
      <c r="S602" s="1" t="s">
        <v>71</v>
      </c>
      <c r="T602" s="1" t="s">
        <v>40</v>
      </c>
      <c r="U602" s="1" t="s">
        <v>40</v>
      </c>
      <c r="V602" s="1">
        <v>-0.33636007800000001</v>
      </c>
      <c r="X602" s="1" t="s">
        <v>40</v>
      </c>
      <c r="Y602" s="1" t="s">
        <v>694</v>
      </c>
      <c r="Z602" s="1" t="s">
        <v>40</v>
      </c>
      <c r="AA602" s="1" t="s">
        <v>40</v>
      </c>
      <c r="AB602" s="1" t="s">
        <v>40</v>
      </c>
      <c r="AC602" s="1" t="s">
        <v>40</v>
      </c>
      <c r="AD602" s="1" t="s">
        <v>40</v>
      </c>
      <c r="AE602" s="1" t="s">
        <v>762</v>
      </c>
    </row>
    <row r="603" spans="1:31">
      <c r="A603" s="1" t="s">
        <v>662</v>
      </c>
      <c r="B603" s="1" t="s">
        <v>761</v>
      </c>
      <c r="C603" s="60">
        <v>45874</v>
      </c>
      <c r="D603" s="1" t="s">
        <v>130</v>
      </c>
      <c r="E603" s="1" t="s">
        <v>909</v>
      </c>
      <c r="F603" s="1">
        <v>2004</v>
      </c>
      <c r="G603" s="1" t="s">
        <v>62</v>
      </c>
      <c r="H603" s="1" t="s">
        <v>147</v>
      </c>
      <c r="I603" s="1">
        <v>55</v>
      </c>
      <c r="J603" s="1">
        <v>5</v>
      </c>
      <c r="K603" s="1">
        <v>1958</v>
      </c>
      <c r="L603" s="1">
        <v>2002</v>
      </c>
      <c r="M603" s="1">
        <v>45</v>
      </c>
      <c r="N603" s="1" t="s">
        <v>623</v>
      </c>
      <c r="O603" s="1" t="s">
        <v>199</v>
      </c>
      <c r="P603" s="1" t="s">
        <v>1016</v>
      </c>
      <c r="Q603" s="1" t="s">
        <v>663</v>
      </c>
      <c r="R603" s="1" t="s">
        <v>763</v>
      </c>
      <c r="S603" s="1" t="s">
        <v>71</v>
      </c>
      <c r="T603" s="1" t="s">
        <v>40</v>
      </c>
      <c r="U603" s="1" t="s">
        <v>40</v>
      </c>
      <c r="V603" s="1">
        <v>-6.6810718329999998</v>
      </c>
      <c r="X603" s="1" t="s">
        <v>40</v>
      </c>
      <c r="Y603" s="1" t="s">
        <v>694</v>
      </c>
      <c r="Z603" s="1" t="s">
        <v>40</v>
      </c>
      <c r="AA603" s="1" t="s">
        <v>40</v>
      </c>
      <c r="AB603" s="1" t="s">
        <v>40</v>
      </c>
      <c r="AC603" s="1" t="s">
        <v>40</v>
      </c>
      <c r="AD603" s="1" t="s">
        <v>40</v>
      </c>
      <c r="AE603" s="1" t="s">
        <v>762</v>
      </c>
    </row>
    <row r="604" spans="1:31">
      <c r="A604" s="1" t="s">
        <v>662</v>
      </c>
      <c r="B604" s="1" t="s">
        <v>761</v>
      </c>
      <c r="C604" s="60">
        <v>45874</v>
      </c>
      <c r="D604" s="1" t="s">
        <v>130</v>
      </c>
      <c r="E604" s="1" t="s">
        <v>909</v>
      </c>
      <c r="F604" s="1">
        <v>2004</v>
      </c>
      <c r="G604" s="1" t="s">
        <v>62</v>
      </c>
      <c r="H604" s="1" t="s">
        <v>147</v>
      </c>
      <c r="I604" s="1">
        <v>55</v>
      </c>
      <c r="J604" s="1">
        <v>5</v>
      </c>
      <c r="K604" s="1">
        <v>1958</v>
      </c>
      <c r="L604" s="1">
        <v>2002</v>
      </c>
      <c r="M604" s="1">
        <v>45</v>
      </c>
      <c r="N604" s="1" t="s">
        <v>623</v>
      </c>
      <c r="O604" s="1" t="s">
        <v>199</v>
      </c>
      <c r="P604" s="1" t="s">
        <v>1014</v>
      </c>
      <c r="Q604" s="1" t="s">
        <v>665</v>
      </c>
      <c r="R604" s="1" t="s">
        <v>763</v>
      </c>
      <c r="S604" s="1" t="s">
        <v>71</v>
      </c>
      <c r="T604" s="1" t="s">
        <v>40</v>
      </c>
      <c r="U604" s="1" t="s">
        <v>40</v>
      </c>
      <c r="V604" s="1">
        <v>-5.7319899999999997</v>
      </c>
      <c r="X604" s="1" t="s">
        <v>40</v>
      </c>
      <c r="Y604" s="1" t="s">
        <v>694</v>
      </c>
      <c r="Z604" s="1" t="s">
        <v>40</v>
      </c>
      <c r="AA604" s="1" t="s">
        <v>40</v>
      </c>
      <c r="AB604" s="1" t="s">
        <v>40</v>
      </c>
      <c r="AC604" s="1" t="s">
        <v>40</v>
      </c>
      <c r="AD604" s="1" t="s">
        <v>40</v>
      </c>
      <c r="AE604" s="1" t="s">
        <v>762</v>
      </c>
    </row>
    <row r="605" spans="1:31">
      <c r="A605" s="1" t="s">
        <v>662</v>
      </c>
      <c r="B605" s="1" t="s">
        <v>761</v>
      </c>
      <c r="C605" s="60">
        <v>45874</v>
      </c>
      <c r="D605" s="1" t="s">
        <v>130</v>
      </c>
      <c r="E605" s="1" t="s">
        <v>909</v>
      </c>
      <c r="F605" s="1">
        <v>2004</v>
      </c>
      <c r="G605" s="1" t="s">
        <v>62</v>
      </c>
      <c r="H605" s="1" t="s">
        <v>147</v>
      </c>
      <c r="I605" s="1">
        <v>55</v>
      </c>
      <c r="J605" s="1">
        <v>5</v>
      </c>
      <c r="K605" s="1">
        <v>1958</v>
      </c>
      <c r="L605" s="1">
        <v>2002</v>
      </c>
      <c r="M605" s="1">
        <v>45</v>
      </c>
      <c r="N605" s="1" t="s">
        <v>623</v>
      </c>
      <c r="O605" s="1" t="s">
        <v>199</v>
      </c>
      <c r="P605" s="1" t="s">
        <v>1014</v>
      </c>
      <c r="Q605" s="1" t="s">
        <v>56</v>
      </c>
      <c r="R605" s="1" t="s">
        <v>763</v>
      </c>
      <c r="S605" s="1" t="s">
        <v>71</v>
      </c>
      <c r="T605" s="1" t="s">
        <v>40</v>
      </c>
      <c r="U605" s="1" t="s">
        <v>40</v>
      </c>
      <c r="V605" s="1">
        <v>-3.5302630000000002</v>
      </c>
      <c r="X605" s="1" t="s">
        <v>40</v>
      </c>
      <c r="Y605" s="1" t="s">
        <v>694</v>
      </c>
      <c r="Z605" s="1" t="s">
        <v>40</v>
      </c>
      <c r="AA605" s="1" t="s">
        <v>40</v>
      </c>
      <c r="AB605" s="1" t="s">
        <v>40</v>
      </c>
      <c r="AC605" s="1" t="s">
        <v>40</v>
      </c>
      <c r="AD605" s="1" t="s">
        <v>40</v>
      </c>
      <c r="AE605" s="1" t="s">
        <v>762</v>
      </c>
    </row>
    <row r="606" spans="1:31">
      <c r="A606" s="1" t="s">
        <v>662</v>
      </c>
      <c r="B606" s="1" t="s">
        <v>761</v>
      </c>
      <c r="C606" s="60">
        <v>45874</v>
      </c>
      <c r="D606" s="1" t="s">
        <v>130</v>
      </c>
      <c r="E606" s="1" t="s">
        <v>909</v>
      </c>
      <c r="F606" s="1">
        <v>2004</v>
      </c>
      <c r="G606" s="1" t="s">
        <v>62</v>
      </c>
      <c r="H606" s="1" t="s">
        <v>147</v>
      </c>
      <c r="I606" s="1">
        <v>55</v>
      </c>
      <c r="J606" s="1">
        <v>5</v>
      </c>
      <c r="K606" s="1">
        <v>1958</v>
      </c>
      <c r="L606" s="1">
        <v>2002</v>
      </c>
      <c r="M606" s="1">
        <v>45</v>
      </c>
      <c r="N606" s="1" t="s">
        <v>623</v>
      </c>
      <c r="O606" s="1" t="s">
        <v>199</v>
      </c>
      <c r="P606" s="1" t="s">
        <v>1014</v>
      </c>
      <c r="Q606" s="1" t="s">
        <v>110</v>
      </c>
      <c r="R606" s="1" t="s">
        <v>763</v>
      </c>
      <c r="S606" s="1" t="s">
        <v>71</v>
      </c>
      <c r="T606" s="1" t="s">
        <v>40</v>
      </c>
      <c r="U606" s="1" t="s">
        <v>40</v>
      </c>
      <c r="V606" s="1">
        <v>-3.1332497780000002</v>
      </c>
      <c r="X606" s="1" t="s">
        <v>40</v>
      </c>
      <c r="Y606" s="1" t="s">
        <v>694</v>
      </c>
      <c r="Z606" s="1" t="s">
        <v>40</v>
      </c>
      <c r="AA606" s="1" t="s">
        <v>40</v>
      </c>
      <c r="AB606" s="1" t="s">
        <v>40</v>
      </c>
      <c r="AC606" s="1" t="s">
        <v>40</v>
      </c>
      <c r="AD606" s="1" t="s">
        <v>40</v>
      </c>
      <c r="AE606" s="1" t="s">
        <v>762</v>
      </c>
    </row>
    <row r="607" spans="1:31">
      <c r="A607" s="1" t="s">
        <v>662</v>
      </c>
      <c r="B607" s="1" t="s">
        <v>761</v>
      </c>
      <c r="C607" s="60">
        <v>45874</v>
      </c>
      <c r="D607" s="1" t="s">
        <v>130</v>
      </c>
      <c r="E607" s="1" t="s">
        <v>909</v>
      </c>
      <c r="F607" s="1">
        <v>2004</v>
      </c>
      <c r="G607" s="1" t="s">
        <v>62</v>
      </c>
      <c r="H607" s="1" t="s">
        <v>147</v>
      </c>
      <c r="I607" s="1">
        <v>55</v>
      </c>
      <c r="J607" s="1">
        <v>5</v>
      </c>
      <c r="K607" s="1">
        <v>1958</v>
      </c>
      <c r="L607" s="1">
        <v>2002</v>
      </c>
      <c r="M607" s="1">
        <v>45</v>
      </c>
      <c r="N607" s="1" t="s">
        <v>623</v>
      </c>
      <c r="O607" s="1" t="s">
        <v>199</v>
      </c>
      <c r="P607" s="1" t="s">
        <v>1014</v>
      </c>
      <c r="Q607" s="1" t="s">
        <v>253</v>
      </c>
      <c r="R607" s="1" t="s">
        <v>763</v>
      </c>
      <c r="S607" s="1" t="s">
        <v>71</v>
      </c>
      <c r="T607" s="1" t="s">
        <v>40</v>
      </c>
      <c r="U607" s="1" t="s">
        <v>40</v>
      </c>
      <c r="V607" s="1">
        <v>-2.711951489</v>
      </c>
      <c r="X607" s="1" t="s">
        <v>40</v>
      </c>
      <c r="Y607" s="1" t="s">
        <v>694</v>
      </c>
      <c r="Z607" s="1" t="s">
        <v>40</v>
      </c>
      <c r="AA607" s="1" t="s">
        <v>40</v>
      </c>
      <c r="AB607" s="1" t="s">
        <v>40</v>
      </c>
      <c r="AC607" s="1" t="s">
        <v>40</v>
      </c>
      <c r="AD607" s="1" t="s">
        <v>40</v>
      </c>
      <c r="AE607" s="1" t="s">
        <v>762</v>
      </c>
    </row>
    <row r="608" spans="1:31">
      <c r="A608" s="1" t="s">
        <v>662</v>
      </c>
      <c r="B608" s="1" t="s">
        <v>761</v>
      </c>
      <c r="C608" s="60">
        <v>45874</v>
      </c>
      <c r="D608" s="1" t="s">
        <v>130</v>
      </c>
      <c r="E608" s="1" t="s">
        <v>909</v>
      </c>
      <c r="F608" s="1">
        <v>2004</v>
      </c>
      <c r="G608" s="1" t="s">
        <v>62</v>
      </c>
      <c r="H608" s="1" t="s">
        <v>147</v>
      </c>
      <c r="I608" s="1">
        <v>55</v>
      </c>
      <c r="J608" s="1">
        <v>5</v>
      </c>
      <c r="K608" s="1">
        <v>1958</v>
      </c>
      <c r="L608" s="1">
        <v>2002</v>
      </c>
      <c r="M608" s="1">
        <v>45</v>
      </c>
      <c r="N608" s="1" t="s">
        <v>623</v>
      </c>
      <c r="O608" s="1" t="s">
        <v>199</v>
      </c>
      <c r="P608" s="1" t="s">
        <v>1014</v>
      </c>
      <c r="Q608" s="1" t="s">
        <v>667</v>
      </c>
      <c r="R608" s="1" t="s">
        <v>763</v>
      </c>
      <c r="S608" s="1" t="s">
        <v>71</v>
      </c>
      <c r="T608" s="1" t="s">
        <v>40</v>
      </c>
      <c r="U608" s="1" t="s">
        <v>40</v>
      </c>
      <c r="V608" s="1">
        <v>-2.5749908559999999</v>
      </c>
      <c r="X608" s="1" t="s">
        <v>40</v>
      </c>
      <c r="Y608" s="1" t="s">
        <v>694</v>
      </c>
      <c r="Z608" s="1" t="s">
        <v>40</v>
      </c>
      <c r="AA608" s="1" t="s">
        <v>40</v>
      </c>
      <c r="AB608" s="1" t="s">
        <v>40</v>
      </c>
      <c r="AC608" s="1" t="s">
        <v>40</v>
      </c>
      <c r="AD608" s="1" t="s">
        <v>40</v>
      </c>
      <c r="AE608" s="1" t="s">
        <v>762</v>
      </c>
    </row>
    <row r="609" spans="1:31">
      <c r="A609" s="1" t="s">
        <v>662</v>
      </c>
      <c r="B609" s="1" t="s">
        <v>761</v>
      </c>
      <c r="C609" s="60">
        <v>45874</v>
      </c>
      <c r="D609" s="1" t="s">
        <v>130</v>
      </c>
      <c r="E609" s="1" t="s">
        <v>909</v>
      </c>
      <c r="F609" s="1">
        <v>2004</v>
      </c>
      <c r="G609" s="1" t="s">
        <v>62</v>
      </c>
      <c r="H609" s="1" t="s">
        <v>147</v>
      </c>
      <c r="I609" s="1">
        <v>55</v>
      </c>
      <c r="J609" s="1">
        <v>5</v>
      </c>
      <c r="K609" s="1">
        <v>1958</v>
      </c>
      <c r="L609" s="1">
        <v>2002</v>
      </c>
      <c r="M609" s="1">
        <v>45</v>
      </c>
      <c r="N609" s="1" t="s">
        <v>623</v>
      </c>
      <c r="O609" s="1" t="s">
        <v>199</v>
      </c>
      <c r="P609" s="1" t="s">
        <v>1014</v>
      </c>
      <c r="Q609" s="1" t="s">
        <v>668</v>
      </c>
      <c r="R609" s="1" t="s">
        <v>763</v>
      </c>
      <c r="S609" s="1" t="s">
        <v>71</v>
      </c>
      <c r="T609" s="1" t="s">
        <v>40</v>
      </c>
      <c r="U609" s="1" t="s">
        <v>40</v>
      </c>
      <c r="V609" s="1">
        <v>-2.5209744390000002</v>
      </c>
      <c r="X609" s="1" t="s">
        <v>40</v>
      </c>
      <c r="Y609" s="1" t="s">
        <v>694</v>
      </c>
      <c r="Z609" s="1" t="s">
        <v>40</v>
      </c>
      <c r="AA609" s="1" t="s">
        <v>40</v>
      </c>
      <c r="AB609" s="1" t="s">
        <v>40</v>
      </c>
      <c r="AC609" s="1" t="s">
        <v>40</v>
      </c>
      <c r="AD609" s="1" t="s">
        <v>40</v>
      </c>
      <c r="AE609" s="1" t="s">
        <v>762</v>
      </c>
    </row>
    <row r="610" spans="1:31">
      <c r="A610" s="1" t="s">
        <v>662</v>
      </c>
      <c r="B610" s="1" t="s">
        <v>761</v>
      </c>
      <c r="C610" s="60">
        <v>45874</v>
      </c>
      <c r="D610" s="1" t="s">
        <v>130</v>
      </c>
      <c r="E610" s="1" t="s">
        <v>909</v>
      </c>
      <c r="F610" s="1">
        <v>2004</v>
      </c>
      <c r="G610" s="1" t="s">
        <v>62</v>
      </c>
      <c r="H610" s="1" t="s">
        <v>147</v>
      </c>
      <c r="I610" s="1">
        <v>55</v>
      </c>
      <c r="J610" s="1">
        <v>5</v>
      </c>
      <c r="K610" s="1">
        <v>1958</v>
      </c>
      <c r="L610" s="1">
        <v>2002</v>
      </c>
      <c r="M610" s="1">
        <v>45</v>
      </c>
      <c r="N610" s="1" t="s">
        <v>623</v>
      </c>
      <c r="O610" s="1" t="s">
        <v>199</v>
      </c>
      <c r="P610" s="1" t="s">
        <v>1014</v>
      </c>
      <c r="Q610" s="1" t="s">
        <v>65</v>
      </c>
      <c r="R610" s="1" t="s">
        <v>763</v>
      </c>
      <c r="S610" s="1" t="s">
        <v>71</v>
      </c>
      <c r="T610" s="1" t="s">
        <v>40</v>
      </c>
      <c r="U610" s="1" t="s">
        <v>40</v>
      </c>
      <c r="V610" s="1">
        <v>-2.2707132560000001</v>
      </c>
      <c r="X610" s="1" t="s">
        <v>40</v>
      </c>
      <c r="Y610" s="1" t="s">
        <v>694</v>
      </c>
      <c r="Z610" s="1" t="s">
        <v>40</v>
      </c>
      <c r="AA610" s="1" t="s">
        <v>40</v>
      </c>
      <c r="AB610" s="1" t="s">
        <v>40</v>
      </c>
      <c r="AC610" s="1" t="s">
        <v>40</v>
      </c>
      <c r="AD610" s="1" t="s">
        <v>40</v>
      </c>
      <c r="AE610" s="1" t="s">
        <v>762</v>
      </c>
    </row>
    <row r="611" spans="1:31">
      <c r="A611" s="1" t="s">
        <v>662</v>
      </c>
      <c r="B611" s="1" t="s">
        <v>761</v>
      </c>
      <c r="C611" s="60">
        <v>45874</v>
      </c>
      <c r="D611" s="1" t="s">
        <v>130</v>
      </c>
      <c r="E611" s="1" t="s">
        <v>909</v>
      </c>
      <c r="F611" s="1">
        <v>2004</v>
      </c>
      <c r="G611" s="1" t="s">
        <v>62</v>
      </c>
      <c r="H611" s="1" t="s">
        <v>147</v>
      </c>
      <c r="I611" s="1">
        <v>55</v>
      </c>
      <c r="J611" s="1">
        <v>5</v>
      </c>
      <c r="K611" s="1">
        <v>1958</v>
      </c>
      <c r="L611" s="1">
        <v>2002</v>
      </c>
      <c r="M611" s="1">
        <v>45</v>
      </c>
      <c r="N611" s="1" t="s">
        <v>623</v>
      </c>
      <c r="O611" s="1" t="s">
        <v>199</v>
      </c>
      <c r="P611" s="1" t="s">
        <v>1014</v>
      </c>
      <c r="Q611" s="1" t="s">
        <v>109</v>
      </c>
      <c r="R611" s="1" t="s">
        <v>763</v>
      </c>
      <c r="S611" s="1" t="s">
        <v>71</v>
      </c>
      <c r="T611" s="1" t="s">
        <v>40</v>
      </c>
      <c r="U611" s="1" t="s">
        <v>40</v>
      </c>
      <c r="V611" s="1">
        <v>-0.80795464400000006</v>
      </c>
      <c r="X611" s="1" t="s">
        <v>40</v>
      </c>
      <c r="Y611" s="1" t="s">
        <v>694</v>
      </c>
      <c r="Z611" s="1" t="s">
        <v>40</v>
      </c>
      <c r="AA611" s="1" t="s">
        <v>40</v>
      </c>
      <c r="AB611" s="1" t="s">
        <v>40</v>
      </c>
      <c r="AC611" s="1" t="s">
        <v>40</v>
      </c>
      <c r="AD611" s="1" t="s">
        <v>40</v>
      </c>
      <c r="AE611" s="1" t="s">
        <v>762</v>
      </c>
    </row>
    <row r="612" spans="1:31">
      <c r="A612" s="1" t="s">
        <v>662</v>
      </c>
      <c r="B612" s="1" t="s">
        <v>761</v>
      </c>
      <c r="C612" s="60">
        <v>45874</v>
      </c>
      <c r="D612" s="1" t="s">
        <v>130</v>
      </c>
      <c r="E612" s="1" t="s">
        <v>909</v>
      </c>
      <c r="F612" s="1">
        <v>2004</v>
      </c>
      <c r="G612" s="1" t="s">
        <v>62</v>
      </c>
      <c r="H612" s="1" t="s">
        <v>147</v>
      </c>
      <c r="I612" s="1">
        <v>55</v>
      </c>
      <c r="J612" s="1">
        <v>5</v>
      </c>
      <c r="K612" s="1">
        <v>1958</v>
      </c>
      <c r="L612" s="1">
        <v>2002</v>
      </c>
      <c r="M612" s="1">
        <v>45</v>
      </c>
      <c r="N612" s="1" t="s">
        <v>623</v>
      </c>
      <c r="O612" s="1" t="s">
        <v>199</v>
      </c>
      <c r="P612" s="1" t="s">
        <v>1014</v>
      </c>
      <c r="Q612" s="1" t="s">
        <v>64</v>
      </c>
      <c r="R612" s="1" t="s">
        <v>763</v>
      </c>
      <c r="S612" s="1" t="s">
        <v>71</v>
      </c>
      <c r="T612" s="1" t="s">
        <v>40</v>
      </c>
      <c r="U612" s="1" t="s">
        <v>40</v>
      </c>
      <c r="V612" s="1">
        <v>1.3625827109999999</v>
      </c>
      <c r="X612" s="1" t="s">
        <v>40</v>
      </c>
      <c r="Y612" s="1" t="s">
        <v>41</v>
      </c>
      <c r="Z612" s="1" t="s">
        <v>40</v>
      </c>
      <c r="AA612" s="1" t="s">
        <v>40</v>
      </c>
      <c r="AB612" s="1" t="s">
        <v>40</v>
      </c>
      <c r="AC612" s="1" t="s">
        <v>40</v>
      </c>
      <c r="AD612" s="1" t="s">
        <v>40</v>
      </c>
      <c r="AE612" s="1" t="s">
        <v>762</v>
      </c>
    </row>
    <row r="613" spans="1:31">
      <c r="A613" s="1" t="s">
        <v>662</v>
      </c>
      <c r="B613" s="1" t="s">
        <v>761</v>
      </c>
      <c r="C613" s="60">
        <v>45874</v>
      </c>
      <c r="D613" s="1" t="s">
        <v>130</v>
      </c>
      <c r="E613" s="1" t="s">
        <v>909</v>
      </c>
      <c r="F613" s="1">
        <v>2004</v>
      </c>
      <c r="G613" s="1" t="s">
        <v>62</v>
      </c>
      <c r="H613" s="1" t="s">
        <v>147</v>
      </c>
      <c r="I613" s="1">
        <v>55</v>
      </c>
      <c r="J613" s="1">
        <v>5</v>
      </c>
      <c r="K613" s="1">
        <v>1958</v>
      </c>
      <c r="L613" s="1">
        <v>2002</v>
      </c>
      <c r="M613" s="1">
        <v>45</v>
      </c>
      <c r="N613" s="1" t="s">
        <v>623</v>
      </c>
      <c r="O613" s="1" t="s">
        <v>199</v>
      </c>
      <c r="P613" s="1" t="s">
        <v>1804</v>
      </c>
      <c r="Q613" s="1" t="s">
        <v>671</v>
      </c>
      <c r="R613" s="1" t="s">
        <v>763</v>
      </c>
      <c r="S613" s="1" t="s">
        <v>71</v>
      </c>
      <c r="T613" s="1" t="s">
        <v>40</v>
      </c>
      <c r="U613" s="1" t="s">
        <v>40</v>
      </c>
      <c r="V613" s="1">
        <v>-5.0671267780000004</v>
      </c>
      <c r="X613" s="1" t="s">
        <v>40</v>
      </c>
      <c r="Y613" s="1" t="s">
        <v>694</v>
      </c>
      <c r="Z613" s="1" t="s">
        <v>40</v>
      </c>
      <c r="AA613" s="1" t="s">
        <v>40</v>
      </c>
      <c r="AB613" s="1" t="s">
        <v>40</v>
      </c>
      <c r="AC613" s="1" t="s">
        <v>40</v>
      </c>
      <c r="AD613" s="1" t="s">
        <v>40</v>
      </c>
      <c r="AE613" s="1" t="s">
        <v>762</v>
      </c>
    </row>
    <row r="614" spans="1:31">
      <c r="A614" s="1" t="s">
        <v>662</v>
      </c>
      <c r="B614" s="1" t="s">
        <v>761</v>
      </c>
      <c r="C614" s="60">
        <v>45874</v>
      </c>
      <c r="D614" s="1" t="s">
        <v>130</v>
      </c>
      <c r="E614" s="1" t="s">
        <v>909</v>
      </c>
      <c r="F614" s="1">
        <v>2004</v>
      </c>
      <c r="G614" s="1" t="s">
        <v>62</v>
      </c>
      <c r="H614" s="1" t="s">
        <v>147</v>
      </c>
      <c r="I614" s="1">
        <v>55</v>
      </c>
      <c r="J614" s="1">
        <v>5</v>
      </c>
      <c r="K614" s="1">
        <v>1958</v>
      </c>
      <c r="L614" s="1">
        <v>2002</v>
      </c>
      <c r="M614" s="1">
        <v>45</v>
      </c>
      <c r="N614" s="1" t="s">
        <v>623</v>
      </c>
      <c r="O614" s="1" t="s">
        <v>199</v>
      </c>
      <c r="P614" s="1" t="s">
        <v>98</v>
      </c>
      <c r="Q614" s="1" t="s">
        <v>232</v>
      </c>
      <c r="R614" s="1" t="s">
        <v>763</v>
      </c>
      <c r="S614" s="1" t="s">
        <v>71</v>
      </c>
      <c r="T614" s="1" t="s">
        <v>40</v>
      </c>
      <c r="U614" s="1" t="s">
        <v>40</v>
      </c>
      <c r="V614" s="1">
        <v>-6.5280997220000003</v>
      </c>
      <c r="X614" s="1" t="s">
        <v>40</v>
      </c>
      <c r="Y614" s="1" t="s">
        <v>694</v>
      </c>
      <c r="Z614" s="1" t="s">
        <v>40</v>
      </c>
      <c r="AA614" s="1" t="s">
        <v>40</v>
      </c>
      <c r="AB614" s="1" t="s">
        <v>40</v>
      </c>
      <c r="AC614" s="1" t="s">
        <v>40</v>
      </c>
      <c r="AD614" s="1" t="s">
        <v>40</v>
      </c>
      <c r="AE614" s="1" t="s">
        <v>762</v>
      </c>
    </row>
    <row r="615" spans="1:31">
      <c r="A615" s="1" t="s">
        <v>662</v>
      </c>
      <c r="B615" s="1" t="s">
        <v>761</v>
      </c>
      <c r="C615" s="60">
        <v>45874</v>
      </c>
      <c r="D615" s="1" t="s">
        <v>130</v>
      </c>
      <c r="E615" s="1" t="s">
        <v>909</v>
      </c>
      <c r="F615" s="1">
        <v>2004</v>
      </c>
      <c r="G615" s="1" t="s">
        <v>62</v>
      </c>
      <c r="H615" s="1" t="s">
        <v>147</v>
      </c>
      <c r="I615" s="1">
        <v>55</v>
      </c>
      <c r="J615" s="1">
        <v>5</v>
      </c>
      <c r="K615" s="1">
        <v>1958</v>
      </c>
      <c r="L615" s="1">
        <v>2002</v>
      </c>
      <c r="M615" s="1">
        <v>45</v>
      </c>
      <c r="N615" s="1" t="s">
        <v>623</v>
      </c>
      <c r="O615" s="1" t="s">
        <v>199</v>
      </c>
      <c r="P615" s="1" t="s">
        <v>98</v>
      </c>
      <c r="Q615" s="1" t="s">
        <v>254</v>
      </c>
      <c r="R615" s="1" t="s">
        <v>763</v>
      </c>
      <c r="S615" s="1" t="s">
        <v>71</v>
      </c>
      <c r="T615" s="1" t="s">
        <v>40</v>
      </c>
      <c r="U615" s="1" t="s">
        <v>40</v>
      </c>
      <c r="V615" s="1">
        <v>-2.2308928890000002</v>
      </c>
      <c r="X615" s="1" t="s">
        <v>40</v>
      </c>
      <c r="Y615" s="1" t="s">
        <v>694</v>
      </c>
      <c r="Z615" s="1" t="s">
        <v>40</v>
      </c>
      <c r="AA615" s="1" t="s">
        <v>40</v>
      </c>
      <c r="AB615" s="1" t="s">
        <v>40</v>
      </c>
      <c r="AC615" s="1" t="s">
        <v>40</v>
      </c>
      <c r="AD615" s="1" t="s">
        <v>40</v>
      </c>
      <c r="AE615" s="1" t="s">
        <v>762</v>
      </c>
    </row>
    <row r="616" spans="1:31">
      <c r="A616" s="1" t="s">
        <v>681</v>
      </c>
      <c r="B616" s="1" t="s">
        <v>771</v>
      </c>
      <c r="C616" s="60">
        <v>45874</v>
      </c>
      <c r="D616" s="1" t="s">
        <v>130</v>
      </c>
      <c r="E616" s="1" t="s">
        <v>909</v>
      </c>
      <c r="F616" s="1">
        <v>2004</v>
      </c>
      <c r="G616" s="1" t="s">
        <v>62</v>
      </c>
      <c r="H616" s="1" t="s">
        <v>147</v>
      </c>
      <c r="I616" s="1">
        <v>54.19</v>
      </c>
      <c r="J616" s="1">
        <v>7.9</v>
      </c>
      <c r="K616" s="1">
        <v>1974</v>
      </c>
      <c r="L616" s="1">
        <v>2004</v>
      </c>
      <c r="M616" s="1">
        <v>31</v>
      </c>
      <c r="N616" s="1" t="s">
        <v>623</v>
      </c>
      <c r="O616" s="1" t="s">
        <v>199</v>
      </c>
      <c r="P616" s="1" t="s">
        <v>98</v>
      </c>
      <c r="Q616" s="1" t="s">
        <v>232</v>
      </c>
      <c r="R616" s="1" t="s">
        <v>1334</v>
      </c>
      <c r="S616" s="1" t="s">
        <v>71</v>
      </c>
      <c r="T616" s="1" t="s">
        <v>40</v>
      </c>
      <c r="U616" s="1" t="s">
        <v>53</v>
      </c>
      <c r="V616" s="1">
        <v>-14.7</v>
      </c>
      <c r="W616" s="1" t="s">
        <v>201</v>
      </c>
      <c r="X616" s="1" t="s">
        <v>40</v>
      </c>
      <c r="Y616" s="1" t="s">
        <v>694</v>
      </c>
      <c r="Z616" s="1" t="s">
        <v>40</v>
      </c>
      <c r="AA616" s="1" t="s">
        <v>40</v>
      </c>
      <c r="AB616" s="1" t="s">
        <v>773</v>
      </c>
      <c r="AC616" s="1" t="s">
        <v>44</v>
      </c>
      <c r="AD616" s="1" t="s">
        <v>40</v>
      </c>
      <c r="AE616" s="1" t="s">
        <v>772</v>
      </c>
    </row>
    <row r="617" spans="1:31">
      <c r="A617" s="1" t="s">
        <v>662</v>
      </c>
      <c r="B617" s="1" t="s">
        <v>761</v>
      </c>
      <c r="C617" s="60">
        <v>45874</v>
      </c>
      <c r="D617" s="1" t="s">
        <v>130</v>
      </c>
      <c r="E617" s="1" t="s">
        <v>909</v>
      </c>
      <c r="F617" s="1">
        <v>2004</v>
      </c>
      <c r="G617" s="1" t="s">
        <v>62</v>
      </c>
      <c r="H617" s="1" t="s">
        <v>147</v>
      </c>
      <c r="I617" s="1">
        <v>55</v>
      </c>
      <c r="J617" s="1">
        <v>5</v>
      </c>
      <c r="K617" s="1">
        <v>1958</v>
      </c>
      <c r="L617" s="1">
        <v>2002</v>
      </c>
      <c r="M617" s="1">
        <v>45</v>
      </c>
      <c r="N617" s="1" t="s">
        <v>623</v>
      </c>
      <c r="O617" s="1" t="s">
        <v>199</v>
      </c>
      <c r="P617" s="1" t="s">
        <v>1015</v>
      </c>
      <c r="Q617" s="1" t="s">
        <v>669</v>
      </c>
      <c r="R617" s="1" t="s">
        <v>763</v>
      </c>
      <c r="S617" s="1" t="s">
        <v>71</v>
      </c>
      <c r="T617" s="1" t="s">
        <v>40</v>
      </c>
      <c r="U617" s="1" t="s">
        <v>40</v>
      </c>
      <c r="V617" s="1">
        <v>-1.698645178</v>
      </c>
      <c r="X617" s="1" t="s">
        <v>40</v>
      </c>
      <c r="Y617" s="1" t="s">
        <v>694</v>
      </c>
      <c r="Z617" s="1" t="s">
        <v>40</v>
      </c>
      <c r="AA617" s="1" t="s">
        <v>40</v>
      </c>
      <c r="AB617" s="1" t="s">
        <v>40</v>
      </c>
      <c r="AC617" s="1" t="s">
        <v>40</v>
      </c>
      <c r="AD617" s="1" t="s">
        <v>40</v>
      </c>
      <c r="AE617" s="1" t="s">
        <v>762</v>
      </c>
    </row>
    <row r="618" spans="1:31">
      <c r="A618" s="1" t="s">
        <v>662</v>
      </c>
      <c r="B618" s="1" t="s">
        <v>761</v>
      </c>
      <c r="C618" s="60">
        <v>45874</v>
      </c>
      <c r="D618" s="1" t="s">
        <v>130</v>
      </c>
      <c r="E618" s="1" t="s">
        <v>909</v>
      </c>
      <c r="F618" s="1">
        <v>2004</v>
      </c>
      <c r="G618" s="1" t="s">
        <v>62</v>
      </c>
      <c r="H618" s="1" t="s">
        <v>147</v>
      </c>
      <c r="I618" s="1">
        <v>55</v>
      </c>
      <c r="J618" s="1">
        <v>5</v>
      </c>
      <c r="K618" s="1">
        <v>1958</v>
      </c>
      <c r="L618" s="1">
        <v>2002</v>
      </c>
      <c r="M618" s="1">
        <v>45</v>
      </c>
      <c r="N618" s="1" t="s">
        <v>623</v>
      </c>
      <c r="O618" s="1" t="s">
        <v>199</v>
      </c>
      <c r="P618" s="1" t="s">
        <v>1015</v>
      </c>
      <c r="Q618" s="1" t="s">
        <v>672</v>
      </c>
      <c r="R618" s="1" t="s">
        <v>763</v>
      </c>
      <c r="S618" s="1" t="s">
        <v>71</v>
      </c>
      <c r="T618" s="1" t="s">
        <v>40</v>
      </c>
      <c r="U618" s="1" t="s">
        <v>40</v>
      </c>
      <c r="V618" s="1">
        <v>5.5694943329999997</v>
      </c>
      <c r="X618" s="1" t="s">
        <v>40</v>
      </c>
      <c r="Y618" s="1" t="s">
        <v>41</v>
      </c>
      <c r="Z618" s="1" t="s">
        <v>40</v>
      </c>
      <c r="AA618" s="1" t="s">
        <v>40</v>
      </c>
      <c r="AB618" s="1" t="s">
        <v>40</v>
      </c>
      <c r="AC618" s="1" t="s">
        <v>40</v>
      </c>
      <c r="AD618" s="1" t="s">
        <v>40</v>
      </c>
      <c r="AE618" s="1" t="s">
        <v>762</v>
      </c>
    </row>
    <row r="619" spans="1:31">
      <c r="A619" s="1" t="s">
        <v>662</v>
      </c>
      <c r="B619" s="1" t="s">
        <v>761</v>
      </c>
      <c r="C619" s="60">
        <v>45877</v>
      </c>
      <c r="D619" s="1" t="s">
        <v>130</v>
      </c>
      <c r="E619" s="1" t="s">
        <v>909</v>
      </c>
      <c r="F619" s="1">
        <v>2004</v>
      </c>
      <c r="G619" s="1" t="s">
        <v>62</v>
      </c>
      <c r="H619" s="1" t="s">
        <v>147</v>
      </c>
      <c r="I619" s="1">
        <v>55</v>
      </c>
      <c r="J619" s="1">
        <v>5</v>
      </c>
      <c r="K619" s="1">
        <v>1958</v>
      </c>
      <c r="L619" s="1">
        <v>2002</v>
      </c>
      <c r="M619" s="1">
        <v>45</v>
      </c>
      <c r="N619" s="1" t="s">
        <v>623</v>
      </c>
      <c r="O619" s="1" t="s">
        <v>205</v>
      </c>
      <c r="P619" s="1" t="s">
        <v>244</v>
      </c>
      <c r="Q619" s="1" t="s">
        <v>857</v>
      </c>
      <c r="V619" s="1">
        <v>-2.7181418000000002</v>
      </c>
      <c r="Y619" s="1" t="s">
        <v>694</v>
      </c>
    </row>
    <row r="620" spans="1:31">
      <c r="A620" s="1" t="s">
        <v>662</v>
      </c>
      <c r="B620" s="1" t="s">
        <v>761</v>
      </c>
      <c r="C620" s="60">
        <v>45874</v>
      </c>
      <c r="D620" s="1" t="s">
        <v>130</v>
      </c>
      <c r="E620" s="1" t="s">
        <v>909</v>
      </c>
      <c r="F620" s="1">
        <v>2004</v>
      </c>
      <c r="G620" s="1" t="s">
        <v>62</v>
      </c>
      <c r="H620" s="1" t="s">
        <v>147</v>
      </c>
      <c r="I620" s="1">
        <v>55</v>
      </c>
      <c r="J620" s="1">
        <v>5</v>
      </c>
      <c r="K620" s="1">
        <v>1958</v>
      </c>
      <c r="L620" s="1">
        <v>2002</v>
      </c>
      <c r="M620" s="1">
        <v>45</v>
      </c>
      <c r="N620" s="1" t="s">
        <v>623</v>
      </c>
      <c r="O620" s="1" t="s">
        <v>199</v>
      </c>
      <c r="P620" s="1" t="s">
        <v>1019</v>
      </c>
      <c r="Q620" s="1" t="s">
        <v>674</v>
      </c>
      <c r="R620" s="1" t="s">
        <v>763</v>
      </c>
      <c r="S620" s="1" t="s">
        <v>71</v>
      </c>
      <c r="T620" s="1" t="s">
        <v>40</v>
      </c>
      <c r="U620" s="1" t="s">
        <v>40</v>
      </c>
      <c r="V620" s="1">
        <v>-4.1859002780000001</v>
      </c>
      <c r="X620" s="1" t="s">
        <v>40</v>
      </c>
      <c r="Y620" s="1" t="s">
        <v>694</v>
      </c>
      <c r="Z620" s="1" t="s">
        <v>40</v>
      </c>
      <c r="AA620" s="1" t="s">
        <v>40</v>
      </c>
      <c r="AB620" s="1" t="s">
        <v>40</v>
      </c>
      <c r="AC620" s="1" t="s">
        <v>40</v>
      </c>
      <c r="AD620" s="1" t="s">
        <v>40</v>
      </c>
      <c r="AE620" s="1" t="s">
        <v>762</v>
      </c>
    </row>
    <row r="621" spans="1:31">
      <c r="A621" s="1" t="s">
        <v>662</v>
      </c>
      <c r="B621" s="1" t="s">
        <v>761</v>
      </c>
      <c r="C621" s="60">
        <v>45874</v>
      </c>
      <c r="D621" s="1" t="s">
        <v>130</v>
      </c>
      <c r="E621" s="1" t="s">
        <v>909</v>
      </c>
      <c r="F621" s="1">
        <v>2004</v>
      </c>
      <c r="G621" s="1" t="s">
        <v>62</v>
      </c>
      <c r="H621" s="1" t="s">
        <v>147</v>
      </c>
      <c r="I621" s="1">
        <v>55</v>
      </c>
      <c r="J621" s="1">
        <v>5</v>
      </c>
      <c r="K621" s="1">
        <v>1958</v>
      </c>
      <c r="L621" s="1">
        <v>2002</v>
      </c>
      <c r="M621" s="1">
        <v>45</v>
      </c>
      <c r="N621" s="1" t="s">
        <v>623</v>
      </c>
      <c r="O621" s="1" t="s">
        <v>199</v>
      </c>
      <c r="P621" s="1" t="s">
        <v>216</v>
      </c>
      <c r="Q621" s="1" t="s">
        <v>679</v>
      </c>
      <c r="R621" s="1" t="s">
        <v>763</v>
      </c>
      <c r="S621" s="1" t="s">
        <v>71</v>
      </c>
      <c r="T621" s="1" t="s">
        <v>40</v>
      </c>
      <c r="U621" s="1" t="s">
        <v>40</v>
      </c>
      <c r="V621" s="1">
        <v>3.2082477780000001</v>
      </c>
      <c r="X621" s="1" t="s">
        <v>40</v>
      </c>
      <c r="Y621" s="1" t="s">
        <v>41</v>
      </c>
      <c r="Z621" s="1" t="s">
        <v>40</v>
      </c>
      <c r="AA621" s="1" t="s">
        <v>40</v>
      </c>
      <c r="AB621" s="1" t="s">
        <v>40</v>
      </c>
      <c r="AC621" s="1" t="s">
        <v>40</v>
      </c>
      <c r="AD621" s="1" t="s">
        <v>40</v>
      </c>
      <c r="AE621" s="1" t="s">
        <v>762</v>
      </c>
    </row>
    <row r="622" spans="1:31">
      <c r="A622" s="1" t="s">
        <v>662</v>
      </c>
      <c r="B622" s="1" t="s">
        <v>761</v>
      </c>
      <c r="C622" s="60">
        <v>45874</v>
      </c>
      <c r="D622" s="1" t="s">
        <v>130</v>
      </c>
      <c r="E622" s="1" t="s">
        <v>909</v>
      </c>
      <c r="F622" s="1">
        <v>2004</v>
      </c>
      <c r="G622" s="1" t="s">
        <v>62</v>
      </c>
      <c r="H622" s="1" t="s">
        <v>147</v>
      </c>
      <c r="I622" s="1">
        <v>55</v>
      </c>
      <c r="J622" s="1">
        <v>5</v>
      </c>
      <c r="K622" s="1">
        <v>1958</v>
      </c>
      <c r="L622" s="1">
        <v>2002</v>
      </c>
      <c r="M622" s="1">
        <v>45</v>
      </c>
      <c r="N622" s="1" t="s">
        <v>623</v>
      </c>
      <c r="O622" s="1" t="s">
        <v>199</v>
      </c>
      <c r="P622" s="1" t="s">
        <v>216</v>
      </c>
      <c r="Q622" s="1" t="s">
        <v>680</v>
      </c>
      <c r="R622" s="1" t="s">
        <v>763</v>
      </c>
      <c r="S622" s="1" t="s">
        <v>71</v>
      </c>
      <c r="T622" s="1" t="s">
        <v>40</v>
      </c>
      <c r="U622" s="1" t="s">
        <v>40</v>
      </c>
      <c r="V622" s="1">
        <v>8.3682292220000001</v>
      </c>
      <c r="X622" s="1" t="s">
        <v>40</v>
      </c>
      <c r="Y622" s="1" t="s">
        <v>41</v>
      </c>
      <c r="Z622" s="1" t="s">
        <v>40</v>
      </c>
      <c r="AA622" s="1" t="s">
        <v>40</v>
      </c>
      <c r="AB622" s="1" t="s">
        <v>40</v>
      </c>
      <c r="AC622" s="1" t="s">
        <v>40</v>
      </c>
      <c r="AD622" s="1" t="s">
        <v>40</v>
      </c>
      <c r="AE622" s="1" t="s">
        <v>762</v>
      </c>
    </row>
    <row r="623" spans="1:31">
      <c r="A623" s="1" t="s">
        <v>662</v>
      </c>
      <c r="B623" s="1" t="s">
        <v>761</v>
      </c>
      <c r="C623" s="60">
        <v>45874</v>
      </c>
      <c r="D623" s="1" t="s">
        <v>130</v>
      </c>
      <c r="E623" s="1" t="s">
        <v>909</v>
      </c>
      <c r="F623" s="1">
        <v>2004</v>
      </c>
      <c r="G623" s="1" t="s">
        <v>62</v>
      </c>
      <c r="H623" s="1" t="s">
        <v>147</v>
      </c>
      <c r="I623" s="1">
        <v>55</v>
      </c>
      <c r="J623" s="1">
        <v>5</v>
      </c>
      <c r="K623" s="1">
        <v>1958</v>
      </c>
      <c r="L623" s="1">
        <v>2002</v>
      </c>
      <c r="M623" s="1">
        <v>45</v>
      </c>
      <c r="N623" s="1" t="s">
        <v>623</v>
      </c>
      <c r="O623" s="1" t="s">
        <v>199</v>
      </c>
      <c r="P623" s="1" t="s">
        <v>1015</v>
      </c>
      <c r="Q623" s="1" t="s">
        <v>666</v>
      </c>
      <c r="R623" s="1" t="s">
        <v>763</v>
      </c>
      <c r="S623" s="1" t="s">
        <v>71</v>
      </c>
      <c r="T623" s="1" t="s">
        <v>40</v>
      </c>
      <c r="U623" s="1" t="s">
        <v>40</v>
      </c>
      <c r="V623" s="1">
        <v>-4.9787362780000004</v>
      </c>
      <c r="X623" s="1" t="s">
        <v>40</v>
      </c>
      <c r="Y623" s="1" t="s">
        <v>694</v>
      </c>
      <c r="Z623" s="1" t="s">
        <v>40</v>
      </c>
      <c r="AA623" s="1" t="s">
        <v>40</v>
      </c>
      <c r="AB623" s="1" t="s">
        <v>40</v>
      </c>
      <c r="AC623" s="1" t="s">
        <v>40</v>
      </c>
      <c r="AD623" s="1" t="s">
        <v>40</v>
      </c>
      <c r="AE623" s="1" t="s">
        <v>762</v>
      </c>
    </row>
    <row r="624" spans="1:31">
      <c r="A624" s="1" t="s">
        <v>662</v>
      </c>
      <c r="B624" s="1" t="s">
        <v>761</v>
      </c>
      <c r="C624" s="60">
        <v>45877</v>
      </c>
      <c r="D624" s="1" t="s">
        <v>130</v>
      </c>
      <c r="E624" s="1" t="s">
        <v>909</v>
      </c>
      <c r="F624" s="1">
        <v>2004</v>
      </c>
      <c r="G624" s="1" t="s">
        <v>62</v>
      </c>
      <c r="H624" s="1" t="s">
        <v>147</v>
      </c>
      <c r="I624" s="1">
        <v>55</v>
      </c>
      <c r="J624" s="1">
        <v>5</v>
      </c>
      <c r="K624" s="1">
        <v>1958</v>
      </c>
      <c r="L624" s="1">
        <v>2002</v>
      </c>
      <c r="M624" s="1">
        <v>45</v>
      </c>
      <c r="N624" s="1" t="s">
        <v>623</v>
      </c>
      <c r="O624" s="1" t="s">
        <v>205</v>
      </c>
      <c r="P624" s="1" t="s">
        <v>964</v>
      </c>
      <c r="Q624" s="1" t="s">
        <v>856</v>
      </c>
      <c r="V624" s="1">
        <v>-3.1808675559999999</v>
      </c>
      <c r="Y624" s="1" t="s">
        <v>694</v>
      </c>
      <c r="AE624" s="1" t="s">
        <v>778</v>
      </c>
    </row>
    <row r="625" spans="1:31">
      <c r="A625" s="1" t="s">
        <v>662</v>
      </c>
      <c r="B625" s="1" t="s">
        <v>761</v>
      </c>
      <c r="C625" s="60">
        <v>45877</v>
      </c>
      <c r="D625" s="1" t="s">
        <v>130</v>
      </c>
      <c r="E625" s="1" t="s">
        <v>909</v>
      </c>
      <c r="F625" s="1">
        <v>2004</v>
      </c>
      <c r="G625" s="1" t="s">
        <v>62</v>
      </c>
      <c r="H625" s="1" t="s">
        <v>147</v>
      </c>
      <c r="I625" s="1">
        <v>55</v>
      </c>
      <c r="J625" s="1">
        <v>5</v>
      </c>
      <c r="K625" s="1">
        <v>1958</v>
      </c>
      <c r="L625" s="1">
        <v>2002</v>
      </c>
      <c r="M625" s="1">
        <v>45</v>
      </c>
      <c r="N625" s="1" t="s">
        <v>623</v>
      </c>
      <c r="O625" s="1" t="s">
        <v>205</v>
      </c>
      <c r="P625" s="1" t="s">
        <v>788</v>
      </c>
      <c r="Q625" s="1" t="s">
        <v>246</v>
      </c>
      <c r="V625" s="1">
        <v>-12.882989780000001</v>
      </c>
      <c r="Y625" s="1" t="s">
        <v>694</v>
      </c>
      <c r="AE625" s="1" t="s">
        <v>778</v>
      </c>
    </row>
    <row r="626" spans="1:31">
      <c r="A626" s="1" t="s">
        <v>662</v>
      </c>
      <c r="B626" s="1" t="s">
        <v>761</v>
      </c>
      <c r="C626" s="60">
        <v>45877</v>
      </c>
      <c r="D626" s="1" t="s">
        <v>130</v>
      </c>
      <c r="E626" s="1" t="s">
        <v>909</v>
      </c>
      <c r="F626" s="1">
        <v>2004</v>
      </c>
      <c r="G626" s="1" t="s">
        <v>62</v>
      </c>
      <c r="H626" s="1" t="s">
        <v>147</v>
      </c>
      <c r="I626" s="1">
        <v>55</v>
      </c>
      <c r="J626" s="1">
        <v>5</v>
      </c>
      <c r="K626" s="1">
        <v>1958</v>
      </c>
      <c r="L626" s="1">
        <v>2002</v>
      </c>
      <c r="M626" s="1">
        <v>45</v>
      </c>
      <c r="N626" s="1" t="s">
        <v>623</v>
      </c>
      <c r="O626" s="1" t="s">
        <v>205</v>
      </c>
      <c r="P626" s="1" t="s">
        <v>788</v>
      </c>
      <c r="Q626" s="1" t="s">
        <v>788</v>
      </c>
      <c r="V626" s="1">
        <v>-9.4943896670000001</v>
      </c>
      <c r="Y626" s="1" t="s">
        <v>694</v>
      </c>
      <c r="AE626" s="1" t="s">
        <v>778</v>
      </c>
    </row>
    <row r="627" spans="1:31">
      <c r="A627" s="1" t="s">
        <v>662</v>
      </c>
      <c r="B627" s="1" t="s">
        <v>761</v>
      </c>
      <c r="C627" s="60">
        <v>45877</v>
      </c>
      <c r="D627" s="1" t="s">
        <v>130</v>
      </c>
      <c r="E627" s="1" t="s">
        <v>909</v>
      </c>
      <c r="F627" s="1">
        <v>2004</v>
      </c>
      <c r="G627" s="1" t="s">
        <v>62</v>
      </c>
      <c r="H627" s="1" t="s">
        <v>147</v>
      </c>
      <c r="I627" s="1">
        <v>55</v>
      </c>
      <c r="J627" s="1">
        <v>5</v>
      </c>
      <c r="K627" s="1">
        <v>1958</v>
      </c>
      <c r="L627" s="1">
        <v>2002</v>
      </c>
      <c r="M627" s="1">
        <v>45</v>
      </c>
      <c r="N627" s="1" t="s">
        <v>623</v>
      </c>
      <c r="O627" s="1" t="s">
        <v>205</v>
      </c>
      <c r="P627" s="1" t="s">
        <v>208</v>
      </c>
      <c r="Q627" s="1" t="s">
        <v>855</v>
      </c>
      <c r="V627" s="1">
        <v>-10.31787961</v>
      </c>
      <c r="Y627" s="1" t="s">
        <v>694</v>
      </c>
    </row>
    <row r="628" spans="1:31">
      <c r="A628" s="1" t="s">
        <v>662</v>
      </c>
      <c r="B628" s="1" t="s">
        <v>761</v>
      </c>
      <c r="C628" s="60">
        <v>45877</v>
      </c>
      <c r="D628" s="1" t="s">
        <v>130</v>
      </c>
      <c r="E628" s="1" t="s">
        <v>909</v>
      </c>
      <c r="F628" s="1">
        <v>2004</v>
      </c>
      <c r="G628" s="1" t="s">
        <v>62</v>
      </c>
      <c r="H628" s="1" t="s">
        <v>147</v>
      </c>
      <c r="I628" s="1">
        <v>55</v>
      </c>
      <c r="J628" s="1">
        <v>5</v>
      </c>
      <c r="K628" s="1">
        <v>1958</v>
      </c>
      <c r="L628" s="1">
        <v>2002</v>
      </c>
      <c r="M628" s="1">
        <v>45</v>
      </c>
      <c r="N628" s="1" t="s">
        <v>623</v>
      </c>
      <c r="O628" s="1" t="s">
        <v>205</v>
      </c>
      <c r="P628" s="1" t="s">
        <v>1464</v>
      </c>
      <c r="Q628" s="1" t="s">
        <v>259</v>
      </c>
      <c r="V628" s="1">
        <v>-2.7590335669999999</v>
      </c>
      <c r="Y628" s="1" t="s">
        <v>694</v>
      </c>
    </row>
    <row r="629" spans="1:31">
      <c r="A629" s="1" t="s">
        <v>662</v>
      </c>
      <c r="B629" s="1" t="s">
        <v>761</v>
      </c>
      <c r="C629" s="60">
        <v>45877</v>
      </c>
      <c r="D629" s="1" t="s">
        <v>130</v>
      </c>
      <c r="E629" s="1" t="s">
        <v>909</v>
      </c>
      <c r="F629" s="1">
        <v>2004</v>
      </c>
      <c r="G629" s="1" t="s">
        <v>62</v>
      </c>
      <c r="H629" s="1" t="s">
        <v>147</v>
      </c>
      <c r="I629" s="1">
        <v>55</v>
      </c>
      <c r="J629" s="1">
        <v>5</v>
      </c>
      <c r="K629" s="1">
        <v>1958</v>
      </c>
      <c r="L629" s="1">
        <v>2002</v>
      </c>
      <c r="M629" s="1">
        <v>45</v>
      </c>
      <c r="N629" s="1" t="s">
        <v>623</v>
      </c>
      <c r="O629" s="1" t="s">
        <v>205</v>
      </c>
      <c r="P629" s="1" t="s">
        <v>1618</v>
      </c>
      <c r="Q629" s="1" t="s">
        <v>242</v>
      </c>
      <c r="V629" s="1">
        <v>-1.3691003939999999</v>
      </c>
      <c r="Y629" s="1" t="s">
        <v>694</v>
      </c>
    </row>
    <row r="630" spans="1:31">
      <c r="A630" s="1" t="s">
        <v>662</v>
      </c>
      <c r="B630" s="1" t="s">
        <v>761</v>
      </c>
      <c r="C630" s="60">
        <v>45877</v>
      </c>
      <c r="D630" s="1" t="s">
        <v>130</v>
      </c>
      <c r="E630" s="1" t="s">
        <v>909</v>
      </c>
      <c r="F630" s="1">
        <v>2004</v>
      </c>
      <c r="G630" s="1" t="s">
        <v>62</v>
      </c>
      <c r="H630" s="1" t="s">
        <v>147</v>
      </c>
      <c r="I630" s="1">
        <v>55</v>
      </c>
      <c r="J630" s="1">
        <v>5</v>
      </c>
      <c r="K630" s="1">
        <v>1958</v>
      </c>
      <c r="L630" s="1">
        <v>2002</v>
      </c>
      <c r="M630" s="1">
        <v>45</v>
      </c>
      <c r="N630" s="1" t="s">
        <v>623</v>
      </c>
      <c r="O630" s="1" t="s">
        <v>205</v>
      </c>
      <c r="P630" s="1" t="s">
        <v>1019</v>
      </c>
      <c r="Q630" s="1" t="s">
        <v>858</v>
      </c>
      <c r="V630" s="1">
        <v>-1.7645957999999999</v>
      </c>
      <c r="Y630" s="1" t="s">
        <v>694</v>
      </c>
    </row>
    <row r="631" spans="1:31">
      <c r="A631" t="s">
        <v>1349</v>
      </c>
      <c r="B631"/>
      <c r="C631" s="60">
        <v>45889</v>
      </c>
      <c r="D631" s="1" t="s">
        <v>130</v>
      </c>
      <c r="E631" s="1" t="s">
        <v>751</v>
      </c>
      <c r="F631">
        <v>2004</v>
      </c>
      <c r="G631" t="s">
        <v>62</v>
      </c>
      <c r="H631" t="s">
        <v>147</v>
      </c>
      <c r="I631" s="21">
        <v>54.18</v>
      </c>
      <c r="J631" s="21">
        <v>7.9</v>
      </c>
      <c r="K631" s="21">
        <v>1962</v>
      </c>
      <c r="L631" s="21">
        <v>2002</v>
      </c>
      <c r="M631" s="21">
        <v>41</v>
      </c>
      <c r="N631" t="s">
        <v>623</v>
      </c>
      <c r="O631" t="s">
        <v>152</v>
      </c>
      <c r="P631" t="s">
        <v>217</v>
      </c>
      <c r="Q631" t="s">
        <v>40</v>
      </c>
      <c r="R631"/>
      <c r="S631"/>
      <c r="T631"/>
      <c r="U631"/>
      <c r="V631" t="s">
        <v>40</v>
      </c>
      <c r="W631"/>
      <c r="X631"/>
      <c r="Y631" t="s">
        <v>41</v>
      </c>
      <c r="Z631"/>
      <c r="AA631"/>
      <c r="AB631"/>
      <c r="AC631"/>
      <c r="AD631"/>
    </row>
    <row r="632" spans="1:31">
      <c r="A632" t="s">
        <v>1349</v>
      </c>
      <c r="B632"/>
      <c r="C632" s="60">
        <v>45889</v>
      </c>
      <c r="D632" s="1" t="s">
        <v>130</v>
      </c>
      <c r="E632" s="1" t="s">
        <v>751</v>
      </c>
      <c r="F632">
        <v>2004</v>
      </c>
      <c r="G632" t="s">
        <v>62</v>
      </c>
      <c r="H632" t="s">
        <v>147</v>
      </c>
      <c r="I632" s="21">
        <v>54.18</v>
      </c>
      <c r="J632" s="21">
        <v>7.9</v>
      </c>
      <c r="K632" s="21">
        <v>1962</v>
      </c>
      <c r="L632" s="21">
        <v>2002</v>
      </c>
      <c r="M632" s="21">
        <v>41</v>
      </c>
      <c r="N632" t="s">
        <v>623</v>
      </c>
      <c r="O632" t="s">
        <v>152</v>
      </c>
      <c r="P632" t="s">
        <v>217</v>
      </c>
      <c r="Q632" t="s">
        <v>40</v>
      </c>
      <c r="R632"/>
      <c r="S632"/>
      <c r="T632"/>
      <c r="U632"/>
      <c r="V632" t="s">
        <v>40</v>
      </c>
      <c r="W632"/>
      <c r="X632"/>
      <c r="Y632" t="s">
        <v>41</v>
      </c>
      <c r="Z632"/>
      <c r="AA632"/>
      <c r="AB632"/>
      <c r="AC632"/>
      <c r="AD632"/>
    </row>
    <row r="633" spans="1:31">
      <c r="A633" t="s">
        <v>1349</v>
      </c>
      <c r="B633"/>
      <c r="C633" s="60">
        <v>45889</v>
      </c>
      <c r="D633" s="1" t="s">
        <v>130</v>
      </c>
      <c r="E633" s="1" t="s">
        <v>751</v>
      </c>
      <c r="F633">
        <v>2004</v>
      </c>
      <c r="G633" t="s">
        <v>62</v>
      </c>
      <c r="H633" t="s">
        <v>147</v>
      </c>
      <c r="I633" s="21">
        <v>54.18</v>
      </c>
      <c r="J633" s="21">
        <v>7.9</v>
      </c>
      <c r="K633" s="21">
        <v>1962</v>
      </c>
      <c r="L633" s="21">
        <v>2002</v>
      </c>
      <c r="M633" s="21">
        <v>41</v>
      </c>
      <c r="N633" t="s">
        <v>623</v>
      </c>
      <c r="O633" t="s">
        <v>152</v>
      </c>
      <c r="P633" t="s">
        <v>217</v>
      </c>
      <c r="Q633" t="s">
        <v>40</v>
      </c>
      <c r="R633"/>
      <c r="S633"/>
      <c r="T633"/>
      <c r="U633"/>
      <c r="V633" t="s">
        <v>40</v>
      </c>
      <c r="W633"/>
      <c r="X633"/>
      <c r="Y633" t="s">
        <v>41</v>
      </c>
      <c r="Z633"/>
      <c r="AA633"/>
      <c r="AB633"/>
      <c r="AC633"/>
      <c r="AD633"/>
    </row>
    <row r="634" spans="1:31">
      <c r="A634" t="s">
        <v>1349</v>
      </c>
      <c r="B634"/>
      <c r="C634" s="60">
        <v>45889</v>
      </c>
      <c r="D634" s="1" t="s">
        <v>130</v>
      </c>
      <c r="E634" s="1" t="s">
        <v>751</v>
      </c>
      <c r="F634">
        <v>2004</v>
      </c>
      <c r="G634" t="s">
        <v>62</v>
      </c>
      <c r="H634" t="s">
        <v>147</v>
      </c>
      <c r="I634" s="21">
        <v>54.18</v>
      </c>
      <c r="J634" s="21">
        <v>7.9</v>
      </c>
      <c r="K634" s="21">
        <v>1962</v>
      </c>
      <c r="L634" s="21">
        <v>2002</v>
      </c>
      <c r="M634" s="21">
        <v>41</v>
      </c>
      <c r="N634" t="s">
        <v>623</v>
      </c>
      <c r="O634" t="s">
        <v>152</v>
      </c>
      <c r="P634" t="s">
        <v>217</v>
      </c>
      <c r="Q634" t="s">
        <v>40</v>
      </c>
      <c r="R634"/>
      <c r="S634"/>
      <c r="T634"/>
      <c r="U634"/>
      <c r="V634" t="s">
        <v>40</v>
      </c>
      <c r="W634"/>
      <c r="X634"/>
      <c r="Y634" t="s">
        <v>694</v>
      </c>
      <c r="Z634"/>
      <c r="AA634"/>
      <c r="AB634"/>
      <c r="AC634"/>
      <c r="AD634"/>
    </row>
    <row r="635" spans="1:31">
      <c r="A635" t="s">
        <v>662</v>
      </c>
      <c r="B635"/>
      <c r="C635" s="60">
        <v>45889</v>
      </c>
      <c r="D635" s="1" t="s">
        <v>130</v>
      </c>
      <c r="E635" s="1" t="s">
        <v>751</v>
      </c>
      <c r="F635">
        <v>2004</v>
      </c>
      <c r="G635" t="s">
        <v>62</v>
      </c>
      <c r="H635" t="s">
        <v>147</v>
      </c>
      <c r="I635" s="21">
        <v>55</v>
      </c>
      <c r="J635" s="21">
        <v>5</v>
      </c>
      <c r="K635" s="21">
        <v>1958</v>
      </c>
      <c r="L635" s="21">
        <v>2002</v>
      </c>
      <c r="M635" s="21">
        <v>45</v>
      </c>
      <c r="N635" t="s">
        <v>623</v>
      </c>
      <c r="O635" t="s">
        <v>152</v>
      </c>
      <c r="P635" t="s">
        <v>1078</v>
      </c>
      <c r="Q635" t="s">
        <v>1075</v>
      </c>
      <c r="R635"/>
      <c r="S635"/>
      <c r="T635"/>
      <c r="U635"/>
      <c r="V635">
        <v>-8.6045324440000002</v>
      </c>
      <c r="W635"/>
      <c r="X635"/>
      <c r="Y635" t="s">
        <v>694</v>
      </c>
      <c r="Z635"/>
      <c r="AA635"/>
      <c r="AB635"/>
      <c r="AC635"/>
      <c r="AD635"/>
    </row>
    <row r="636" spans="1:31">
      <c r="A636" t="s">
        <v>662</v>
      </c>
      <c r="B636"/>
      <c r="C636" s="60">
        <v>45889</v>
      </c>
      <c r="D636" s="1" t="s">
        <v>130</v>
      </c>
      <c r="E636" s="1" t="s">
        <v>751</v>
      </c>
      <c r="F636">
        <v>2004</v>
      </c>
      <c r="G636" t="s">
        <v>62</v>
      </c>
      <c r="H636" t="s">
        <v>147</v>
      </c>
      <c r="I636" s="21">
        <v>55</v>
      </c>
      <c r="J636" s="21">
        <v>5</v>
      </c>
      <c r="K636" s="21">
        <v>1958</v>
      </c>
      <c r="L636" s="21">
        <v>2002</v>
      </c>
      <c r="M636" s="21">
        <v>45</v>
      </c>
      <c r="N636" t="s">
        <v>623</v>
      </c>
      <c r="O636" t="s">
        <v>152</v>
      </c>
      <c r="P636" t="s">
        <v>1078</v>
      </c>
      <c r="Q636" t="s">
        <v>1064</v>
      </c>
      <c r="R636"/>
      <c r="S636"/>
      <c r="T636"/>
      <c r="U636"/>
      <c r="V636">
        <v>-8.3322182779999991</v>
      </c>
      <c r="W636"/>
      <c r="X636"/>
      <c r="Y636" t="s">
        <v>694</v>
      </c>
      <c r="Z636"/>
      <c r="AA636"/>
      <c r="AB636"/>
      <c r="AC636"/>
      <c r="AD636"/>
    </row>
    <row r="637" spans="1:31">
      <c r="A637" t="s">
        <v>662</v>
      </c>
      <c r="B637"/>
      <c r="C637" s="60">
        <v>45889</v>
      </c>
      <c r="D637" s="1" t="s">
        <v>130</v>
      </c>
      <c r="E637" s="1" t="s">
        <v>751</v>
      </c>
      <c r="F637">
        <v>2004</v>
      </c>
      <c r="G637" t="s">
        <v>62</v>
      </c>
      <c r="H637" t="s">
        <v>147</v>
      </c>
      <c r="I637" s="21">
        <v>55</v>
      </c>
      <c r="J637" s="21">
        <v>5</v>
      </c>
      <c r="K637" s="21">
        <v>1958</v>
      </c>
      <c r="L637" s="21">
        <v>2002</v>
      </c>
      <c r="M637" s="21">
        <v>45</v>
      </c>
      <c r="N637" t="s">
        <v>623</v>
      </c>
      <c r="O637" t="s">
        <v>152</v>
      </c>
      <c r="P637" t="s">
        <v>217</v>
      </c>
      <c r="Q637" t="s">
        <v>1350</v>
      </c>
      <c r="R637"/>
      <c r="S637"/>
      <c r="T637"/>
      <c r="U637"/>
      <c r="V637">
        <v>-7.5405727220000003</v>
      </c>
      <c r="W637"/>
      <c r="X637"/>
      <c r="Y637" t="s">
        <v>694</v>
      </c>
      <c r="Z637"/>
      <c r="AA637"/>
      <c r="AB637"/>
      <c r="AC637"/>
      <c r="AD637"/>
    </row>
    <row r="638" spans="1:31">
      <c r="A638" t="s">
        <v>662</v>
      </c>
      <c r="B638"/>
      <c r="C638" s="60">
        <v>45889</v>
      </c>
      <c r="D638" s="1" t="s">
        <v>130</v>
      </c>
      <c r="E638" s="1" t="s">
        <v>751</v>
      </c>
      <c r="F638">
        <v>2004</v>
      </c>
      <c r="G638" t="s">
        <v>62</v>
      </c>
      <c r="H638" t="s">
        <v>147</v>
      </c>
      <c r="I638" s="21">
        <v>55</v>
      </c>
      <c r="J638" s="21">
        <v>5</v>
      </c>
      <c r="K638" s="21">
        <v>1958</v>
      </c>
      <c r="L638" s="21">
        <v>2002</v>
      </c>
      <c r="M638" s="21">
        <v>45</v>
      </c>
      <c r="N638" t="s">
        <v>623</v>
      </c>
      <c r="O638" t="s">
        <v>152</v>
      </c>
      <c r="P638" t="s">
        <v>217</v>
      </c>
      <c r="Q638" t="s">
        <v>1059</v>
      </c>
      <c r="R638"/>
      <c r="S638"/>
      <c r="T638"/>
      <c r="U638"/>
      <c r="V638">
        <v>-7.2030817220000003</v>
      </c>
      <c r="W638"/>
      <c r="X638"/>
      <c r="Y638" t="s">
        <v>694</v>
      </c>
      <c r="Z638"/>
      <c r="AA638"/>
      <c r="AB638"/>
      <c r="AC638"/>
      <c r="AD638"/>
    </row>
    <row r="639" spans="1:31">
      <c r="A639" t="s">
        <v>662</v>
      </c>
      <c r="B639"/>
      <c r="C639" s="60">
        <v>45889</v>
      </c>
      <c r="D639" s="1" t="s">
        <v>130</v>
      </c>
      <c r="E639" s="1" t="s">
        <v>751</v>
      </c>
      <c r="F639">
        <v>2004</v>
      </c>
      <c r="G639" t="s">
        <v>62</v>
      </c>
      <c r="H639" t="s">
        <v>147</v>
      </c>
      <c r="I639" s="21">
        <v>55</v>
      </c>
      <c r="J639" s="21">
        <v>5</v>
      </c>
      <c r="K639" s="21">
        <v>1958</v>
      </c>
      <c r="L639" s="21">
        <v>2002</v>
      </c>
      <c r="M639" s="21">
        <v>45</v>
      </c>
      <c r="N639" t="s">
        <v>623</v>
      </c>
      <c r="O639" t="s">
        <v>152</v>
      </c>
      <c r="P639" t="s">
        <v>1078</v>
      </c>
      <c r="Q639" t="s">
        <v>1072</v>
      </c>
      <c r="R639"/>
      <c r="S639"/>
      <c r="T639"/>
      <c r="U639"/>
      <c r="V639">
        <v>-6.1920967779999998</v>
      </c>
      <c r="W639"/>
      <c r="X639"/>
      <c r="Y639" t="s">
        <v>694</v>
      </c>
      <c r="Z639"/>
      <c r="AA639"/>
      <c r="AB639"/>
      <c r="AC639"/>
      <c r="AD639"/>
    </row>
    <row r="640" spans="1:31">
      <c r="A640" t="s">
        <v>662</v>
      </c>
      <c r="B640"/>
      <c r="C640" s="60">
        <v>45889</v>
      </c>
      <c r="D640" s="1" t="s">
        <v>130</v>
      </c>
      <c r="E640" s="1" t="s">
        <v>751</v>
      </c>
      <c r="F640">
        <v>2004</v>
      </c>
      <c r="G640" t="s">
        <v>62</v>
      </c>
      <c r="H640" t="s">
        <v>147</v>
      </c>
      <c r="I640" s="21">
        <v>55</v>
      </c>
      <c r="J640" s="21">
        <v>5</v>
      </c>
      <c r="K640" s="21">
        <v>1958</v>
      </c>
      <c r="L640" s="21">
        <v>2002</v>
      </c>
      <c r="M640" s="21">
        <v>45</v>
      </c>
      <c r="N640" t="s">
        <v>623</v>
      </c>
      <c r="O640" t="s">
        <v>152</v>
      </c>
      <c r="P640" t="s">
        <v>1078</v>
      </c>
      <c r="Q640" t="s">
        <v>1066</v>
      </c>
      <c r="R640"/>
      <c r="S640"/>
      <c r="T640"/>
      <c r="U640"/>
      <c r="V640">
        <v>-6.1790018890000002</v>
      </c>
      <c r="W640"/>
      <c r="X640"/>
      <c r="Y640" t="s">
        <v>694</v>
      </c>
      <c r="Z640"/>
      <c r="AA640"/>
      <c r="AB640"/>
      <c r="AC640"/>
      <c r="AD640"/>
    </row>
    <row r="641" spans="1:30">
      <c r="A641" t="s">
        <v>662</v>
      </c>
      <c r="B641"/>
      <c r="C641" s="60">
        <v>45889</v>
      </c>
      <c r="D641" s="1" t="s">
        <v>130</v>
      </c>
      <c r="E641" s="1" t="s">
        <v>751</v>
      </c>
      <c r="F641">
        <v>2004</v>
      </c>
      <c r="G641" t="s">
        <v>62</v>
      </c>
      <c r="H641" t="s">
        <v>147</v>
      </c>
      <c r="I641" s="21">
        <v>55</v>
      </c>
      <c r="J641" s="21">
        <v>5</v>
      </c>
      <c r="K641" s="21">
        <v>1958</v>
      </c>
      <c r="L641" s="21">
        <v>2002</v>
      </c>
      <c r="M641" s="21">
        <v>45</v>
      </c>
      <c r="N641" t="s">
        <v>623</v>
      </c>
      <c r="O641" t="s">
        <v>152</v>
      </c>
      <c r="P641" t="s">
        <v>1078</v>
      </c>
      <c r="Q641" t="s">
        <v>1071</v>
      </c>
      <c r="R641"/>
      <c r="S641"/>
      <c r="T641"/>
      <c r="U641"/>
      <c r="V641">
        <v>-6.0888257220000002</v>
      </c>
      <c r="W641"/>
      <c r="X641"/>
      <c r="Y641" t="s">
        <v>694</v>
      </c>
      <c r="Z641"/>
      <c r="AA641"/>
      <c r="AB641"/>
      <c r="AC641"/>
      <c r="AD641"/>
    </row>
    <row r="642" spans="1:30">
      <c r="A642" t="s">
        <v>662</v>
      </c>
      <c r="B642"/>
      <c r="C642" s="60">
        <v>45889</v>
      </c>
      <c r="D642" s="1" t="s">
        <v>130</v>
      </c>
      <c r="E642" s="1" t="s">
        <v>751</v>
      </c>
      <c r="F642">
        <v>2004</v>
      </c>
      <c r="G642" t="s">
        <v>62</v>
      </c>
      <c r="H642" t="s">
        <v>147</v>
      </c>
      <c r="I642" s="21">
        <v>55</v>
      </c>
      <c r="J642" s="21">
        <v>5</v>
      </c>
      <c r="K642" s="21">
        <v>1958</v>
      </c>
      <c r="L642" s="21">
        <v>2002</v>
      </c>
      <c r="M642" s="21">
        <v>45</v>
      </c>
      <c r="N642" t="s">
        <v>623</v>
      </c>
      <c r="O642" t="s">
        <v>152</v>
      </c>
      <c r="P642" t="s">
        <v>1078</v>
      </c>
      <c r="Q642" t="s">
        <v>1061</v>
      </c>
      <c r="R642"/>
      <c r="S642"/>
      <c r="T642"/>
      <c r="U642"/>
      <c r="V642">
        <v>-5.8929976110000002</v>
      </c>
      <c r="W642"/>
      <c r="X642"/>
      <c r="Y642" t="s">
        <v>694</v>
      </c>
      <c r="Z642"/>
      <c r="AA642"/>
      <c r="AB642"/>
      <c r="AC642"/>
      <c r="AD642"/>
    </row>
    <row r="643" spans="1:30">
      <c r="A643" t="s">
        <v>662</v>
      </c>
      <c r="B643"/>
      <c r="C643" s="60">
        <v>45889</v>
      </c>
      <c r="D643" s="1" t="s">
        <v>130</v>
      </c>
      <c r="E643" s="1" t="s">
        <v>751</v>
      </c>
      <c r="F643">
        <v>2004</v>
      </c>
      <c r="G643" t="s">
        <v>62</v>
      </c>
      <c r="H643" t="s">
        <v>147</v>
      </c>
      <c r="I643" s="21">
        <v>55</v>
      </c>
      <c r="J643" s="21">
        <v>5</v>
      </c>
      <c r="K643" s="21">
        <v>1958</v>
      </c>
      <c r="L643" s="21">
        <v>2002</v>
      </c>
      <c r="M643" s="21">
        <v>45</v>
      </c>
      <c r="N643" t="s">
        <v>623</v>
      </c>
      <c r="O643" t="s">
        <v>152</v>
      </c>
      <c r="P643" t="s">
        <v>217</v>
      </c>
      <c r="Q643" t="s">
        <v>1351</v>
      </c>
      <c r="R643"/>
      <c r="S643"/>
      <c r="T643"/>
      <c r="U643"/>
      <c r="V643">
        <v>-5.8852597219999998</v>
      </c>
      <c r="W643"/>
      <c r="X643"/>
      <c r="Y643" t="s">
        <v>694</v>
      </c>
      <c r="Z643"/>
      <c r="AA643"/>
      <c r="AB643"/>
      <c r="AC643"/>
      <c r="AD643"/>
    </row>
    <row r="644" spans="1:30">
      <c r="A644" t="s">
        <v>662</v>
      </c>
      <c r="B644"/>
      <c r="C644" s="60">
        <v>45889</v>
      </c>
      <c r="D644" s="1" t="s">
        <v>130</v>
      </c>
      <c r="E644" s="1" t="s">
        <v>751</v>
      </c>
      <c r="F644">
        <v>2004</v>
      </c>
      <c r="G644" t="s">
        <v>62</v>
      </c>
      <c r="H644" t="s">
        <v>147</v>
      </c>
      <c r="I644" s="21">
        <v>55</v>
      </c>
      <c r="J644" s="21">
        <v>5</v>
      </c>
      <c r="K644" s="21">
        <v>1958</v>
      </c>
      <c r="L644" s="21">
        <v>2002</v>
      </c>
      <c r="M644" s="21">
        <v>45</v>
      </c>
      <c r="N644" t="s">
        <v>623</v>
      </c>
      <c r="O644" t="s">
        <v>152</v>
      </c>
      <c r="P644" t="s">
        <v>1078</v>
      </c>
      <c r="Q644" t="s">
        <v>1055</v>
      </c>
      <c r="R644"/>
      <c r="S644"/>
      <c r="T644"/>
      <c r="U644"/>
      <c r="V644">
        <v>-5.3760471110000001</v>
      </c>
      <c r="W644"/>
      <c r="X644"/>
      <c r="Y644" t="s">
        <v>694</v>
      </c>
      <c r="Z644"/>
      <c r="AA644"/>
      <c r="AB644"/>
      <c r="AC644"/>
      <c r="AD644"/>
    </row>
    <row r="645" spans="1:30">
      <c r="A645" t="s">
        <v>662</v>
      </c>
      <c r="B645"/>
      <c r="C645" s="60">
        <v>45889</v>
      </c>
      <c r="D645" s="1" t="s">
        <v>130</v>
      </c>
      <c r="E645" s="1" t="s">
        <v>751</v>
      </c>
      <c r="F645">
        <v>2004</v>
      </c>
      <c r="G645" t="s">
        <v>62</v>
      </c>
      <c r="H645" t="s">
        <v>147</v>
      </c>
      <c r="I645" s="21">
        <v>55</v>
      </c>
      <c r="J645" s="21">
        <v>5</v>
      </c>
      <c r="K645" s="21">
        <v>1958</v>
      </c>
      <c r="L645" s="21">
        <v>2002</v>
      </c>
      <c r="M645" s="21">
        <v>45</v>
      </c>
      <c r="N645" t="s">
        <v>623</v>
      </c>
      <c r="O645" t="s">
        <v>152</v>
      </c>
      <c r="P645" t="s">
        <v>217</v>
      </c>
      <c r="Q645" t="s">
        <v>1352</v>
      </c>
      <c r="R645"/>
      <c r="S645"/>
      <c r="T645"/>
      <c r="U645"/>
      <c r="V645">
        <v>-4.908797667</v>
      </c>
      <c r="W645"/>
      <c r="X645"/>
      <c r="Y645" t="s">
        <v>694</v>
      </c>
      <c r="Z645"/>
      <c r="AA645"/>
      <c r="AB645"/>
      <c r="AC645"/>
      <c r="AD645"/>
    </row>
    <row r="646" spans="1:30">
      <c r="A646" t="s">
        <v>662</v>
      </c>
      <c r="B646"/>
      <c r="C646" s="60">
        <v>45889</v>
      </c>
      <c r="D646" s="1" t="s">
        <v>130</v>
      </c>
      <c r="E646" s="1" t="s">
        <v>751</v>
      </c>
      <c r="F646">
        <v>2004</v>
      </c>
      <c r="G646" t="s">
        <v>62</v>
      </c>
      <c r="H646" t="s">
        <v>147</v>
      </c>
      <c r="I646" s="21">
        <v>55</v>
      </c>
      <c r="J646" s="21">
        <v>5</v>
      </c>
      <c r="K646" s="21">
        <v>1958</v>
      </c>
      <c r="L646" s="21">
        <v>2002</v>
      </c>
      <c r="M646" s="21">
        <v>45</v>
      </c>
      <c r="N646" t="s">
        <v>623</v>
      </c>
      <c r="O646" t="s">
        <v>152</v>
      </c>
      <c r="P646" t="s">
        <v>217</v>
      </c>
      <c r="Q646" t="s">
        <v>1353</v>
      </c>
      <c r="R646"/>
      <c r="S646"/>
      <c r="T646"/>
      <c r="U646"/>
      <c r="V646">
        <v>-3.9963220000000002</v>
      </c>
      <c r="W646"/>
      <c r="X646"/>
      <c r="Y646" t="s">
        <v>694</v>
      </c>
      <c r="Z646"/>
      <c r="AA646"/>
      <c r="AB646"/>
      <c r="AC646"/>
      <c r="AD646"/>
    </row>
    <row r="647" spans="1:30">
      <c r="A647" t="s">
        <v>662</v>
      </c>
      <c r="B647"/>
      <c r="C647" s="60">
        <v>45889</v>
      </c>
      <c r="D647" s="1" t="s">
        <v>130</v>
      </c>
      <c r="E647" s="1" t="s">
        <v>751</v>
      </c>
      <c r="F647">
        <v>2004</v>
      </c>
      <c r="G647" t="s">
        <v>62</v>
      </c>
      <c r="H647" t="s">
        <v>147</v>
      </c>
      <c r="I647" s="21">
        <v>55</v>
      </c>
      <c r="J647" s="21">
        <v>5</v>
      </c>
      <c r="K647" s="21">
        <v>1958</v>
      </c>
      <c r="L647" s="21">
        <v>2002</v>
      </c>
      <c r="M647" s="21">
        <v>45</v>
      </c>
      <c r="N647" t="s">
        <v>623</v>
      </c>
      <c r="O647" t="s">
        <v>152</v>
      </c>
      <c r="P647" t="s">
        <v>1078</v>
      </c>
      <c r="Q647" t="s">
        <v>1354</v>
      </c>
      <c r="R647"/>
      <c r="S647"/>
      <c r="T647"/>
      <c r="U647"/>
      <c r="V647">
        <v>-3.6829375</v>
      </c>
      <c r="W647"/>
      <c r="X647"/>
      <c r="Y647" t="s">
        <v>694</v>
      </c>
      <c r="Z647"/>
      <c r="AA647"/>
      <c r="AB647"/>
      <c r="AC647"/>
      <c r="AD647"/>
    </row>
    <row r="648" spans="1:30">
      <c r="A648" t="s">
        <v>662</v>
      </c>
      <c r="B648"/>
      <c r="C648" s="60">
        <v>45889</v>
      </c>
      <c r="D648" s="1" t="s">
        <v>130</v>
      </c>
      <c r="E648" s="1" t="s">
        <v>751</v>
      </c>
      <c r="F648">
        <v>2004</v>
      </c>
      <c r="G648" t="s">
        <v>62</v>
      </c>
      <c r="H648" t="s">
        <v>147</v>
      </c>
      <c r="I648" s="21">
        <v>55</v>
      </c>
      <c r="J648" s="21">
        <v>5</v>
      </c>
      <c r="K648" s="21">
        <v>1958</v>
      </c>
      <c r="L648" s="21">
        <v>2002</v>
      </c>
      <c r="M648" s="21">
        <v>45</v>
      </c>
      <c r="N648" t="s">
        <v>623</v>
      </c>
      <c r="O648" t="s">
        <v>152</v>
      </c>
      <c r="P648" t="s">
        <v>217</v>
      </c>
      <c r="Q648" t="s">
        <v>1355</v>
      </c>
      <c r="R648"/>
      <c r="S648"/>
      <c r="T648"/>
      <c r="U648"/>
      <c r="V648">
        <v>-3.5668691670000001</v>
      </c>
      <c r="W648"/>
      <c r="X648"/>
      <c r="Y648" t="s">
        <v>694</v>
      </c>
      <c r="Z648"/>
      <c r="AA648"/>
      <c r="AB648"/>
      <c r="AC648"/>
      <c r="AD648"/>
    </row>
    <row r="649" spans="1:30">
      <c r="A649" t="s">
        <v>662</v>
      </c>
      <c r="B649"/>
      <c r="C649" s="60">
        <v>45889</v>
      </c>
      <c r="D649" s="1" t="s">
        <v>130</v>
      </c>
      <c r="E649" s="1" t="s">
        <v>751</v>
      </c>
      <c r="F649">
        <v>2004</v>
      </c>
      <c r="G649" t="s">
        <v>62</v>
      </c>
      <c r="H649" t="s">
        <v>147</v>
      </c>
      <c r="I649" s="21">
        <v>55</v>
      </c>
      <c r="J649" s="21">
        <v>5</v>
      </c>
      <c r="K649" s="21">
        <v>1958</v>
      </c>
      <c r="L649" s="21">
        <v>2002</v>
      </c>
      <c r="M649" s="21">
        <v>45</v>
      </c>
      <c r="N649" t="s">
        <v>623</v>
      </c>
      <c r="O649" t="s">
        <v>152</v>
      </c>
      <c r="P649" t="s">
        <v>1078</v>
      </c>
      <c r="Q649" t="s">
        <v>1069</v>
      </c>
      <c r="R649"/>
      <c r="S649"/>
      <c r="T649"/>
      <c r="U649"/>
      <c r="V649">
        <v>-3.1990218330000002</v>
      </c>
      <c r="W649"/>
      <c r="X649"/>
      <c r="Y649" t="s">
        <v>694</v>
      </c>
      <c r="Z649"/>
      <c r="AA649"/>
      <c r="AB649"/>
      <c r="AC649"/>
      <c r="AD649"/>
    </row>
    <row r="650" spans="1:30">
      <c r="A650" t="s">
        <v>662</v>
      </c>
      <c r="B650"/>
      <c r="C650" s="60">
        <v>45889</v>
      </c>
      <c r="D650" s="1" t="s">
        <v>130</v>
      </c>
      <c r="E650" s="1" t="s">
        <v>751</v>
      </c>
      <c r="F650">
        <v>2004</v>
      </c>
      <c r="G650" t="s">
        <v>62</v>
      </c>
      <c r="H650" t="s">
        <v>147</v>
      </c>
      <c r="I650" s="21">
        <v>55</v>
      </c>
      <c r="J650" s="21">
        <v>5</v>
      </c>
      <c r="K650" s="21">
        <v>1958</v>
      </c>
      <c r="L650" s="21">
        <v>2002</v>
      </c>
      <c r="M650" s="21">
        <v>45</v>
      </c>
      <c r="N650" t="s">
        <v>623</v>
      </c>
      <c r="O650" t="s">
        <v>152</v>
      </c>
      <c r="P650" t="s">
        <v>217</v>
      </c>
      <c r="Q650" t="s">
        <v>1062</v>
      </c>
      <c r="R650"/>
      <c r="S650"/>
      <c r="T650"/>
      <c r="U650"/>
      <c r="V650">
        <v>-2.4823147560000001</v>
      </c>
      <c r="W650"/>
      <c r="X650"/>
      <c r="Y650" t="s">
        <v>694</v>
      </c>
      <c r="Z650"/>
      <c r="AA650"/>
      <c r="AB650"/>
      <c r="AC650"/>
      <c r="AD650"/>
    </row>
    <row r="651" spans="1:30">
      <c r="A651" t="s">
        <v>662</v>
      </c>
      <c r="B651"/>
      <c r="C651" s="60">
        <v>45889</v>
      </c>
      <c r="D651" s="1" t="s">
        <v>130</v>
      </c>
      <c r="E651" s="1" t="s">
        <v>751</v>
      </c>
      <c r="F651">
        <v>2004</v>
      </c>
      <c r="G651" t="s">
        <v>62</v>
      </c>
      <c r="H651" t="s">
        <v>147</v>
      </c>
      <c r="I651" s="21">
        <v>55</v>
      </c>
      <c r="J651" s="21">
        <v>5</v>
      </c>
      <c r="K651" s="21">
        <v>1958</v>
      </c>
      <c r="L651" s="21">
        <v>2002</v>
      </c>
      <c r="M651" s="21">
        <v>45</v>
      </c>
      <c r="N651" t="s">
        <v>623</v>
      </c>
      <c r="O651" t="s">
        <v>152</v>
      </c>
      <c r="P651" t="s">
        <v>217</v>
      </c>
      <c r="Q651" t="s">
        <v>1356</v>
      </c>
      <c r="R651"/>
      <c r="S651"/>
      <c r="T651"/>
      <c r="U651"/>
      <c r="V651">
        <v>-1.9932504170000001</v>
      </c>
      <c r="W651"/>
      <c r="X651"/>
      <c r="Y651" t="s">
        <v>694</v>
      </c>
      <c r="Z651"/>
      <c r="AA651"/>
      <c r="AB651"/>
      <c r="AC651"/>
      <c r="AD651"/>
    </row>
    <row r="652" spans="1:30">
      <c r="A652" t="s">
        <v>662</v>
      </c>
      <c r="B652"/>
      <c r="C652" s="60">
        <v>45889</v>
      </c>
      <c r="D652" s="1" t="s">
        <v>130</v>
      </c>
      <c r="E652" s="1" t="s">
        <v>751</v>
      </c>
      <c r="F652">
        <v>2004</v>
      </c>
      <c r="G652" t="s">
        <v>62</v>
      </c>
      <c r="H652" t="s">
        <v>147</v>
      </c>
      <c r="I652" s="21">
        <v>55</v>
      </c>
      <c r="J652" s="21">
        <v>5</v>
      </c>
      <c r="K652" s="21">
        <v>1958</v>
      </c>
      <c r="L652" s="21">
        <v>2002</v>
      </c>
      <c r="M652" s="21">
        <v>45</v>
      </c>
      <c r="N652" t="s">
        <v>623</v>
      </c>
      <c r="O652" t="s">
        <v>152</v>
      </c>
      <c r="P652" t="s">
        <v>217</v>
      </c>
      <c r="Q652" t="s">
        <v>1357</v>
      </c>
      <c r="R652"/>
      <c r="S652"/>
      <c r="T652"/>
      <c r="U652"/>
      <c r="V652">
        <v>-0.93458817199999999</v>
      </c>
      <c r="W652"/>
      <c r="X652"/>
      <c r="Y652" t="s">
        <v>694</v>
      </c>
      <c r="Z652"/>
      <c r="AA652"/>
      <c r="AB652"/>
      <c r="AC652"/>
      <c r="AD652"/>
    </row>
    <row r="653" spans="1:30">
      <c r="A653" t="s">
        <v>662</v>
      </c>
      <c r="B653"/>
      <c r="C653" s="60">
        <v>45889</v>
      </c>
      <c r="D653" s="1" t="s">
        <v>130</v>
      </c>
      <c r="E653" s="1" t="s">
        <v>751</v>
      </c>
      <c r="F653">
        <v>2004</v>
      </c>
      <c r="G653" t="s">
        <v>62</v>
      </c>
      <c r="H653" t="s">
        <v>147</v>
      </c>
      <c r="I653" s="21">
        <v>55</v>
      </c>
      <c r="J653" s="21">
        <v>5</v>
      </c>
      <c r="K653" s="21">
        <v>1958</v>
      </c>
      <c r="L653" s="21">
        <v>2002</v>
      </c>
      <c r="M653" s="21">
        <v>45</v>
      </c>
      <c r="N653" t="s">
        <v>623</v>
      </c>
      <c r="O653" t="s">
        <v>152</v>
      </c>
      <c r="P653" t="s">
        <v>217</v>
      </c>
      <c r="Q653" t="s">
        <v>1067</v>
      </c>
      <c r="R653"/>
      <c r="S653"/>
      <c r="T653"/>
      <c r="U653"/>
      <c r="V653">
        <v>1.8140290059999999</v>
      </c>
      <c r="W653"/>
      <c r="X653"/>
      <c r="Y653" t="s">
        <v>41</v>
      </c>
      <c r="Z653"/>
      <c r="AA653"/>
      <c r="AB653"/>
      <c r="AC653"/>
      <c r="AD653"/>
    </row>
    <row r="654" spans="1:30">
      <c r="A654" t="s">
        <v>662</v>
      </c>
      <c r="B654"/>
      <c r="C654" s="60">
        <v>45889</v>
      </c>
      <c r="D654" s="1" t="s">
        <v>130</v>
      </c>
      <c r="E654" s="1" t="s">
        <v>751</v>
      </c>
      <c r="F654">
        <v>2004</v>
      </c>
      <c r="G654" t="s">
        <v>62</v>
      </c>
      <c r="H654" t="s">
        <v>147</v>
      </c>
      <c r="I654" s="21">
        <v>55</v>
      </c>
      <c r="J654" s="21">
        <v>5</v>
      </c>
      <c r="K654" s="21">
        <v>1958</v>
      </c>
      <c r="L654" s="21">
        <v>2002</v>
      </c>
      <c r="M654" s="21">
        <v>45</v>
      </c>
      <c r="N654" t="s">
        <v>623</v>
      </c>
      <c r="O654" t="s">
        <v>152</v>
      </c>
      <c r="P654" t="s">
        <v>1078</v>
      </c>
      <c r="Q654" t="s">
        <v>1073</v>
      </c>
      <c r="R654"/>
      <c r="S654"/>
      <c r="T654"/>
      <c r="U654"/>
      <c r="V654">
        <v>2.865310494</v>
      </c>
      <c r="W654"/>
      <c r="X654"/>
      <c r="Y654" t="s">
        <v>41</v>
      </c>
      <c r="Z654"/>
      <c r="AA654"/>
      <c r="AB654"/>
      <c r="AC654"/>
      <c r="AD654"/>
    </row>
    <row r="655" spans="1:30">
      <c r="A655" t="s">
        <v>662</v>
      </c>
      <c r="B655"/>
      <c r="C655" s="60">
        <v>45889</v>
      </c>
      <c r="D655" s="1" t="s">
        <v>130</v>
      </c>
      <c r="E655" s="1" t="s">
        <v>751</v>
      </c>
      <c r="F655">
        <v>2004</v>
      </c>
      <c r="G655" t="s">
        <v>62</v>
      </c>
      <c r="H655" t="s">
        <v>147</v>
      </c>
      <c r="I655" s="21">
        <v>55</v>
      </c>
      <c r="J655" s="21">
        <v>5</v>
      </c>
      <c r="K655" s="21">
        <v>1958</v>
      </c>
      <c r="L655" s="21">
        <v>2002</v>
      </c>
      <c r="M655" s="21">
        <v>45</v>
      </c>
      <c r="N655" t="s">
        <v>623</v>
      </c>
      <c r="O655" t="s">
        <v>152</v>
      </c>
      <c r="P655" t="s">
        <v>217</v>
      </c>
      <c r="Q655" t="s">
        <v>1358</v>
      </c>
      <c r="R655"/>
      <c r="S655"/>
      <c r="T655"/>
      <c r="U655"/>
      <c r="V655">
        <v>6.4953624999999997</v>
      </c>
      <c r="W655"/>
      <c r="X655"/>
      <c r="Y655" t="s">
        <v>41</v>
      </c>
      <c r="Z655"/>
      <c r="AA655"/>
      <c r="AB655"/>
      <c r="AC655"/>
      <c r="AD655"/>
    </row>
    <row r="656" spans="1:30">
      <c r="A656" t="s">
        <v>1359</v>
      </c>
      <c r="B656"/>
      <c r="C656" s="60">
        <v>45889</v>
      </c>
      <c r="D656" s="1" t="s">
        <v>130</v>
      </c>
      <c r="E656" s="1" t="s">
        <v>751</v>
      </c>
      <c r="F656">
        <v>2003</v>
      </c>
      <c r="G656" t="s">
        <v>62</v>
      </c>
      <c r="H656" t="s">
        <v>147</v>
      </c>
      <c r="I656" s="21">
        <v>53</v>
      </c>
      <c r="J656" s="21">
        <v>4.8</v>
      </c>
      <c r="K656" s="21">
        <v>1973</v>
      </c>
      <c r="L656" s="21">
        <v>2001</v>
      </c>
      <c r="M656" s="21">
        <v>29</v>
      </c>
      <c r="N656" t="s">
        <v>623</v>
      </c>
      <c r="O656" t="s">
        <v>152</v>
      </c>
      <c r="P656" t="s">
        <v>1360</v>
      </c>
      <c r="Q656" t="s">
        <v>40</v>
      </c>
      <c r="R656"/>
      <c r="S656"/>
      <c r="T656"/>
      <c r="U656"/>
      <c r="V656" t="s">
        <v>40</v>
      </c>
      <c r="W656"/>
      <c r="X656"/>
      <c r="Y656" t="s">
        <v>41</v>
      </c>
      <c r="Z656"/>
      <c r="AA656"/>
      <c r="AB656" t="s">
        <v>1361</v>
      </c>
      <c r="AC656"/>
      <c r="AD656"/>
    </row>
    <row r="657" spans="1:31">
      <c r="A657" s="1" t="s">
        <v>682</v>
      </c>
      <c r="B657" s="1" t="s">
        <v>768</v>
      </c>
      <c r="C657" s="60">
        <v>45874</v>
      </c>
      <c r="D657" s="1" t="s">
        <v>130</v>
      </c>
      <c r="E657" s="1" t="s">
        <v>909</v>
      </c>
      <c r="F657" s="1">
        <v>2001</v>
      </c>
      <c r="G657" s="1" t="s">
        <v>683</v>
      </c>
      <c r="H657" s="1" t="s">
        <v>147</v>
      </c>
      <c r="I657" s="1">
        <v>50</v>
      </c>
      <c r="J657" s="1">
        <v>145</v>
      </c>
      <c r="K657" s="1">
        <v>1975</v>
      </c>
      <c r="L657" s="1">
        <v>1996</v>
      </c>
      <c r="M657" s="1">
        <v>22</v>
      </c>
      <c r="N657" s="1" t="s">
        <v>659</v>
      </c>
      <c r="O657" s="1" t="s">
        <v>199</v>
      </c>
      <c r="P657" s="1" t="s">
        <v>1014</v>
      </c>
      <c r="Q657" s="1" t="s">
        <v>226</v>
      </c>
      <c r="R657" s="1" t="s">
        <v>29</v>
      </c>
      <c r="S657" s="1" t="s">
        <v>71</v>
      </c>
      <c r="T657" s="1" t="s">
        <v>40</v>
      </c>
      <c r="U657" s="1" t="s">
        <v>40</v>
      </c>
      <c r="V657" s="1">
        <v>-22</v>
      </c>
      <c r="X657" s="1" t="s">
        <v>40</v>
      </c>
      <c r="Y657" s="1" t="s">
        <v>694</v>
      </c>
      <c r="Z657" s="1" t="s">
        <v>40</v>
      </c>
      <c r="AA657" s="1" t="s">
        <v>40</v>
      </c>
      <c r="AB657" s="1" t="s">
        <v>40</v>
      </c>
      <c r="AC657" s="1" t="s">
        <v>44</v>
      </c>
      <c r="AD657" s="1" t="s">
        <v>40</v>
      </c>
      <c r="AE657" s="1" t="s">
        <v>769</v>
      </c>
    </row>
    <row r="658" spans="1:31">
      <c r="A658" s="1" t="s">
        <v>682</v>
      </c>
      <c r="B658" s="1" t="s">
        <v>768</v>
      </c>
      <c r="C658" s="60">
        <v>45874</v>
      </c>
      <c r="D658" s="1" t="s">
        <v>130</v>
      </c>
      <c r="E658" s="1" t="s">
        <v>909</v>
      </c>
      <c r="F658" s="1">
        <v>2001</v>
      </c>
      <c r="G658" s="1" t="s">
        <v>683</v>
      </c>
      <c r="H658" s="1" t="s">
        <v>147</v>
      </c>
      <c r="I658" s="1">
        <v>48.65</v>
      </c>
      <c r="J658" s="1">
        <v>-126.67</v>
      </c>
      <c r="K658" s="1">
        <v>1975</v>
      </c>
      <c r="L658" s="1">
        <v>1998</v>
      </c>
      <c r="M658" s="1">
        <v>24</v>
      </c>
      <c r="N658" s="1" t="s">
        <v>659</v>
      </c>
      <c r="O658" s="1" t="s">
        <v>199</v>
      </c>
      <c r="P658" s="1" t="s">
        <v>1014</v>
      </c>
      <c r="Q658" s="1" t="s">
        <v>226</v>
      </c>
      <c r="R658" s="1" t="s">
        <v>29</v>
      </c>
      <c r="S658" s="1" t="s">
        <v>71</v>
      </c>
      <c r="T658" s="1" t="s">
        <v>40</v>
      </c>
      <c r="U658" s="1" t="s">
        <v>40</v>
      </c>
      <c r="V658" s="1">
        <v>-13</v>
      </c>
      <c r="X658" s="1" t="s">
        <v>40</v>
      </c>
      <c r="Y658" s="1" t="s">
        <v>694</v>
      </c>
      <c r="Z658" s="1" t="s">
        <v>40</v>
      </c>
      <c r="AA658" s="1" t="s">
        <v>40</v>
      </c>
      <c r="AB658" s="1" t="s">
        <v>40</v>
      </c>
      <c r="AC658" s="1" t="s">
        <v>44</v>
      </c>
      <c r="AD658" s="1" t="s">
        <v>40</v>
      </c>
      <c r="AE658" s="1" t="s">
        <v>769</v>
      </c>
    </row>
    <row r="659" spans="1:31">
      <c r="A659" s="1" t="s">
        <v>682</v>
      </c>
      <c r="C659" s="60">
        <v>45875</v>
      </c>
      <c r="D659" s="1" t="s">
        <v>44</v>
      </c>
      <c r="E659" s="1" t="s">
        <v>776</v>
      </c>
      <c r="F659" s="1">
        <v>2001</v>
      </c>
      <c r="I659" s="1">
        <v>50</v>
      </c>
      <c r="J659" s="1">
        <v>-145</v>
      </c>
      <c r="K659" s="1">
        <v>1975</v>
      </c>
      <c r="O659" s="1" t="s">
        <v>199</v>
      </c>
      <c r="P659" s="1" t="s">
        <v>1014</v>
      </c>
      <c r="Q659" s="1" t="s">
        <v>226</v>
      </c>
      <c r="R659" s="1" t="s">
        <v>230</v>
      </c>
      <c r="S659" s="1" t="s">
        <v>71</v>
      </c>
      <c r="T659" s="1" t="s">
        <v>40</v>
      </c>
      <c r="U659" s="1" t="s">
        <v>52</v>
      </c>
      <c r="V659" s="1">
        <v>-18.7</v>
      </c>
      <c r="W659" s="1" t="s">
        <v>201</v>
      </c>
      <c r="X659" s="1" t="s">
        <v>40</v>
      </c>
      <c r="Y659" s="1" t="s">
        <v>694</v>
      </c>
      <c r="Z659" s="1" t="s">
        <v>40</v>
      </c>
      <c r="AA659" s="1" t="s">
        <v>40</v>
      </c>
      <c r="AB659" s="1" t="s">
        <v>40</v>
      </c>
      <c r="AC659" s="1" t="s">
        <v>44</v>
      </c>
      <c r="AD659" s="1" t="s">
        <v>40</v>
      </c>
      <c r="AE659" s="1" t="s">
        <v>2087</v>
      </c>
    </row>
    <row r="660" spans="1:31">
      <c r="A660" s="1" t="s">
        <v>682</v>
      </c>
      <c r="C660" s="60">
        <v>45875</v>
      </c>
      <c r="D660" s="1" t="s">
        <v>44</v>
      </c>
      <c r="E660" s="1" t="s">
        <v>776</v>
      </c>
      <c r="F660" s="1">
        <v>2001</v>
      </c>
      <c r="I660" s="1">
        <v>48.65</v>
      </c>
      <c r="J660" s="1">
        <v>-126.67</v>
      </c>
      <c r="K660" s="1">
        <v>1975</v>
      </c>
      <c r="O660" s="1" t="s">
        <v>199</v>
      </c>
      <c r="P660" s="1" t="s">
        <v>1014</v>
      </c>
      <c r="Q660" s="1" t="s">
        <v>226</v>
      </c>
      <c r="R660" s="1" t="s">
        <v>230</v>
      </c>
      <c r="S660" s="1" t="s">
        <v>71</v>
      </c>
      <c r="T660" s="1" t="s">
        <v>40</v>
      </c>
      <c r="U660" s="1" t="s">
        <v>52</v>
      </c>
      <c r="V660" s="1">
        <v>-12.8</v>
      </c>
      <c r="W660" s="1" t="s">
        <v>201</v>
      </c>
      <c r="X660" s="1" t="s">
        <v>40</v>
      </c>
      <c r="Y660" s="1" t="s">
        <v>694</v>
      </c>
      <c r="Z660" s="1" t="s">
        <v>40</v>
      </c>
      <c r="AA660" s="1" t="s">
        <v>40</v>
      </c>
      <c r="AB660" s="1" t="s">
        <v>40</v>
      </c>
      <c r="AC660" s="1" t="s">
        <v>44</v>
      </c>
      <c r="AD660" s="1" t="s">
        <v>40</v>
      </c>
      <c r="AE660" s="1" t="s">
        <v>2087</v>
      </c>
    </row>
    <row r="661" spans="1:31">
      <c r="A661" s="1" t="s">
        <v>685</v>
      </c>
      <c r="B661" s="1" t="s">
        <v>770</v>
      </c>
      <c r="C661" s="60">
        <v>45874</v>
      </c>
      <c r="D661" s="1" t="s">
        <v>130</v>
      </c>
      <c r="E661" s="1" t="s">
        <v>909</v>
      </c>
      <c r="F661" s="1">
        <v>1998</v>
      </c>
      <c r="G661" s="1" t="s">
        <v>686</v>
      </c>
      <c r="H661" s="1" t="s">
        <v>147</v>
      </c>
      <c r="I661" s="1">
        <v>50</v>
      </c>
      <c r="J661" s="1">
        <v>-145</v>
      </c>
      <c r="K661" s="1">
        <v>1968</v>
      </c>
      <c r="L661" s="1">
        <v>1996</v>
      </c>
      <c r="M661" s="1">
        <v>29</v>
      </c>
      <c r="N661" s="1" t="s">
        <v>623</v>
      </c>
      <c r="O661" s="1" t="s">
        <v>199</v>
      </c>
      <c r="P661" s="1" t="s">
        <v>1014</v>
      </c>
      <c r="Q661" s="1" t="s">
        <v>226</v>
      </c>
      <c r="R661" s="1" t="s">
        <v>779</v>
      </c>
      <c r="S661" s="1" t="s">
        <v>71</v>
      </c>
      <c r="T661" s="1" t="s">
        <v>40</v>
      </c>
      <c r="U661" s="1" t="s">
        <v>53</v>
      </c>
      <c r="V661" s="1">
        <v>-10.34</v>
      </c>
      <c r="W661" s="1" t="s">
        <v>201</v>
      </c>
      <c r="X661" s="1" t="s">
        <v>40</v>
      </c>
      <c r="Y661" s="1" t="s">
        <v>694</v>
      </c>
      <c r="Z661" s="1" t="s">
        <v>40</v>
      </c>
      <c r="AA661" s="1" t="s">
        <v>40</v>
      </c>
      <c r="AB661" s="1" t="s">
        <v>40</v>
      </c>
      <c r="AC661" s="1" t="s">
        <v>44</v>
      </c>
      <c r="AD661" s="1" t="s">
        <v>40</v>
      </c>
      <c r="AE661" s="1" t="s">
        <v>1859</v>
      </c>
    </row>
    <row r="662" spans="1:31">
      <c r="A662" s="1" t="s">
        <v>688</v>
      </c>
      <c r="B662" s="47" t="s">
        <v>1881</v>
      </c>
      <c r="C662" s="60">
        <v>45877</v>
      </c>
      <c r="D662" s="1" t="s">
        <v>130</v>
      </c>
      <c r="E662" s="1" t="s">
        <v>909</v>
      </c>
      <c r="F662" s="1">
        <v>1996</v>
      </c>
      <c r="G662" s="1" t="s">
        <v>62</v>
      </c>
      <c r="H662" s="1" t="s">
        <v>147</v>
      </c>
      <c r="I662" s="1">
        <v>54.19</v>
      </c>
      <c r="J662" s="1">
        <v>7.9</v>
      </c>
      <c r="K662" s="1">
        <v>1974</v>
      </c>
      <c r="L662" s="1">
        <v>1994</v>
      </c>
      <c r="M662" s="1">
        <v>21</v>
      </c>
      <c r="N662" s="1" t="s">
        <v>30</v>
      </c>
      <c r="O662" s="1" t="s">
        <v>205</v>
      </c>
      <c r="P662" s="1" t="s">
        <v>244</v>
      </c>
      <c r="Q662" s="1" t="s">
        <v>244</v>
      </c>
      <c r="V662" s="1">
        <v>0</v>
      </c>
      <c r="Y662" s="1" t="s">
        <v>41</v>
      </c>
      <c r="AB662" s="1" t="s">
        <v>689</v>
      </c>
      <c r="AE662" s="1" t="s">
        <v>778</v>
      </c>
    </row>
    <row r="663" spans="1:31">
      <c r="A663" s="1" t="s">
        <v>688</v>
      </c>
      <c r="B663" s="1" t="s">
        <v>754</v>
      </c>
      <c r="C663" s="60">
        <v>45877</v>
      </c>
      <c r="D663" s="1" t="s">
        <v>130</v>
      </c>
      <c r="E663" s="1" t="s">
        <v>909</v>
      </c>
      <c r="F663" s="1">
        <v>1996</v>
      </c>
      <c r="G663" s="1" t="s">
        <v>62</v>
      </c>
      <c r="H663" s="1" t="s">
        <v>147</v>
      </c>
      <c r="I663" s="1">
        <v>54.19</v>
      </c>
      <c r="J663" s="1">
        <v>7.9</v>
      </c>
      <c r="K663" s="1">
        <v>1974</v>
      </c>
      <c r="L663" s="1">
        <v>1994</v>
      </c>
      <c r="M663" s="1">
        <v>21</v>
      </c>
      <c r="N663" s="1" t="s">
        <v>30</v>
      </c>
      <c r="O663" s="1" t="s">
        <v>205</v>
      </c>
      <c r="P663" s="1" t="s">
        <v>1883</v>
      </c>
      <c r="Q663" s="1" t="s">
        <v>236</v>
      </c>
      <c r="V663" s="1" t="s">
        <v>40</v>
      </c>
      <c r="Y663" s="1" t="s">
        <v>694</v>
      </c>
      <c r="AB663" s="1" t="s">
        <v>689</v>
      </c>
      <c r="AE663" s="1" t="s">
        <v>778</v>
      </c>
    </row>
    <row r="664" spans="1:31">
      <c r="A664" s="1" t="s">
        <v>688</v>
      </c>
      <c r="B664" s="1" t="s">
        <v>754</v>
      </c>
      <c r="C664" s="60">
        <v>45874</v>
      </c>
      <c r="D664" s="1" t="s">
        <v>130</v>
      </c>
      <c r="E664" s="1" t="s">
        <v>909</v>
      </c>
      <c r="F664" s="1">
        <v>1996</v>
      </c>
      <c r="G664" s="1" t="s">
        <v>62</v>
      </c>
      <c r="H664" s="1" t="s">
        <v>147</v>
      </c>
      <c r="I664" s="1">
        <v>54.19</v>
      </c>
      <c r="J664" s="1">
        <v>7.9</v>
      </c>
      <c r="K664" s="1">
        <v>1974</v>
      </c>
      <c r="L664" s="1">
        <v>1994</v>
      </c>
      <c r="M664" s="1">
        <v>21</v>
      </c>
      <c r="N664" s="1" t="s">
        <v>30</v>
      </c>
      <c r="O664" s="1" t="s">
        <v>199</v>
      </c>
      <c r="P664" s="1" t="s">
        <v>1016</v>
      </c>
      <c r="Q664" s="1" t="s">
        <v>258</v>
      </c>
      <c r="R664" s="1" t="s">
        <v>235</v>
      </c>
      <c r="S664" s="1" t="s">
        <v>71</v>
      </c>
      <c r="T664" s="1" t="s">
        <v>40</v>
      </c>
      <c r="U664" s="1" t="s">
        <v>40</v>
      </c>
      <c r="V664" s="1" t="s">
        <v>40</v>
      </c>
      <c r="X664" s="1" t="s">
        <v>40</v>
      </c>
      <c r="Y664" s="1" t="s">
        <v>41</v>
      </c>
      <c r="Z664" s="1" t="s">
        <v>40</v>
      </c>
      <c r="AA664" s="1" t="s">
        <v>40</v>
      </c>
      <c r="AB664" s="1" t="s">
        <v>689</v>
      </c>
      <c r="AC664" s="1" t="s">
        <v>44</v>
      </c>
      <c r="AD664" s="1" t="s">
        <v>40</v>
      </c>
      <c r="AE664" s="1" t="s">
        <v>40</v>
      </c>
    </row>
    <row r="665" spans="1:31">
      <c r="A665" s="1" t="s">
        <v>688</v>
      </c>
      <c r="B665" s="1" t="s">
        <v>754</v>
      </c>
      <c r="C665" s="60">
        <v>45874</v>
      </c>
      <c r="D665" s="1" t="s">
        <v>130</v>
      </c>
      <c r="E665" s="1" t="s">
        <v>909</v>
      </c>
      <c r="F665" s="1">
        <v>1996</v>
      </c>
      <c r="G665" s="1" t="s">
        <v>62</v>
      </c>
      <c r="H665" s="1" t="s">
        <v>147</v>
      </c>
      <c r="I665" s="1">
        <v>54.19</v>
      </c>
      <c r="J665" s="1">
        <v>7.9</v>
      </c>
      <c r="K665" s="1">
        <v>1974</v>
      </c>
      <c r="L665" s="1">
        <v>1994</v>
      </c>
      <c r="M665" s="1">
        <v>21</v>
      </c>
      <c r="N665" s="1" t="s">
        <v>30</v>
      </c>
      <c r="O665" s="1" t="s">
        <v>199</v>
      </c>
      <c r="P665" s="1" t="s">
        <v>1016</v>
      </c>
      <c r="Q665" s="1" t="s">
        <v>117</v>
      </c>
      <c r="R665" s="1" t="s">
        <v>235</v>
      </c>
      <c r="S665" s="1" t="s">
        <v>71</v>
      </c>
      <c r="T665" s="1" t="s">
        <v>40</v>
      </c>
      <c r="U665" s="1" t="s">
        <v>40</v>
      </c>
      <c r="V665" s="1" t="s">
        <v>40</v>
      </c>
      <c r="X665" s="1" t="s">
        <v>40</v>
      </c>
      <c r="Y665" s="1" t="s">
        <v>694</v>
      </c>
      <c r="Z665" s="1" t="s">
        <v>40</v>
      </c>
      <c r="AA665" s="1" t="s">
        <v>40</v>
      </c>
      <c r="AB665" s="1" t="s">
        <v>689</v>
      </c>
      <c r="AC665" s="1" t="s">
        <v>44</v>
      </c>
      <c r="AD665" s="1" t="s">
        <v>40</v>
      </c>
      <c r="AE665" s="1" t="s">
        <v>40</v>
      </c>
    </row>
    <row r="666" spans="1:31">
      <c r="A666" s="1" t="s">
        <v>688</v>
      </c>
      <c r="B666" s="26" t="s">
        <v>754</v>
      </c>
      <c r="C666" s="60">
        <v>45874</v>
      </c>
      <c r="D666" s="1" t="s">
        <v>130</v>
      </c>
      <c r="E666" s="1" t="s">
        <v>909</v>
      </c>
      <c r="F666" s="1">
        <v>1996</v>
      </c>
      <c r="G666" s="1" t="s">
        <v>62</v>
      </c>
      <c r="H666" s="1" t="s">
        <v>147</v>
      </c>
      <c r="I666" s="1">
        <v>54.19</v>
      </c>
      <c r="J666" s="1">
        <v>7.9</v>
      </c>
      <c r="K666" s="1">
        <v>1974</v>
      </c>
      <c r="L666" s="1">
        <v>1994</v>
      </c>
      <c r="M666" s="1">
        <v>21</v>
      </c>
      <c r="N666" s="1" t="s">
        <v>30</v>
      </c>
      <c r="O666" s="1" t="s">
        <v>199</v>
      </c>
      <c r="P666" s="1" t="s">
        <v>1014</v>
      </c>
      <c r="Q666" s="1" t="s">
        <v>109</v>
      </c>
      <c r="R666" s="1" t="s">
        <v>235</v>
      </c>
      <c r="S666" s="1" t="s">
        <v>71</v>
      </c>
      <c r="T666" s="1" t="s">
        <v>40</v>
      </c>
      <c r="U666" s="1" t="s">
        <v>55</v>
      </c>
      <c r="V666" s="1" t="s">
        <v>40</v>
      </c>
      <c r="X666" s="1" t="s">
        <v>40</v>
      </c>
      <c r="Y666" s="1" t="s">
        <v>694</v>
      </c>
      <c r="Z666" s="1" t="s">
        <v>40</v>
      </c>
      <c r="AA666" s="1" t="s">
        <v>40</v>
      </c>
      <c r="AB666" s="1" t="s">
        <v>689</v>
      </c>
      <c r="AC666" s="1" t="s">
        <v>44</v>
      </c>
      <c r="AD666" s="1" t="s">
        <v>40</v>
      </c>
      <c r="AE666" s="1" t="s">
        <v>40</v>
      </c>
    </row>
    <row r="667" spans="1:31">
      <c r="A667" s="1" t="s">
        <v>688</v>
      </c>
      <c r="B667" s="1" t="s">
        <v>754</v>
      </c>
      <c r="C667" s="60">
        <v>45874</v>
      </c>
      <c r="D667" s="1" t="s">
        <v>130</v>
      </c>
      <c r="E667" s="1" t="s">
        <v>909</v>
      </c>
      <c r="F667" s="1">
        <v>1996</v>
      </c>
      <c r="G667" s="1" t="s">
        <v>62</v>
      </c>
      <c r="H667" s="1" t="s">
        <v>147</v>
      </c>
      <c r="I667" s="1">
        <v>54.19</v>
      </c>
      <c r="J667" s="1">
        <v>7.9</v>
      </c>
      <c r="K667" s="1">
        <v>1974</v>
      </c>
      <c r="L667" s="1">
        <v>1994</v>
      </c>
      <c r="M667" s="1">
        <v>21</v>
      </c>
      <c r="N667" s="1" t="s">
        <v>30</v>
      </c>
      <c r="O667" s="1" t="s">
        <v>199</v>
      </c>
      <c r="P667" s="1" t="s">
        <v>1014</v>
      </c>
      <c r="Q667" s="1" t="s">
        <v>690</v>
      </c>
      <c r="R667" s="1" t="s">
        <v>235</v>
      </c>
      <c r="S667" s="1" t="s">
        <v>71</v>
      </c>
      <c r="T667" s="1" t="s">
        <v>40</v>
      </c>
      <c r="U667" s="1" t="s">
        <v>40</v>
      </c>
      <c r="V667" s="1" t="s">
        <v>40</v>
      </c>
      <c r="X667" s="1" t="s">
        <v>40</v>
      </c>
      <c r="Y667" s="1" t="s">
        <v>694</v>
      </c>
      <c r="Z667" s="1" t="s">
        <v>40</v>
      </c>
      <c r="AA667" s="1" t="s">
        <v>40</v>
      </c>
      <c r="AB667" s="1" t="s">
        <v>689</v>
      </c>
      <c r="AC667" s="1" t="s">
        <v>44</v>
      </c>
      <c r="AD667" s="1" t="s">
        <v>40</v>
      </c>
      <c r="AE667" s="1" t="s">
        <v>40</v>
      </c>
    </row>
    <row r="668" spans="1:31">
      <c r="A668" s="1" t="s">
        <v>688</v>
      </c>
      <c r="B668" s="1" t="s">
        <v>754</v>
      </c>
      <c r="C668" s="60">
        <v>45874</v>
      </c>
      <c r="D668" s="1" t="s">
        <v>130</v>
      </c>
      <c r="E668" s="1" t="s">
        <v>909</v>
      </c>
      <c r="F668" s="1">
        <v>1996</v>
      </c>
      <c r="G668" s="1" t="s">
        <v>62</v>
      </c>
      <c r="H668" s="1" t="s">
        <v>147</v>
      </c>
      <c r="I668" s="1">
        <v>54.19</v>
      </c>
      <c r="J668" s="1">
        <v>7.9</v>
      </c>
      <c r="K668" s="1">
        <v>1974</v>
      </c>
      <c r="L668" s="1">
        <v>1994</v>
      </c>
      <c r="M668" s="1">
        <v>21</v>
      </c>
      <c r="N668" s="1" t="s">
        <v>30</v>
      </c>
      <c r="O668" s="1" t="s">
        <v>199</v>
      </c>
      <c r="P668" s="1" t="s">
        <v>1014</v>
      </c>
      <c r="Q668" s="1" t="s">
        <v>256</v>
      </c>
      <c r="R668" s="1" t="s">
        <v>235</v>
      </c>
      <c r="S668" s="1" t="s">
        <v>71</v>
      </c>
      <c r="T668" s="1" t="s">
        <v>40</v>
      </c>
      <c r="U668" s="1" t="s">
        <v>40</v>
      </c>
      <c r="V668" s="1" t="s">
        <v>40</v>
      </c>
      <c r="X668" s="1" t="s">
        <v>40</v>
      </c>
      <c r="Y668" s="1" t="s">
        <v>694</v>
      </c>
      <c r="Z668" s="1" t="s">
        <v>40</v>
      </c>
      <c r="AA668" s="1" t="s">
        <v>40</v>
      </c>
      <c r="AB668" s="1" t="s">
        <v>689</v>
      </c>
      <c r="AC668" s="1" t="s">
        <v>44</v>
      </c>
      <c r="AD668" s="1" t="s">
        <v>40</v>
      </c>
      <c r="AE668" s="1" t="s">
        <v>40</v>
      </c>
    </row>
    <row r="669" spans="1:31">
      <c r="A669" s="1" t="s">
        <v>688</v>
      </c>
      <c r="B669" s="1" t="s">
        <v>754</v>
      </c>
      <c r="C669" s="60">
        <v>45874</v>
      </c>
      <c r="D669" s="1" t="s">
        <v>130</v>
      </c>
      <c r="E669" s="1" t="s">
        <v>909</v>
      </c>
      <c r="F669" s="1">
        <v>1996</v>
      </c>
      <c r="G669" s="1" t="s">
        <v>62</v>
      </c>
      <c r="H669" s="1" t="s">
        <v>147</v>
      </c>
      <c r="I669" s="1">
        <v>54.19</v>
      </c>
      <c r="J669" s="1">
        <v>7.9</v>
      </c>
      <c r="K669" s="1">
        <v>1974</v>
      </c>
      <c r="L669" s="1">
        <v>1994</v>
      </c>
      <c r="M669" s="1">
        <v>21</v>
      </c>
      <c r="N669" s="1" t="s">
        <v>30</v>
      </c>
      <c r="O669" s="1" t="s">
        <v>205</v>
      </c>
      <c r="P669" s="1" t="s">
        <v>1018</v>
      </c>
      <c r="Q669" s="1" t="s">
        <v>237</v>
      </c>
      <c r="R669" s="1" t="s">
        <v>235</v>
      </c>
      <c r="S669" s="1" t="s">
        <v>71</v>
      </c>
      <c r="T669" s="1" t="s">
        <v>40</v>
      </c>
      <c r="U669" s="1" t="s">
        <v>40</v>
      </c>
      <c r="V669" s="1" t="s">
        <v>40</v>
      </c>
      <c r="X669" s="1" t="s">
        <v>40</v>
      </c>
      <c r="Y669" s="1" t="s">
        <v>694</v>
      </c>
      <c r="Z669" s="1" t="s">
        <v>40</v>
      </c>
      <c r="AA669" s="1" t="s">
        <v>40</v>
      </c>
      <c r="AB669" s="1" t="s">
        <v>689</v>
      </c>
      <c r="AC669" s="1" t="s">
        <v>44</v>
      </c>
      <c r="AD669" s="1" t="s">
        <v>40</v>
      </c>
      <c r="AE669" s="1" t="s">
        <v>40</v>
      </c>
    </row>
    <row r="670" spans="1:31">
      <c r="A670" s="1" t="s">
        <v>688</v>
      </c>
      <c r="B670" s="1" t="s">
        <v>754</v>
      </c>
      <c r="C670" s="60">
        <v>45874</v>
      </c>
      <c r="D670" s="1" t="s">
        <v>130</v>
      </c>
      <c r="E670" s="1" t="s">
        <v>909</v>
      </c>
      <c r="F670" s="1">
        <v>1996</v>
      </c>
      <c r="G670" s="1" t="s">
        <v>62</v>
      </c>
      <c r="H670" s="1" t="s">
        <v>147</v>
      </c>
      <c r="I670" s="1">
        <v>54.19</v>
      </c>
      <c r="J670" s="1">
        <v>7.9</v>
      </c>
      <c r="K670" s="1">
        <v>1974</v>
      </c>
      <c r="L670" s="1">
        <v>1994</v>
      </c>
      <c r="M670" s="1">
        <v>21</v>
      </c>
      <c r="N670" s="1" t="s">
        <v>30</v>
      </c>
      <c r="O670" s="1" t="s">
        <v>755</v>
      </c>
      <c r="P670" s="1" t="s">
        <v>1018</v>
      </c>
      <c r="Q670" s="1" t="s">
        <v>260</v>
      </c>
      <c r="R670" s="1" t="s">
        <v>235</v>
      </c>
      <c r="S670" s="1" t="s">
        <v>71</v>
      </c>
      <c r="T670" s="1" t="s">
        <v>40</v>
      </c>
      <c r="U670" s="1" t="s">
        <v>40</v>
      </c>
      <c r="V670" s="1" t="s">
        <v>40</v>
      </c>
      <c r="X670" s="1" t="s">
        <v>40</v>
      </c>
      <c r="Y670" s="1" t="s">
        <v>41</v>
      </c>
      <c r="Z670" s="1" t="s">
        <v>40</v>
      </c>
      <c r="AA670" s="1" t="s">
        <v>40</v>
      </c>
      <c r="AB670" s="1" t="s">
        <v>689</v>
      </c>
      <c r="AC670" s="1" t="s">
        <v>44</v>
      </c>
      <c r="AD670" s="1" t="s">
        <v>40</v>
      </c>
      <c r="AE670" s="1" t="s">
        <v>40</v>
      </c>
    </row>
    <row r="671" spans="1:31">
      <c r="A671" s="1" t="s">
        <v>688</v>
      </c>
      <c r="B671" s="1" t="s">
        <v>754</v>
      </c>
      <c r="C671" s="60">
        <v>45874</v>
      </c>
      <c r="D671" s="1" t="s">
        <v>130</v>
      </c>
      <c r="E671" s="1" t="s">
        <v>909</v>
      </c>
      <c r="F671" s="1">
        <v>1996</v>
      </c>
      <c r="G671" s="1" t="s">
        <v>62</v>
      </c>
      <c r="H671" s="1" t="s">
        <v>147</v>
      </c>
      <c r="I671" s="1">
        <v>54.19</v>
      </c>
      <c r="J671" s="1">
        <v>7.9</v>
      </c>
      <c r="K671" s="1">
        <v>1974</v>
      </c>
      <c r="L671" s="1">
        <v>1994</v>
      </c>
      <c r="M671" s="1">
        <v>21</v>
      </c>
      <c r="N671" s="1" t="s">
        <v>30</v>
      </c>
      <c r="O671" s="1" t="s">
        <v>199</v>
      </c>
      <c r="P671" s="1" t="s">
        <v>37</v>
      </c>
      <c r="Q671" s="1" t="s">
        <v>262</v>
      </c>
      <c r="R671" s="1" t="s">
        <v>235</v>
      </c>
      <c r="S671" s="1" t="s">
        <v>71</v>
      </c>
      <c r="T671" s="1" t="s">
        <v>40</v>
      </c>
      <c r="U671" s="1" t="s">
        <v>40</v>
      </c>
      <c r="V671" s="1" t="s">
        <v>40</v>
      </c>
      <c r="X671" s="1" t="s">
        <v>40</v>
      </c>
      <c r="Y671" s="1" t="s">
        <v>41</v>
      </c>
      <c r="Z671" s="1" t="s">
        <v>40</v>
      </c>
      <c r="AA671" s="1" t="s">
        <v>40</v>
      </c>
      <c r="AB671" s="1" t="s">
        <v>689</v>
      </c>
      <c r="AC671" s="1" t="s">
        <v>44</v>
      </c>
      <c r="AD671" s="1" t="s">
        <v>40</v>
      </c>
      <c r="AE671" s="1" t="s">
        <v>40</v>
      </c>
    </row>
    <row r="672" spans="1:31">
      <c r="A672" s="1" t="s">
        <v>688</v>
      </c>
      <c r="B672" s="1" t="s">
        <v>754</v>
      </c>
      <c r="C672" s="60">
        <v>45874</v>
      </c>
      <c r="D672" s="1" t="s">
        <v>130</v>
      </c>
      <c r="E672" s="1" t="s">
        <v>909</v>
      </c>
      <c r="F672" s="1">
        <v>1996</v>
      </c>
      <c r="G672" s="1" t="s">
        <v>62</v>
      </c>
      <c r="H672" s="1" t="s">
        <v>147</v>
      </c>
      <c r="I672" s="1">
        <v>54.19</v>
      </c>
      <c r="J672" s="1">
        <v>7.9</v>
      </c>
      <c r="K672" s="1">
        <v>1974</v>
      </c>
      <c r="L672" s="1">
        <v>1994</v>
      </c>
      <c r="M672" s="1">
        <v>21</v>
      </c>
      <c r="N672" s="1" t="s">
        <v>30</v>
      </c>
      <c r="O672" s="1" t="s">
        <v>199</v>
      </c>
      <c r="P672" s="1" t="s">
        <v>1804</v>
      </c>
      <c r="Q672" s="1" t="s">
        <v>255</v>
      </c>
      <c r="R672" s="1" t="s">
        <v>235</v>
      </c>
      <c r="S672" s="1" t="s">
        <v>71</v>
      </c>
      <c r="T672" s="1" t="s">
        <v>40</v>
      </c>
      <c r="U672" s="1" t="s">
        <v>40</v>
      </c>
      <c r="V672" s="1" t="s">
        <v>40</v>
      </c>
      <c r="X672" s="1" t="s">
        <v>40</v>
      </c>
      <c r="Y672" s="1" t="s">
        <v>694</v>
      </c>
      <c r="Z672" s="1" t="s">
        <v>40</v>
      </c>
      <c r="AA672" s="1" t="s">
        <v>40</v>
      </c>
      <c r="AB672" s="1" t="s">
        <v>689</v>
      </c>
      <c r="AC672" s="1" t="s">
        <v>44</v>
      </c>
      <c r="AD672" s="1" t="s">
        <v>40</v>
      </c>
      <c r="AE672" s="1" t="s">
        <v>40</v>
      </c>
    </row>
    <row r="673" spans="1:31">
      <c r="A673" s="1" t="s">
        <v>688</v>
      </c>
      <c r="B673" s="1" t="s">
        <v>754</v>
      </c>
      <c r="C673" s="60">
        <v>45874</v>
      </c>
      <c r="D673" s="1" t="s">
        <v>130</v>
      </c>
      <c r="E673" s="1" t="s">
        <v>909</v>
      </c>
      <c r="F673" s="1">
        <v>1996</v>
      </c>
      <c r="G673" s="1" t="s">
        <v>62</v>
      </c>
      <c r="H673" s="1" t="s">
        <v>147</v>
      </c>
      <c r="I673" s="1">
        <v>54.19</v>
      </c>
      <c r="J673" s="1">
        <v>7.9</v>
      </c>
      <c r="K673" s="1">
        <v>1974</v>
      </c>
      <c r="L673" s="1">
        <v>1994</v>
      </c>
      <c r="M673" s="1">
        <v>21</v>
      </c>
      <c r="N673" s="1" t="s">
        <v>30</v>
      </c>
      <c r="O673" s="1" t="s">
        <v>199</v>
      </c>
      <c r="P673" s="1" t="s">
        <v>98</v>
      </c>
      <c r="Q673" s="1" t="s">
        <v>232</v>
      </c>
      <c r="R673" s="1" t="s">
        <v>235</v>
      </c>
      <c r="S673" s="1" t="s">
        <v>71</v>
      </c>
      <c r="T673" s="1" t="s">
        <v>40</v>
      </c>
      <c r="U673" s="1" t="s">
        <v>40</v>
      </c>
      <c r="V673" s="1" t="s">
        <v>40</v>
      </c>
      <c r="X673" s="1" t="s">
        <v>40</v>
      </c>
      <c r="Y673" s="1" t="s">
        <v>694</v>
      </c>
      <c r="Z673" s="1" t="s">
        <v>40</v>
      </c>
      <c r="AA673" s="1" t="s">
        <v>40</v>
      </c>
      <c r="AB673" s="1" t="s">
        <v>689</v>
      </c>
      <c r="AC673" s="1" t="s">
        <v>44</v>
      </c>
      <c r="AD673" s="1" t="s">
        <v>40</v>
      </c>
      <c r="AE673" s="1" t="s">
        <v>40</v>
      </c>
    </row>
    <row r="674" spans="1:31">
      <c r="A674" s="1" t="s">
        <v>688</v>
      </c>
      <c r="B674" s="1" t="s">
        <v>754</v>
      </c>
      <c r="C674" s="60">
        <v>45874</v>
      </c>
      <c r="D674" s="1" t="s">
        <v>130</v>
      </c>
      <c r="E674" s="1" t="s">
        <v>909</v>
      </c>
      <c r="F674" s="1">
        <v>1996</v>
      </c>
      <c r="G674" s="1" t="s">
        <v>62</v>
      </c>
      <c r="H674" s="1" t="s">
        <v>147</v>
      </c>
      <c r="I674" s="1">
        <v>54.19</v>
      </c>
      <c r="J674" s="1">
        <v>7.9</v>
      </c>
      <c r="K674" s="1">
        <v>1974</v>
      </c>
      <c r="L674" s="1">
        <v>1994</v>
      </c>
      <c r="M674" s="1">
        <v>21</v>
      </c>
      <c r="N674" s="1" t="s">
        <v>30</v>
      </c>
      <c r="O674" s="1" t="s">
        <v>199</v>
      </c>
      <c r="P674" s="1" t="s">
        <v>98</v>
      </c>
      <c r="Q674" s="1" t="s">
        <v>254</v>
      </c>
      <c r="R674" s="1" t="s">
        <v>235</v>
      </c>
      <c r="S674" s="1" t="s">
        <v>71</v>
      </c>
      <c r="T674" s="1" t="s">
        <v>40</v>
      </c>
      <c r="U674" s="1" t="s">
        <v>40</v>
      </c>
      <c r="V674" s="1" t="s">
        <v>40</v>
      </c>
      <c r="X674" s="1" t="s">
        <v>40</v>
      </c>
      <c r="Y674" s="1" t="s">
        <v>694</v>
      </c>
      <c r="Z674" s="1" t="s">
        <v>40</v>
      </c>
      <c r="AA674" s="1" t="s">
        <v>40</v>
      </c>
      <c r="AB674" s="1" t="s">
        <v>689</v>
      </c>
      <c r="AC674" s="1" t="s">
        <v>44</v>
      </c>
      <c r="AD674" s="1" t="s">
        <v>40</v>
      </c>
      <c r="AE674" s="1" t="s">
        <v>40</v>
      </c>
    </row>
    <row r="675" spans="1:31">
      <c r="A675" s="1" t="s">
        <v>688</v>
      </c>
      <c r="B675" s="1" t="s">
        <v>754</v>
      </c>
      <c r="C675" s="60">
        <v>45874</v>
      </c>
      <c r="D675" s="1" t="s">
        <v>130</v>
      </c>
      <c r="E675" s="1" t="s">
        <v>137</v>
      </c>
      <c r="F675" s="1">
        <v>1996</v>
      </c>
      <c r="G675" s="1" t="s">
        <v>62</v>
      </c>
      <c r="H675" s="1" t="s">
        <v>147</v>
      </c>
      <c r="I675" s="1">
        <v>54.19</v>
      </c>
      <c r="J675" s="1">
        <v>7.9</v>
      </c>
      <c r="K675" s="1">
        <v>1974</v>
      </c>
      <c r="L675" s="1">
        <v>1994</v>
      </c>
      <c r="M675" s="1">
        <v>21</v>
      </c>
      <c r="N675" s="1" t="s">
        <v>30</v>
      </c>
      <c r="O675" s="1" t="s">
        <v>199</v>
      </c>
      <c r="P675" s="1" t="s">
        <v>1078</v>
      </c>
      <c r="Q675" s="1" t="s">
        <v>350</v>
      </c>
      <c r="R675" s="1" t="s">
        <v>235</v>
      </c>
      <c r="S675" s="1" t="s">
        <v>71</v>
      </c>
      <c r="T675" s="1" t="s">
        <v>40</v>
      </c>
      <c r="U675" s="1" t="s">
        <v>40</v>
      </c>
      <c r="V675" s="1" t="s">
        <v>40</v>
      </c>
      <c r="X675" s="1" t="s">
        <v>40</v>
      </c>
      <c r="Y675" s="1" t="s">
        <v>694</v>
      </c>
      <c r="Z675" s="1" t="s">
        <v>40</v>
      </c>
      <c r="AA675" s="1" t="s">
        <v>40</v>
      </c>
      <c r="AB675" s="1" t="s">
        <v>689</v>
      </c>
      <c r="AC675" s="1" t="s">
        <v>44</v>
      </c>
      <c r="AD675" s="1" t="s">
        <v>40</v>
      </c>
      <c r="AE675" s="1" t="s">
        <v>40</v>
      </c>
    </row>
    <row r="676" spans="1:31">
      <c r="A676" s="1" t="s">
        <v>688</v>
      </c>
      <c r="B676" s="1" t="s">
        <v>754</v>
      </c>
      <c r="C676" s="60">
        <v>45877</v>
      </c>
      <c r="D676" s="1" t="s">
        <v>130</v>
      </c>
      <c r="E676" s="1" t="s">
        <v>909</v>
      </c>
      <c r="F676" s="1">
        <v>1996</v>
      </c>
      <c r="G676" s="1" t="s">
        <v>62</v>
      </c>
      <c r="H676" s="1" t="s">
        <v>147</v>
      </c>
      <c r="I676" s="1">
        <v>54.19</v>
      </c>
      <c r="J676" s="1">
        <v>7.9</v>
      </c>
      <c r="K676" s="1">
        <v>1975</v>
      </c>
      <c r="L676" s="1">
        <v>1993</v>
      </c>
      <c r="M676" s="1">
        <v>19</v>
      </c>
      <c r="N676" s="1" t="s">
        <v>30</v>
      </c>
      <c r="O676" s="1" t="s">
        <v>205</v>
      </c>
      <c r="P676" s="1" t="s">
        <v>788</v>
      </c>
      <c r="Q676" s="1" t="s">
        <v>40</v>
      </c>
      <c r="V676" s="1">
        <v>-32.11</v>
      </c>
      <c r="Y676" s="1" t="s">
        <v>694</v>
      </c>
      <c r="AE676" s="1" t="s">
        <v>778</v>
      </c>
    </row>
    <row r="677" spans="1:31">
      <c r="A677" s="1" t="s">
        <v>688</v>
      </c>
      <c r="B677" s="1" t="s">
        <v>754</v>
      </c>
      <c r="C677" s="60">
        <v>45877</v>
      </c>
      <c r="D677" s="1" t="s">
        <v>130</v>
      </c>
      <c r="E677" s="1" t="s">
        <v>909</v>
      </c>
      <c r="F677" s="1">
        <v>1996</v>
      </c>
      <c r="G677" s="1" t="s">
        <v>62</v>
      </c>
      <c r="H677" s="1" t="s">
        <v>147</v>
      </c>
      <c r="I677" s="1">
        <v>54.19</v>
      </c>
      <c r="J677" s="1">
        <v>7.9</v>
      </c>
      <c r="K677" s="1">
        <v>1974</v>
      </c>
      <c r="L677" s="1">
        <v>1994</v>
      </c>
      <c r="M677" s="1">
        <v>21</v>
      </c>
      <c r="N677" s="1" t="s">
        <v>30</v>
      </c>
      <c r="O677" s="1" t="s">
        <v>205</v>
      </c>
      <c r="P677" s="1" t="s">
        <v>1019</v>
      </c>
      <c r="Q677" s="1" t="s">
        <v>263</v>
      </c>
      <c r="V677" s="1" t="s">
        <v>40</v>
      </c>
      <c r="Y677" s="1" t="s">
        <v>41</v>
      </c>
      <c r="AB677" s="1" t="s">
        <v>689</v>
      </c>
      <c r="AE677" s="1" t="s">
        <v>778</v>
      </c>
    </row>
    <row r="678" spans="1:31">
      <c r="A678" s="1" t="s">
        <v>688</v>
      </c>
      <c r="B678" s="1" t="s">
        <v>754</v>
      </c>
      <c r="C678" s="60">
        <v>45877</v>
      </c>
      <c r="D678" s="1" t="s">
        <v>130</v>
      </c>
      <c r="E678" s="1" t="s">
        <v>909</v>
      </c>
      <c r="F678" s="1">
        <v>1996</v>
      </c>
      <c r="G678" s="1" t="s">
        <v>62</v>
      </c>
      <c r="H678" s="1" t="s">
        <v>147</v>
      </c>
      <c r="I678" s="1">
        <v>54.19</v>
      </c>
      <c r="J678" s="1">
        <v>7.9</v>
      </c>
      <c r="K678" s="1">
        <v>1974</v>
      </c>
      <c r="L678" s="1">
        <v>1994</v>
      </c>
      <c r="M678" s="1">
        <v>21</v>
      </c>
      <c r="N678" s="1" t="s">
        <v>30</v>
      </c>
      <c r="O678" s="1" t="s">
        <v>205</v>
      </c>
      <c r="P678" s="1" t="s">
        <v>1019</v>
      </c>
      <c r="Q678" s="1" t="s">
        <v>249</v>
      </c>
      <c r="V678" s="1" t="s">
        <v>40</v>
      </c>
      <c r="Y678" s="1" t="s">
        <v>694</v>
      </c>
      <c r="AB678" s="1" t="s">
        <v>689</v>
      </c>
      <c r="AE678" s="1" t="s">
        <v>778</v>
      </c>
    </row>
    <row r="679" spans="1:31">
      <c r="A679" s="1" t="s">
        <v>688</v>
      </c>
      <c r="B679" s="1" t="s">
        <v>754</v>
      </c>
      <c r="C679" s="60">
        <v>45877</v>
      </c>
      <c r="D679" s="1" t="s">
        <v>130</v>
      </c>
      <c r="E679" s="1" t="s">
        <v>909</v>
      </c>
      <c r="F679" s="1">
        <v>1996</v>
      </c>
      <c r="G679" s="1" t="s">
        <v>62</v>
      </c>
      <c r="H679" s="1" t="s">
        <v>147</v>
      </c>
      <c r="I679" s="1">
        <v>54.19</v>
      </c>
      <c r="J679" s="1">
        <v>7.9</v>
      </c>
      <c r="K679" s="1">
        <v>1974</v>
      </c>
      <c r="L679" s="1">
        <v>1994</v>
      </c>
      <c r="M679" s="1">
        <v>21</v>
      </c>
      <c r="N679" s="1" t="s">
        <v>30</v>
      </c>
      <c r="O679" s="1" t="s">
        <v>205</v>
      </c>
      <c r="P679" s="1" t="s">
        <v>1019</v>
      </c>
      <c r="Q679" s="1" t="s">
        <v>251</v>
      </c>
      <c r="V679" s="1" t="s">
        <v>40</v>
      </c>
      <c r="Y679" s="1" t="s">
        <v>694</v>
      </c>
      <c r="AB679" s="1" t="s">
        <v>689</v>
      </c>
      <c r="AE679" s="1" t="s">
        <v>778</v>
      </c>
    </row>
    <row r="680" spans="1:31">
      <c r="A680" s="1" t="s">
        <v>688</v>
      </c>
      <c r="B680" s="1" t="s">
        <v>754</v>
      </c>
      <c r="C680" s="60">
        <v>45877</v>
      </c>
      <c r="D680" s="1" t="s">
        <v>130</v>
      </c>
      <c r="E680" s="1" t="s">
        <v>909</v>
      </c>
      <c r="F680" s="1">
        <v>1996</v>
      </c>
      <c r="G680" s="1" t="s">
        <v>62</v>
      </c>
      <c r="H680" s="1" t="s">
        <v>147</v>
      </c>
      <c r="I680" s="1">
        <v>54.19</v>
      </c>
      <c r="J680" s="1">
        <v>7.9</v>
      </c>
      <c r="K680" s="1">
        <v>1974</v>
      </c>
      <c r="L680" s="1">
        <v>1994</v>
      </c>
      <c r="M680" s="1">
        <v>21</v>
      </c>
      <c r="N680" s="1" t="s">
        <v>30</v>
      </c>
      <c r="O680" s="1" t="s">
        <v>205</v>
      </c>
      <c r="P680" s="1" t="s">
        <v>1618</v>
      </c>
      <c r="Q680" s="1" t="s">
        <v>851</v>
      </c>
      <c r="V680" s="1" t="s">
        <v>40</v>
      </c>
      <c r="Y680" s="1" t="s">
        <v>694</v>
      </c>
      <c r="AB680" s="1" t="s">
        <v>689</v>
      </c>
      <c r="AE680" s="1" t="s">
        <v>778</v>
      </c>
    </row>
    <row r="681" spans="1:31">
      <c r="A681" s="1" t="s">
        <v>688</v>
      </c>
      <c r="B681" s="1" t="s">
        <v>754</v>
      </c>
      <c r="C681" s="60">
        <v>45877</v>
      </c>
      <c r="D681" s="1" t="s">
        <v>130</v>
      </c>
      <c r="E681" s="1" t="s">
        <v>909</v>
      </c>
      <c r="F681" s="1">
        <v>1996</v>
      </c>
      <c r="G681" s="1" t="s">
        <v>62</v>
      </c>
      <c r="H681" s="1" t="s">
        <v>147</v>
      </c>
      <c r="I681" s="1">
        <v>54.19</v>
      </c>
      <c r="J681" s="1">
        <v>7.9</v>
      </c>
      <c r="K681" s="1">
        <v>1974</v>
      </c>
      <c r="L681" s="1">
        <v>1994</v>
      </c>
      <c r="M681" s="1">
        <v>21</v>
      </c>
      <c r="N681" s="1" t="s">
        <v>30</v>
      </c>
      <c r="O681" s="1" t="s">
        <v>205</v>
      </c>
      <c r="P681" s="1" t="s">
        <v>1464</v>
      </c>
      <c r="Q681" s="1" t="s">
        <v>248</v>
      </c>
      <c r="V681" s="1" t="s">
        <v>40</v>
      </c>
      <c r="Y681" s="1" t="s">
        <v>694</v>
      </c>
      <c r="AB681" s="1" t="s">
        <v>689</v>
      </c>
      <c r="AE681" s="1" t="s">
        <v>778</v>
      </c>
    </row>
    <row r="682" spans="1:31">
      <c r="A682" s="1" t="s">
        <v>688</v>
      </c>
      <c r="B682" s="1" t="s">
        <v>754</v>
      </c>
      <c r="C682" s="60">
        <v>45877</v>
      </c>
      <c r="D682" s="1" t="s">
        <v>130</v>
      </c>
      <c r="E682" s="1" t="s">
        <v>909</v>
      </c>
      <c r="F682" s="1">
        <v>1996</v>
      </c>
      <c r="G682" s="1" t="s">
        <v>62</v>
      </c>
      <c r="H682" s="1" t="s">
        <v>147</v>
      </c>
      <c r="I682" s="1">
        <v>54.19</v>
      </c>
      <c r="J682" s="1">
        <v>7.9</v>
      </c>
      <c r="K682" s="1">
        <v>1974</v>
      </c>
      <c r="L682" s="1">
        <v>1994</v>
      </c>
      <c r="M682" s="1">
        <v>21</v>
      </c>
      <c r="N682" s="1" t="s">
        <v>30</v>
      </c>
      <c r="O682" s="1" t="s">
        <v>205</v>
      </c>
      <c r="P682" s="1" t="s">
        <v>1464</v>
      </c>
      <c r="Q682" s="1" t="s">
        <v>852</v>
      </c>
      <c r="V682" s="1" t="s">
        <v>40</v>
      </c>
      <c r="Y682" s="1" t="s">
        <v>41</v>
      </c>
      <c r="AB682" s="1" t="s">
        <v>689</v>
      </c>
      <c r="AE682" s="1" t="s">
        <v>778</v>
      </c>
    </row>
    <row r="683" spans="1:31">
      <c r="A683" s="1" t="s">
        <v>688</v>
      </c>
      <c r="B683" s="1" t="s">
        <v>754</v>
      </c>
      <c r="C683" s="60">
        <v>45877</v>
      </c>
      <c r="D683" s="1" t="s">
        <v>130</v>
      </c>
      <c r="E683" s="1" t="s">
        <v>909</v>
      </c>
      <c r="F683" s="1">
        <v>1996</v>
      </c>
      <c r="G683" s="1" t="s">
        <v>62</v>
      </c>
      <c r="H683" s="1" t="s">
        <v>147</v>
      </c>
      <c r="I683" s="1">
        <v>54.19</v>
      </c>
      <c r="J683" s="1">
        <v>7.9</v>
      </c>
      <c r="K683" s="1">
        <v>1974</v>
      </c>
      <c r="L683" s="1">
        <v>1994</v>
      </c>
      <c r="M683" s="1">
        <v>21</v>
      </c>
      <c r="N683" s="1" t="s">
        <v>30</v>
      </c>
      <c r="O683" s="1" t="s">
        <v>205</v>
      </c>
      <c r="P683" s="1" t="s">
        <v>208</v>
      </c>
      <c r="Q683" s="1" t="s">
        <v>240</v>
      </c>
      <c r="V683" s="1" t="s">
        <v>40</v>
      </c>
      <c r="Y683" s="1" t="s">
        <v>694</v>
      </c>
      <c r="AB683" s="1" t="s">
        <v>689</v>
      </c>
      <c r="AE683" s="1" t="s">
        <v>778</v>
      </c>
    </row>
    <row r="684" spans="1:31">
      <c r="A684" s="1" t="s">
        <v>688</v>
      </c>
      <c r="B684" s="1" t="s">
        <v>754</v>
      </c>
      <c r="C684" s="60">
        <v>45877</v>
      </c>
      <c r="D684" s="1" t="s">
        <v>130</v>
      </c>
      <c r="E684" s="1" t="s">
        <v>909</v>
      </c>
      <c r="F684" s="1">
        <v>1996</v>
      </c>
      <c r="G684" s="1" t="s">
        <v>62</v>
      </c>
      <c r="H684" s="1" t="s">
        <v>147</v>
      </c>
      <c r="I684" s="1">
        <v>54.19</v>
      </c>
      <c r="J684" s="1">
        <v>7.9</v>
      </c>
      <c r="K684" s="1">
        <v>1974</v>
      </c>
      <c r="L684" s="1">
        <v>1994</v>
      </c>
      <c r="M684" s="1">
        <v>21</v>
      </c>
      <c r="N684" s="1" t="s">
        <v>30</v>
      </c>
      <c r="O684" s="1" t="s">
        <v>205</v>
      </c>
      <c r="P684" s="1" t="s">
        <v>208</v>
      </c>
      <c r="Q684" s="1" t="s">
        <v>252</v>
      </c>
      <c r="V684" s="1" t="s">
        <v>40</v>
      </c>
      <c r="Y684" s="1" t="s">
        <v>694</v>
      </c>
      <c r="AB684" s="1" t="s">
        <v>689</v>
      </c>
      <c r="AE684" s="1" t="s">
        <v>778</v>
      </c>
    </row>
    <row r="685" spans="1:31">
      <c r="A685" s="1" t="s">
        <v>688</v>
      </c>
      <c r="B685" s="1" t="s">
        <v>754</v>
      </c>
      <c r="C685" s="60">
        <v>45877</v>
      </c>
      <c r="D685" s="1" t="s">
        <v>130</v>
      </c>
      <c r="E685" s="1" t="s">
        <v>909</v>
      </c>
      <c r="F685" s="1">
        <v>1996</v>
      </c>
      <c r="G685" s="1" t="s">
        <v>62</v>
      </c>
      <c r="H685" s="1" t="s">
        <v>147</v>
      </c>
      <c r="I685" s="1">
        <v>54.19</v>
      </c>
      <c r="J685" s="1">
        <v>7.9</v>
      </c>
      <c r="K685" s="1">
        <v>1974</v>
      </c>
      <c r="L685" s="1">
        <v>1994</v>
      </c>
      <c r="M685" s="1">
        <v>21</v>
      </c>
      <c r="N685" s="1" t="s">
        <v>30</v>
      </c>
      <c r="O685" s="1" t="s">
        <v>205</v>
      </c>
      <c r="P685" s="1" t="s">
        <v>208</v>
      </c>
      <c r="Q685" s="1" t="s">
        <v>245</v>
      </c>
      <c r="V685" s="1" t="s">
        <v>40</v>
      </c>
      <c r="Y685" s="1" t="s">
        <v>694</v>
      </c>
      <c r="AB685" s="1" t="s">
        <v>689</v>
      </c>
      <c r="AE685" s="1" t="s">
        <v>778</v>
      </c>
    </row>
    <row r="686" spans="1:31">
      <c r="A686" s="1" t="s">
        <v>688</v>
      </c>
      <c r="B686" s="1" t="s">
        <v>754</v>
      </c>
      <c r="C686" s="60">
        <v>45877</v>
      </c>
      <c r="D686" s="1" t="s">
        <v>130</v>
      </c>
      <c r="E686" s="1" t="s">
        <v>909</v>
      </c>
      <c r="F686" s="1">
        <v>1996</v>
      </c>
      <c r="G686" s="1" t="s">
        <v>62</v>
      </c>
      <c r="H686" s="1" t="s">
        <v>147</v>
      </c>
      <c r="I686" s="1">
        <v>54.19</v>
      </c>
      <c r="J686" s="1">
        <v>7.9</v>
      </c>
      <c r="K686" s="1">
        <v>1974</v>
      </c>
      <c r="L686" s="1">
        <v>1994</v>
      </c>
      <c r="M686" s="1">
        <v>21</v>
      </c>
      <c r="N686" s="1" t="s">
        <v>30</v>
      </c>
      <c r="O686" s="1" t="s">
        <v>205</v>
      </c>
      <c r="P686" s="1" t="s">
        <v>1857</v>
      </c>
      <c r="Q686" s="1" t="s">
        <v>239</v>
      </c>
      <c r="V686" s="1" t="s">
        <v>40</v>
      </c>
      <c r="Y686" s="1" t="s">
        <v>694</v>
      </c>
      <c r="AB686" s="1" t="s">
        <v>689</v>
      </c>
      <c r="AE686" s="1" t="s">
        <v>778</v>
      </c>
    </row>
    <row r="687" spans="1:31">
      <c r="A687" s="1" t="s">
        <v>688</v>
      </c>
      <c r="B687" s="1" t="s">
        <v>754</v>
      </c>
      <c r="C687" s="60">
        <v>45877</v>
      </c>
      <c r="D687" s="1" t="s">
        <v>130</v>
      </c>
      <c r="E687" s="1" t="s">
        <v>909</v>
      </c>
      <c r="F687" s="1">
        <v>1996</v>
      </c>
      <c r="G687" s="1" t="s">
        <v>62</v>
      </c>
      <c r="H687" s="1" t="s">
        <v>147</v>
      </c>
      <c r="I687" s="1">
        <v>54.19</v>
      </c>
      <c r="J687" s="1">
        <v>7.9</v>
      </c>
      <c r="K687" s="1">
        <v>1974</v>
      </c>
      <c r="L687" s="1">
        <v>1994</v>
      </c>
      <c r="M687" s="1">
        <v>21</v>
      </c>
      <c r="N687" s="1" t="s">
        <v>30</v>
      </c>
      <c r="O687" s="1" t="s">
        <v>205</v>
      </c>
      <c r="P687" s="1" t="s">
        <v>964</v>
      </c>
      <c r="Q687" s="1" t="s">
        <v>241</v>
      </c>
      <c r="V687" s="1" t="s">
        <v>40</v>
      </c>
      <c r="Y687" s="1" t="s">
        <v>694</v>
      </c>
      <c r="AB687" s="1" t="s">
        <v>689</v>
      </c>
      <c r="AE687" s="1" t="s">
        <v>778</v>
      </c>
    </row>
    <row r="688" spans="1:31">
      <c r="A688" s="1" t="s">
        <v>688</v>
      </c>
      <c r="B688" s="1" t="s">
        <v>754</v>
      </c>
      <c r="C688" s="60">
        <v>45877</v>
      </c>
      <c r="D688" s="1" t="s">
        <v>130</v>
      </c>
      <c r="E688" s="1" t="s">
        <v>909</v>
      </c>
      <c r="F688" s="1">
        <v>1996</v>
      </c>
      <c r="G688" s="1" t="s">
        <v>62</v>
      </c>
      <c r="H688" s="1" t="s">
        <v>147</v>
      </c>
      <c r="I688" s="1">
        <v>54.19</v>
      </c>
      <c r="J688" s="1">
        <v>7.9</v>
      </c>
      <c r="K688" s="1">
        <v>1974</v>
      </c>
      <c r="L688" s="1">
        <v>1994</v>
      </c>
      <c r="M688" s="1">
        <v>21</v>
      </c>
      <c r="N688" s="1" t="s">
        <v>30</v>
      </c>
      <c r="O688" s="1" t="s">
        <v>205</v>
      </c>
      <c r="P688" s="1" t="s">
        <v>964</v>
      </c>
      <c r="Q688" s="1" t="s">
        <v>243</v>
      </c>
      <c r="V688" s="1" t="s">
        <v>40</v>
      </c>
      <c r="Y688" s="1" t="s">
        <v>694</v>
      </c>
      <c r="AB688" s="1" t="s">
        <v>689</v>
      </c>
      <c r="AE688" s="1" t="s">
        <v>778</v>
      </c>
    </row>
    <row r="689" spans="1:31">
      <c r="A689" s="1" t="s">
        <v>688</v>
      </c>
      <c r="B689" s="1" t="s">
        <v>754</v>
      </c>
      <c r="C689" s="60">
        <v>45877</v>
      </c>
      <c r="D689" s="1" t="s">
        <v>130</v>
      </c>
      <c r="E689" s="1" t="s">
        <v>909</v>
      </c>
      <c r="F689" s="1">
        <v>1996</v>
      </c>
      <c r="G689" s="1" t="s">
        <v>62</v>
      </c>
      <c r="H689" s="1" t="s">
        <v>147</v>
      </c>
      <c r="I689" s="1">
        <v>54.19</v>
      </c>
      <c r="J689" s="1">
        <v>7.9</v>
      </c>
      <c r="K689" s="1">
        <v>1974</v>
      </c>
      <c r="L689" s="1">
        <v>1994</v>
      </c>
      <c r="M689" s="1">
        <v>21</v>
      </c>
      <c r="N689" s="1" t="s">
        <v>30</v>
      </c>
      <c r="O689" s="1" t="s">
        <v>205</v>
      </c>
      <c r="P689" s="1" t="s">
        <v>788</v>
      </c>
      <c r="Q689" s="1" t="s">
        <v>853</v>
      </c>
      <c r="V689" s="1" t="s">
        <v>40</v>
      </c>
      <c r="Y689" s="1" t="s">
        <v>694</v>
      </c>
      <c r="AB689" s="1" t="s">
        <v>689</v>
      </c>
      <c r="AE689" s="1" t="s">
        <v>778</v>
      </c>
    </row>
    <row r="690" spans="1:31">
      <c r="A690" s="1" t="s">
        <v>688</v>
      </c>
      <c r="B690" s="1" t="s">
        <v>754</v>
      </c>
      <c r="C690" s="60">
        <v>45877</v>
      </c>
      <c r="D690" s="1" t="s">
        <v>130</v>
      </c>
      <c r="E690" s="1" t="s">
        <v>909</v>
      </c>
      <c r="F690" s="1">
        <v>1996</v>
      </c>
      <c r="G690" s="1" t="s">
        <v>62</v>
      </c>
      <c r="H690" s="1" t="s">
        <v>147</v>
      </c>
      <c r="I690" s="1">
        <v>54.19</v>
      </c>
      <c r="J690" s="1">
        <v>7.9</v>
      </c>
      <c r="K690" s="1">
        <v>1974</v>
      </c>
      <c r="L690" s="1">
        <v>1994</v>
      </c>
      <c r="M690" s="1">
        <v>21</v>
      </c>
      <c r="N690" s="1" t="s">
        <v>30</v>
      </c>
      <c r="O690" s="1" t="s">
        <v>205</v>
      </c>
      <c r="P690" s="1" t="s">
        <v>788</v>
      </c>
      <c r="Q690" s="1" t="s">
        <v>854</v>
      </c>
      <c r="V690" s="1" t="s">
        <v>40</v>
      </c>
      <c r="Y690" s="1" t="s">
        <v>694</v>
      </c>
      <c r="AB690" s="1" t="s">
        <v>689</v>
      </c>
      <c r="AE690" s="1" t="s">
        <v>778</v>
      </c>
    </row>
    <row r="691" spans="1:31">
      <c r="A691" s="1" t="s">
        <v>688</v>
      </c>
      <c r="B691" s="1" t="s">
        <v>754</v>
      </c>
      <c r="C691" s="60">
        <v>45877</v>
      </c>
      <c r="D691" s="1" t="s">
        <v>130</v>
      </c>
      <c r="E691" s="1" t="s">
        <v>909</v>
      </c>
      <c r="F691" s="1">
        <v>1996</v>
      </c>
      <c r="G691" s="1" t="s">
        <v>62</v>
      </c>
      <c r="H691" s="1" t="s">
        <v>147</v>
      </c>
      <c r="I691" s="1">
        <v>54.19</v>
      </c>
      <c r="J691" s="1">
        <v>7.9</v>
      </c>
      <c r="K691" s="1">
        <v>1974</v>
      </c>
      <c r="L691" s="1">
        <v>1994</v>
      </c>
      <c r="M691" s="1">
        <v>21</v>
      </c>
      <c r="N691" s="1" t="s">
        <v>30</v>
      </c>
      <c r="O691" s="1" t="s">
        <v>205</v>
      </c>
      <c r="P691" s="1" t="s">
        <v>964</v>
      </c>
      <c r="Q691" s="1" t="s">
        <v>247</v>
      </c>
      <c r="V691" s="1" t="s">
        <v>40</v>
      </c>
      <c r="Y691" s="1" t="s">
        <v>694</v>
      </c>
      <c r="AB691" s="1" t="s">
        <v>689</v>
      </c>
      <c r="AE691" s="1" t="s">
        <v>778</v>
      </c>
    </row>
    <row r="692" spans="1:31">
      <c r="A692" s="1" t="s">
        <v>688</v>
      </c>
      <c r="B692" s="1" t="s">
        <v>754</v>
      </c>
      <c r="C692" s="60">
        <v>45877</v>
      </c>
      <c r="D692" s="1" t="s">
        <v>130</v>
      </c>
      <c r="E692" s="1" t="s">
        <v>909</v>
      </c>
      <c r="F692" s="1">
        <v>1996</v>
      </c>
      <c r="G692" s="1" t="s">
        <v>62</v>
      </c>
      <c r="H692" s="1" t="s">
        <v>147</v>
      </c>
      <c r="I692" s="1">
        <v>54.19</v>
      </c>
      <c r="J692" s="1">
        <v>7.9</v>
      </c>
      <c r="K692" s="1">
        <v>1974</v>
      </c>
      <c r="L692" s="1">
        <v>1994</v>
      </c>
      <c r="M692" s="1">
        <v>21</v>
      </c>
      <c r="N692" s="1" t="s">
        <v>30</v>
      </c>
      <c r="O692" s="1" t="s">
        <v>205</v>
      </c>
      <c r="P692" s="1" t="s">
        <v>964</v>
      </c>
      <c r="Q692" s="1" t="s">
        <v>250</v>
      </c>
      <c r="V692" s="1" t="s">
        <v>40</v>
      </c>
      <c r="Y692" s="1" t="s">
        <v>694</v>
      </c>
      <c r="AB692" s="1" t="s">
        <v>689</v>
      </c>
      <c r="AE692" s="1" t="s">
        <v>778</v>
      </c>
    </row>
    <row r="693" spans="1:31">
      <c r="A693" s="1" t="s">
        <v>688</v>
      </c>
      <c r="B693" s="1" t="s">
        <v>754</v>
      </c>
      <c r="C693" s="60">
        <v>45877</v>
      </c>
      <c r="D693" s="1" t="s">
        <v>130</v>
      </c>
      <c r="E693" s="1" t="s">
        <v>909</v>
      </c>
      <c r="F693" s="1">
        <v>1996</v>
      </c>
      <c r="G693" s="1" t="s">
        <v>62</v>
      </c>
      <c r="H693" s="1" t="s">
        <v>147</v>
      </c>
      <c r="I693" s="1">
        <v>54.19</v>
      </c>
      <c r="J693" s="1">
        <v>7.9</v>
      </c>
      <c r="K693" s="1">
        <v>1974</v>
      </c>
      <c r="L693" s="1">
        <v>1994</v>
      </c>
      <c r="M693" s="1">
        <v>21</v>
      </c>
      <c r="N693" s="1" t="s">
        <v>30</v>
      </c>
      <c r="O693" s="1" t="s">
        <v>205</v>
      </c>
      <c r="P693" s="1" t="s">
        <v>964</v>
      </c>
      <c r="Q693" s="1" t="s">
        <v>261</v>
      </c>
      <c r="V693" s="1" t="s">
        <v>40</v>
      </c>
      <c r="Y693" s="1" t="s">
        <v>41</v>
      </c>
      <c r="AB693" s="1" t="s">
        <v>689</v>
      </c>
      <c r="AE693" s="1" t="s">
        <v>778</v>
      </c>
    </row>
    <row r="694" spans="1:31">
      <c r="A694" s="1" t="s">
        <v>688</v>
      </c>
      <c r="B694" s="1" t="s">
        <v>754</v>
      </c>
      <c r="C694" s="60">
        <v>45877</v>
      </c>
      <c r="D694" s="1" t="s">
        <v>130</v>
      </c>
      <c r="E694" s="1" t="s">
        <v>909</v>
      </c>
      <c r="F694" s="1">
        <v>1996</v>
      </c>
      <c r="G694" s="1" t="s">
        <v>62</v>
      </c>
      <c r="H694" s="1" t="s">
        <v>147</v>
      </c>
      <c r="I694" s="1">
        <v>54.19</v>
      </c>
      <c r="J694" s="1">
        <v>7.9</v>
      </c>
      <c r="K694" s="1">
        <v>1975</v>
      </c>
      <c r="L694" s="1">
        <v>1993</v>
      </c>
      <c r="M694" s="1">
        <v>19</v>
      </c>
      <c r="N694" s="1" t="s">
        <v>30</v>
      </c>
      <c r="O694" s="1" t="s">
        <v>205</v>
      </c>
      <c r="P694" s="1" t="s">
        <v>788</v>
      </c>
      <c r="Q694" s="1" t="s">
        <v>40</v>
      </c>
      <c r="V694" s="1">
        <v>-26.32</v>
      </c>
      <c r="Y694" s="1" t="s">
        <v>694</v>
      </c>
      <c r="AE694" s="1" t="s">
        <v>778</v>
      </c>
    </row>
    <row r="695" spans="1:31">
      <c r="A695" t="s">
        <v>688</v>
      </c>
      <c r="B695"/>
      <c r="C695" s="60">
        <v>45889</v>
      </c>
      <c r="D695" s="1" t="s">
        <v>130</v>
      </c>
      <c r="E695" s="1" t="s">
        <v>751</v>
      </c>
      <c r="F695">
        <v>1996</v>
      </c>
      <c r="G695" t="s">
        <v>62</v>
      </c>
      <c r="H695" t="s">
        <v>147</v>
      </c>
      <c r="I695" s="21">
        <v>54.19</v>
      </c>
      <c r="J695" s="21">
        <v>7.9</v>
      </c>
      <c r="K695" s="21">
        <v>1974</v>
      </c>
      <c r="L695" s="21">
        <v>1994</v>
      </c>
      <c r="M695" s="21">
        <v>21</v>
      </c>
      <c r="N695" t="s">
        <v>623</v>
      </c>
      <c r="O695" t="s">
        <v>152</v>
      </c>
      <c r="P695" t="s">
        <v>1078</v>
      </c>
      <c r="Q695" t="s">
        <v>350</v>
      </c>
      <c r="R695" s="25"/>
      <c r="S695" s="25"/>
      <c r="T695" s="25"/>
      <c r="U695" s="25"/>
      <c r="V695" t="s">
        <v>40</v>
      </c>
      <c r="W695"/>
      <c r="X695"/>
      <c r="Y695" t="s">
        <v>694</v>
      </c>
      <c r="Z695"/>
      <c r="AA695"/>
      <c r="AB695" t="s">
        <v>689</v>
      </c>
      <c r="AC695"/>
      <c r="AD695"/>
    </row>
    <row r="696" spans="1:31">
      <c r="A696" s="1" t="s">
        <v>688</v>
      </c>
      <c r="B696" s="1" t="s">
        <v>754</v>
      </c>
      <c r="C696" s="60">
        <v>45874</v>
      </c>
      <c r="D696" s="1" t="s">
        <v>130</v>
      </c>
      <c r="E696" s="1" t="s">
        <v>74</v>
      </c>
      <c r="F696" s="1">
        <v>1996</v>
      </c>
      <c r="G696" s="1" t="s">
        <v>62</v>
      </c>
      <c r="H696" s="1" t="s">
        <v>147</v>
      </c>
      <c r="I696" s="1">
        <v>54.19</v>
      </c>
      <c r="J696" s="1">
        <v>7.9</v>
      </c>
      <c r="K696" s="1">
        <v>1974</v>
      </c>
      <c r="L696" s="1">
        <v>1994</v>
      </c>
      <c r="M696" s="1">
        <v>21</v>
      </c>
      <c r="N696" s="1" t="s">
        <v>30</v>
      </c>
      <c r="O696" s="1" t="s">
        <v>199</v>
      </c>
      <c r="P696" s="1" t="s">
        <v>1882</v>
      </c>
      <c r="Q696" s="1" t="s">
        <v>238</v>
      </c>
      <c r="R696" s="1" t="s">
        <v>235</v>
      </c>
      <c r="S696" s="1" t="s">
        <v>71</v>
      </c>
      <c r="T696" s="1" t="s">
        <v>40</v>
      </c>
      <c r="U696" s="1" t="s">
        <v>40</v>
      </c>
      <c r="V696" s="1" t="s">
        <v>40</v>
      </c>
      <c r="X696" s="1" t="s">
        <v>40</v>
      </c>
      <c r="Y696" s="1" t="s">
        <v>694</v>
      </c>
      <c r="Z696" s="1" t="s">
        <v>40</v>
      </c>
      <c r="AA696" s="1" t="s">
        <v>40</v>
      </c>
      <c r="AB696" s="1" t="s">
        <v>689</v>
      </c>
      <c r="AC696" s="1" t="s">
        <v>44</v>
      </c>
      <c r="AD696" s="1" t="s">
        <v>40</v>
      </c>
      <c r="AE696" s="1" t="s">
        <v>40</v>
      </c>
    </row>
    <row r="697" spans="1:31">
      <c r="A697" s="1" t="s">
        <v>1874</v>
      </c>
      <c r="B697" s="1" t="s">
        <v>2083</v>
      </c>
    </row>
    <row r="698" spans="1:31">
      <c r="B698" s="1" t="s">
        <v>2084</v>
      </c>
    </row>
    <row r="699" spans="1:31">
      <c r="B699" s="1" t="s">
        <v>2085</v>
      </c>
    </row>
    <row r="700" spans="1:31">
      <c r="B700" s="1" t="s">
        <v>2086</v>
      </c>
      <c r="C700" s="1" t="s">
        <v>1741</v>
      </c>
    </row>
    <row r="702" spans="1:31">
      <c r="B702" s="47"/>
      <c r="C702" s="1" t="s">
        <v>1741</v>
      </c>
    </row>
    <row r="703" spans="1:31">
      <c r="A703" s="1" t="s">
        <v>1874</v>
      </c>
      <c r="B703" s="47"/>
      <c r="C703" s="1" t="s">
        <v>1741</v>
      </c>
    </row>
    <row r="704" spans="1:31">
      <c r="B704" s="47"/>
      <c r="C704" s="1" t="s">
        <v>1741</v>
      </c>
    </row>
    <row r="705" spans="1:15">
      <c r="B705" s="47"/>
      <c r="C705" s="1" t="s">
        <v>1741</v>
      </c>
    </row>
    <row r="706" spans="1:15">
      <c r="C706" s="1" t="s">
        <v>1741</v>
      </c>
    </row>
    <row r="707" spans="1:15">
      <c r="B707" s="47"/>
      <c r="C707" s="1" t="s">
        <v>1741</v>
      </c>
    </row>
    <row r="710" spans="1:15">
      <c r="A710"/>
    </row>
    <row r="711" spans="1:15">
      <c r="A711"/>
    </row>
    <row r="712" spans="1:15">
      <c r="A712"/>
    </row>
    <row r="713" spans="1:15">
      <c r="A713"/>
    </row>
    <row r="714" spans="1:15">
      <c r="A714" s="3"/>
      <c r="M714"/>
      <c r="N714"/>
      <c r="O714"/>
    </row>
    <row r="715" spans="1:15">
      <c r="A715" s="65"/>
    </row>
    <row r="716" spans="1:15">
      <c r="A716" s="66"/>
    </row>
    <row r="717" spans="1:15">
      <c r="A717" s="55"/>
    </row>
    <row r="718" spans="1:15">
      <c r="A718" s="66"/>
    </row>
    <row r="719" spans="1:15">
      <c r="A719" s="67"/>
    </row>
    <row r="720" spans="1:15">
      <c r="A720" s="66"/>
    </row>
    <row r="721" spans="1:15">
      <c r="A721" s="67"/>
    </row>
    <row r="722" spans="1:15">
      <c r="A722"/>
    </row>
    <row r="723" spans="1:15">
      <c r="A723"/>
    </row>
    <row r="724" spans="1:15">
      <c r="A724"/>
      <c r="O724"/>
    </row>
    <row r="725" spans="1:15">
      <c r="A725" s="3"/>
      <c r="M725" s="47"/>
      <c r="O725"/>
    </row>
    <row r="726" spans="1:15">
      <c r="A726" s="47"/>
      <c r="O726"/>
    </row>
    <row r="727" spans="1:15">
      <c r="A727" s="66"/>
      <c r="O727"/>
    </row>
    <row r="728" spans="1:15">
      <c r="A728" s="67"/>
      <c r="M728" s="47"/>
      <c r="O728"/>
    </row>
    <row r="729" spans="1:15">
      <c r="A729" s="66"/>
      <c r="M729" s="47"/>
      <c r="O729"/>
    </row>
    <row r="730" spans="1:15">
      <c r="A730" s="67"/>
      <c r="M730" s="47"/>
      <c r="O730"/>
    </row>
    <row r="731" spans="1:15">
      <c r="A731" s="66"/>
      <c r="M731" s="47"/>
      <c r="O731"/>
    </row>
    <row r="732" spans="1:15">
      <c r="A732" s="67"/>
      <c r="M732" s="47"/>
      <c r="O732"/>
    </row>
    <row r="733" spans="1:15">
      <c r="A733"/>
      <c r="M733" s="47"/>
      <c r="O733"/>
    </row>
    <row r="734" spans="1:15">
      <c r="A734"/>
      <c r="M734" s="47"/>
      <c r="O734"/>
    </row>
    <row r="735" spans="1:15">
      <c r="A735"/>
    </row>
    <row r="736" spans="1:15">
      <c r="A736" s="3"/>
    </row>
    <row r="737" spans="1:1">
      <c r="A737" s="47"/>
    </row>
    <row r="738" spans="1:1">
      <c r="A738" s="66"/>
    </row>
    <row r="739" spans="1:1">
      <c r="A739" s="67"/>
    </row>
    <row r="740" spans="1:1">
      <c r="A740" s="66"/>
    </row>
    <row r="741" spans="1:1">
      <c r="A741" s="67"/>
    </row>
    <row r="742" spans="1:1">
      <c r="A742" s="66"/>
    </row>
    <row r="743" spans="1:1">
      <c r="A743" s="67"/>
    </row>
    <row r="744" spans="1:1">
      <c r="A744"/>
    </row>
    <row r="745" spans="1:1">
      <c r="A745"/>
    </row>
    <row r="746" spans="1:1">
      <c r="A746"/>
    </row>
    <row r="747" spans="1:1">
      <c r="A747" s="3"/>
    </row>
    <row r="748" spans="1:1">
      <c r="A748" s="47"/>
    </row>
    <row r="749" spans="1:1">
      <c r="A749" s="66"/>
    </row>
    <row r="750" spans="1:1">
      <c r="A750" s="67"/>
    </row>
    <row r="751" spans="1:1">
      <c r="A751" s="66"/>
    </row>
    <row r="752" spans="1:1">
      <c r="A752" s="67"/>
    </row>
    <row r="753" spans="1:1">
      <c r="A753" s="66"/>
    </row>
    <row r="754" spans="1:1">
      <c r="A754" s="67"/>
    </row>
    <row r="755" spans="1:1">
      <c r="A755"/>
    </row>
    <row r="756" spans="1:1">
      <c r="A756"/>
    </row>
    <row r="757" spans="1:1">
      <c r="A757"/>
    </row>
    <row r="758" spans="1:1">
      <c r="A758" s="3"/>
    </row>
    <row r="759" spans="1:1">
      <c r="A759" s="47"/>
    </row>
    <row r="760" spans="1:1">
      <c r="A760" s="66"/>
    </row>
    <row r="761" spans="1:1">
      <c r="A761" s="67"/>
    </row>
    <row r="762" spans="1:1">
      <c r="A762" s="66"/>
    </row>
    <row r="763" spans="1:1">
      <c r="A763" s="67"/>
    </row>
    <row r="764" spans="1:1">
      <c r="A764" s="66"/>
    </row>
    <row r="765" spans="1:1">
      <c r="A765" s="67"/>
    </row>
    <row r="766" spans="1:1">
      <c r="A766"/>
    </row>
    <row r="767" spans="1:1">
      <c r="A767"/>
    </row>
    <row r="768" spans="1:1">
      <c r="A768"/>
    </row>
    <row r="769" spans="1:1">
      <c r="A769" s="3"/>
    </row>
    <row r="770" spans="1:1">
      <c r="A770" s="47"/>
    </row>
    <row r="771" spans="1:1">
      <c r="A771" s="66"/>
    </row>
    <row r="772" spans="1:1">
      <c r="A772" s="67"/>
    </row>
    <row r="773" spans="1:1">
      <c r="A773" s="66"/>
    </row>
    <row r="774" spans="1:1">
      <c r="A774" s="67"/>
    </row>
    <row r="775" spans="1:1">
      <c r="A775" s="66"/>
    </row>
    <row r="776" spans="1:1">
      <c r="A776" s="67"/>
    </row>
    <row r="777" spans="1:1">
      <c r="A777"/>
    </row>
    <row r="778" spans="1:1">
      <c r="A778"/>
    </row>
    <row r="779" spans="1:1">
      <c r="A779"/>
    </row>
    <row r="780" spans="1:1">
      <c r="A780" s="3"/>
    </row>
    <row r="781" spans="1:1">
      <c r="A781" s="47"/>
    </row>
    <row r="782" spans="1:1">
      <c r="A782" s="66"/>
    </row>
    <row r="783" spans="1:1">
      <c r="A783" s="67"/>
    </row>
    <row r="784" spans="1:1">
      <c r="A784" s="66"/>
    </row>
    <row r="785" spans="1:1">
      <c r="A785" s="67"/>
    </row>
    <row r="786" spans="1:1">
      <c r="A786" s="66"/>
    </row>
    <row r="787" spans="1:1">
      <c r="A787" s="67"/>
    </row>
    <row r="788" spans="1:1">
      <c r="A788"/>
    </row>
    <row r="789" spans="1:1">
      <c r="A789"/>
    </row>
    <row r="790" spans="1:1">
      <c r="A790"/>
    </row>
    <row r="791" spans="1:1">
      <c r="A791" s="3"/>
    </row>
    <row r="792" spans="1:1">
      <c r="A792" s="47"/>
    </row>
    <row r="793" spans="1:1">
      <c r="A793" s="66"/>
    </row>
    <row r="794" spans="1:1">
      <c r="A794" s="67"/>
    </row>
    <row r="795" spans="1:1">
      <c r="A795" s="66"/>
    </row>
    <row r="796" spans="1:1">
      <c r="A796" s="67"/>
    </row>
    <row r="797" spans="1:1">
      <c r="A797" s="66"/>
    </row>
    <row r="798" spans="1:1">
      <c r="A798" s="67"/>
    </row>
    <row r="799" spans="1:1">
      <c r="A799"/>
    </row>
    <row r="800" spans="1:1">
      <c r="A800"/>
    </row>
    <row r="801" spans="1:1">
      <c r="A801"/>
    </row>
    <row r="802" spans="1:1">
      <c r="A802"/>
    </row>
    <row r="803" spans="1:1">
      <c r="A803" s="66"/>
    </row>
    <row r="804" spans="1:1">
      <c r="A804" s="66"/>
    </row>
    <row r="805" spans="1:1">
      <c r="A805" s="66"/>
    </row>
    <row r="806" spans="1:1">
      <c r="A806" s="66"/>
    </row>
    <row r="814" spans="1:1">
      <c r="A814"/>
    </row>
    <row r="815" spans="1:1">
      <c r="A815"/>
    </row>
    <row r="816" spans="1:1">
      <c r="A816"/>
    </row>
    <row r="817" spans="1:1">
      <c r="A817"/>
    </row>
    <row r="818" spans="1:1" ht="17.5">
      <c r="A818" s="68"/>
    </row>
    <row r="819" spans="1:1">
      <c r="A819"/>
    </row>
    <row r="820" spans="1:1">
      <c r="A820" s="3"/>
    </row>
    <row r="821" spans="1:1">
      <c r="A821" s="65"/>
    </row>
    <row r="822" spans="1:1">
      <c r="A822" s="66"/>
    </row>
    <row r="823" spans="1:1">
      <c r="A823" s="55"/>
    </row>
    <row r="824" spans="1:1">
      <c r="A824" s="66"/>
    </row>
    <row r="825" spans="1:1">
      <c r="A825" s="67"/>
    </row>
    <row r="826" spans="1:1">
      <c r="A826" s="66"/>
    </row>
    <row r="827" spans="1:1">
      <c r="A827" s="55"/>
    </row>
    <row r="828" spans="1:1">
      <c r="A828"/>
    </row>
    <row r="829" spans="1:1">
      <c r="A829"/>
    </row>
    <row r="830" spans="1:1">
      <c r="A830"/>
    </row>
    <row r="831" spans="1:1">
      <c r="A831"/>
    </row>
    <row r="832" spans="1:1">
      <c r="A832"/>
    </row>
    <row r="833" spans="1:1" ht="17.5">
      <c r="A833" s="68"/>
    </row>
    <row r="834" spans="1:1">
      <c r="A834"/>
    </row>
    <row r="835" spans="1:1">
      <c r="A835" s="3"/>
    </row>
    <row r="836" spans="1:1">
      <c r="A836" s="65"/>
    </row>
    <row r="837" spans="1:1">
      <c r="A837" s="66"/>
    </row>
    <row r="838" spans="1:1">
      <c r="A838" s="55"/>
    </row>
    <row r="839" spans="1:1">
      <c r="A839" s="66"/>
    </row>
    <row r="840" spans="1:1">
      <c r="A840" s="67"/>
    </row>
    <row r="841" spans="1:1">
      <c r="A841" s="66"/>
    </row>
    <row r="842" spans="1:1">
      <c r="A842" s="55"/>
    </row>
    <row r="843" spans="1:1">
      <c r="A843"/>
    </row>
    <row r="844" spans="1:1">
      <c r="A844"/>
    </row>
    <row r="845" spans="1:1">
      <c r="A845"/>
    </row>
    <row r="846" spans="1:1">
      <c r="A846"/>
    </row>
    <row r="847" spans="1:1">
      <c r="A847"/>
    </row>
    <row r="848" spans="1:1" ht="17.5">
      <c r="A848" s="68"/>
    </row>
    <row r="849" spans="1:1">
      <c r="A849"/>
    </row>
    <row r="850" spans="1:1">
      <c r="A850" s="3"/>
    </row>
    <row r="851" spans="1:1">
      <c r="A851" s="65"/>
    </row>
    <row r="852" spans="1:1">
      <c r="A852" s="66"/>
    </row>
    <row r="853" spans="1:1">
      <c r="A853" s="55"/>
    </row>
    <row r="854" spans="1:1">
      <c r="A854" s="66"/>
    </row>
    <row r="855" spans="1:1">
      <c r="A855" s="55"/>
    </row>
    <row r="856" spans="1:1">
      <c r="A856" s="66"/>
    </row>
    <row r="857" spans="1:1">
      <c r="A857" s="55"/>
    </row>
    <row r="858" spans="1:1">
      <c r="A858"/>
    </row>
    <row r="859" spans="1:1">
      <c r="A859"/>
    </row>
    <row r="860" spans="1:1">
      <c r="A860"/>
    </row>
    <row r="861" spans="1:1">
      <c r="A861"/>
    </row>
    <row r="862" spans="1:1">
      <c r="A862"/>
    </row>
    <row r="863" spans="1:1" ht="17.5">
      <c r="A863" s="68"/>
    </row>
    <row r="864" spans="1:1">
      <c r="A864"/>
    </row>
    <row r="865" spans="1:1">
      <c r="A865" s="3"/>
    </row>
    <row r="866" spans="1:1">
      <c r="A866" s="65"/>
    </row>
    <row r="867" spans="1:1">
      <c r="A867" s="66"/>
    </row>
    <row r="868" spans="1:1">
      <c r="A868" s="55"/>
    </row>
    <row r="869" spans="1:1">
      <c r="A869" s="66"/>
    </row>
    <row r="870" spans="1:1">
      <c r="A870" s="67"/>
    </row>
    <row r="871" spans="1:1">
      <c r="A871" s="66"/>
    </row>
    <row r="872" spans="1:1">
      <c r="A872" s="55"/>
    </row>
    <row r="873" spans="1:1">
      <c r="A873"/>
    </row>
    <row r="874" spans="1:1">
      <c r="A874"/>
    </row>
    <row r="875" spans="1:1">
      <c r="A875"/>
    </row>
    <row r="876" spans="1:1">
      <c r="A876"/>
    </row>
    <row r="877" spans="1:1">
      <c r="A877"/>
    </row>
    <row r="878" spans="1:1" ht="17.5">
      <c r="A878" s="68"/>
    </row>
    <row r="879" spans="1:1">
      <c r="A879"/>
    </row>
    <row r="880" spans="1:1">
      <c r="A880" s="3"/>
    </row>
    <row r="881" spans="1:1">
      <c r="A881" s="65"/>
    </row>
    <row r="882" spans="1:1">
      <c r="A882" s="66"/>
    </row>
    <row r="883" spans="1:1">
      <c r="A883" s="55"/>
    </row>
    <row r="884" spans="1:1">
      <c r="A884" s="66"/>
    </row>
    <row r="885" spans="1:1">
      <c r="A885" s="67"/>
    </row>
    <row r="886" spans="1:1">
      <c r="A886" s="66"/>
    </row>
    <row r="887" spans="1:1">
      <c r="A887" s="55"/>
    </row>
    <row r="888" spans="1:1">
      <c r="A888"/>
    </row>
    <row r="889" spans="1:1">
      <c r="A889"/>
    </row>
    <row r="890" spans="1:1">
      <c r="A890"/>
    </row>
    <row r="891" spans="1:1">
      <c r="A891"/>
    </row>
    <row r="892" spans="1:1">
      <c r="A892"/>
    </row>
    <row r="893" spans="1:1" ht="17.5">
      <c r="A893" s="68"/>
    </row>
    <row r="894" spans="1:1">
      <c r="A894"/>
    </row>
    <row r="895" spans="1:1">
      <c r="A895" s="3"/>
    </row>
    <row r="896" spans="1:1">
      <c r="A896" s="65"/>
    </row>
    <row r="897" spans="1:1">
      <c r="A897" s="66"/>
    </row>
    <row r="898" spans="1:1">
      <c r="A898" s="55"/>
    </row>
    <row r="899" spans="1:1">
      <c r="A899" s="66"/>
    </row>
    <row r="900" spans="1:1">
      <c r="A900" s="67"/>
    </row>
    <row r="901" spans="1:1">
      <c r="A901" s="66"/>
    </row>
    <row r="902" spans="1:1">
      <c r="A902" s="55"/>
    </row>
    <row r="903" spans="1:1">
      <c r="A903"/>
    </row>
    <row r="904" spans="1:1">
      <c r="A904"/>
    </row>
    <row r="905" spans="1:1">
      <c r="A905"/>
    </row>
    <row r="906" spans="1:1">
      <c r="A906"/>
    </row>
    <row r="907" spans="1:1">
      <c r="A907"/>
    </row>
    <row r="908" spans="1:1" ht="17.5">
      <c r="A908" s="68"/>
    </row>
    <row r="909" spans="1:1">
      <c r="A909"/>
    </row>
    <row r="910" spans="1:1">
      <c r="A910"/>
    </row>
    <row r="911" spans="1:1">
      <c r="A911" s="66"/>
    </row>
    <row r="912" spans="1:1">
      <c r="A912" s="55"/>
    </row>
    <row r="913" spans="1:1">
      <c r="A913"/>
    </row>
    <row r="914" spans="1:1">
      <c r="A914"/>
    </row>
    <row r="915" spans="1:1">
      <c r="A915"/>
    </row>
    <row r="916" spans="1:1">
      <c r="A916"/>
    </row>
    <row r="917" spans="1:1">
      <c r="A917"/>
    </row>
    <row r="918" spans="1:1">
      <c r="A918"/>
    </row>
  </sheetData>
  <autoFilter ref="A1:AE714" xr:uid="{201BCF4F-9AA5-4DF6-B2DB-8ADC471A7B25}"/>
  <phoneticPr fontId="5" type="noConversion"/>
  <hyperlinks>
    <hyperlink ref="B189" r:id="rId1" xr:uid="{F3841B71-71EA-4616-BA3A-4FC2F111D374}"/>
    <hyperlink ref="B423" r:id="rId2" xr:uid="{F13526C3-4ED2-4959-AE4F-E14E061890E8}"/>
    <hyperlink ref="B330" r:id="rId3" xr:uid="{A3AE9D99-9753-413C-9CEB-DF1531FA0573}"/>
    <hyperlink ref="B331" r:id="rId4" xr:uid="{B79EE207-D854-43C8-B2FF-536CC68ECFB6}"/>
    <hyperlink ref="B288" r:id="rId5" tooltip="Persistent link using digital object identifier" xr:uid="{D679D4F6-B937-4FA6-A7FD-6E07D6BA5D80}"/>
    <hyperlink ref="B289" r:id="rId6" tooltip="Persistent link using digital object identifier" xr:uid="{F8BF8135-C593-49DA-8132-A1DD95F3F345}"/>
    <hyperlink ref="B44" r:id="rId7" xr:uid="{5F30D767-1BAE-4A9F-842C-393812DBF014}"/>
    <hyperlink ref="B424" r:id="rId8" xr:uid="{A57F0A3E-7D53-4550-91F9-E8D76F10DA7C}"/>
    <hyperlink ref="B422" r:id="rId9" xr:uid="{6F81FE38-75CF-4FDA-A773-2A700E2214B8}"/>
    <hyperlink ref="B14:B66" r:id="rId10" display="https://doi.org/10.1111/ele.14441" xr:uid="{64AEA7EF-F2C6-4805-AC62-6F9F9FAEF0F7}"/>
    <hyperlink ref="B558" r:id="rId11" xr:uid="{B54FE00F-84A2-496E-BBB1-7382671D5A66}"/>
    <hyperlink ref="B332" r:id="rId12" xr:uid="{5B1A1B6E-5089-4A82-B877-018EC83A0E03}"/>
    <hyperlink ref="B245" r:id="rId13" xr:uid="{EAD5C3C2-BDCE-4137-BF7D-CB92B268FE03}"/>
    <hyperlink ref="B2" r:id="rId14" xr:uid="{13249418-5B8D-42C7-B602-B92F7D69D217}"/>
    <hyperlink ref="B418" r:id="rId15" xr:uid="{FDC3B8DA-2DB1-42BA-99C1-44E5DDC55099}"/>
    <hyperlink ref="B253" r:id="rId16" xr:uid="{3DDC4F6E-4334-4089-9BFE-5E9E48D14B31}"/>
    <hyperlink ref="B666" r:id="rId17" xr:uid="{C94D0C82-4564-466E-9809-EB95CEFB9E37}"/>
    <hyperlink ref="B599" r:id="rId18" xr:uid="{134C27D9-F54B-4A41-B7C1-D3A10FC96319}"/>
    <hyperlink ref="B150" r:id="rId19" xr:uid="{B7EC66CC-13E5-4645-AA08-D235C479DC1D}"/>
    <hyperlink ref="B153" r:id="rId20" xr:uid="{8D9F301A-3C2E-4607-B6DA-170A63EB94F9}"/>
    <hyperlink ref="B154" r:id="rId21" display="https://doi.org/10.3354/meps14903" xr:uid="{3EED3AAC-3A78-4154-A419-79029E75A8A2}"/>
    <hyperlink ref="B487" r:id="rId22" tooltip="Persistent link using digital object identifier" xr:uid="{EB9DA4FF-26BF-402B-B856-41083A5AC98D}"/>
    <hyperlink ref="B488" r:id="rId23" tooltip="Persistent link using digital object identifier" xr:uid="{3C42C368-C79D-4FDF-90DB-2849EBC1C062}"/>
    <hyperlink ref="B489" r:id="rId24" tooltip="Persistent link using digital object identifier" xr:uid="{F64E7DF8-6294-4C7C-96B1-FF23989BEB03}"/>
    <hyperlink ref="B491" r:id="rId25" tooltip="Persistent link using digital object identifier" xr:uid="{44749B88-2364-4469-9EAD-B1E07FDEE174}"/>
    <hyperlink ref="B493" r:id="rId26" tooltip="Persistent link using digital object identifier" xr:uid="{7FB506E0-1047-4A56-A78B-72787E019BC2}"/>
    <hyperlink ref="B494" r:id="rId27" tooltip="Persistent link using digital object identifier" xr:uid="{AEA4D79C-3BD1-4CA8-8A41-8E8CEBBF5C61}"/>
    <hyperlink ref="B496" r:id="rId28" tooltip="Persistent link using digital object identifier" xr:uid="{978C29AB-3E6E-4FA2-80A9-6B082B3ADDE0}"/>
    <hyperlink ref="B498" r:id="rId29" tooltip="Persistent link using digital object identifier" xr:uid="{F2E175BD-7238-4011-8308-6250A862C95A}"/>
    <hyperlink ref="B500" r:id="rId30" tooltip="Persistent link using digital object identifier" xr:uid="{0ED9E1CF-974F-4A29-9CF8-DCBA53550C3E}"/>
    <hyperlink ref="B502" r:id="rId31" tooltip="Persistent link using digital object identifier" xr:uid="{D06C4C4D-C76A-4364-9307-E46E0F16A0F2}"/>
    <hyperlink ref="B504" r:id="rId32" tooltip="Persistent link using digital object identifier" xr:uid="{009B4555-F970-46FD-B2A2-AF21B922CADB}"/>
    <hyperlink ref="B540" r:id="rId33" tooltip="Persistent link using digital object identifier" xr:uid="{0111414F-8D20-4730-877F-C1AB09A670AD}"/>
    <hyperlink ref="B507" r:id="rId34" tooltip="Persistent link using digital object identifier" xr:uid="{FBC20E72-795F-464C-A634-0514E8C6AF41}"/>
    <hyperlink ref="B509" r:id="rId35" tooltip="Persistent link using digital object identifier" xr:uid="{12431D5E-A824-4C41-B77B-59743A7F7622}"/>
    <hyperlink ref="B511" r:id="rId36" tooltip="Persistent link using digital object identifier" xr:uid="{75C2B7AD-196F-4D01-9C10-EA6057F59DF8}"/>
    <hyperlink ref="B513" r:id="rId37" tooltip="Persistent link using digital object identifier" xr:uid="{02AEA5B4-68CA-40C2-9C43-BC0A1CC7C8CC}"/>
    <hyperlink ref="B514" r:id="rId38" tooltip="Persistent link using digital object identifier" xr:uid="{A5EE7A88-1701-480A-8DAE-B9DE07264FF3}"/>
    <hyperlink ref="B516" r:id="rId39" tooltip="Persistent link using digital object identifier" xr:uid="{9012449E-7651-4EEE-814E-46E782972EE2}"/>
    <hyperlink ref="B518" r:id="rId40" tooltip="Persistent link using digital object identifier" xr:uid="{0A0C0FDA-B21F-4E61-B62B-D3528E026004}"/>
    <hyperlink ref="B520" r:id="rId41" tooltip="Persistent link using digital object identifier" xr:uid="{7494F258-DC96-4625-8183-D51D66A575CA}"/>
    <hyperlink ref="B522" r:id="rId42" tooltip="Persistent link using digital object identifier" xr:uid="{6A895C6D-B308-404E-BE98-8F2691B060BA}"/>
    <hyperlink ref="B524" r:id="rId43" tooltip="Persistent link using digital object identifier" xr:uid="{32B534E6-9DDE-4316-BF10-E2A27DC01D52}"/>
    <hyperlink ref="B526" r:id="rId44" tooltip="Persistent link using digital object identifier" xr:uid="{6473F314-9154-411E-853F-38AC273867E7}"/>
    <hyperlink ref="B528" r:id="rId45" tooltip="Persistent link using digital object identifier" xr:uid="{EDF77114-17D2-4486-81D1-3F4233899C7A}"/>
    <hyperlink ref="B530" r:id="rId46" tooltip="Persistent link using digital object identifier" xr:uid="{B56BB112-8634-41C5-8BBE-37A8F2179C2F}"/>
    <hyperlink ref="B531" r:id="rId47" tooltip="Persistent link using digital object identifier" xr:uid="{EF6F2C80-7344-4659-8883-4C1AE481A60C}"/>
    <hyperlink ref="B533" r:id="rId48" tooltip="Persistent link using digital object identifier" xr:uid="{57AFBE6B-0AE0-445F-B81D-C32452884129}"/>
    <hyperlink ref="B535" r:id="rId49" tooltip="Persistent link using digital object identifier" xr:uid="{4F2E3964-111E-4230-A8E3-9F834DCF2A75}"/>
    <hyperlink ref="B537" r:id="rId50" tooltip="Persistent link using digital object identifier" xr:uid="{B820286A-676A-45A9-BB81-3A0FDB998C32}"/>
    <hyperlink ref="B490" r:id="rId51" tooltip="Persistent link using digital object identifier" xr:uid="{FAA817ED-75A1-44CF-B9FA-EF0805192C93}"/>
    <hyperlink ref="B492" r:id="rId52" tooltip="Persistent link using digital object identifier" xr:uid="{48F8B95C-5404-4E4C-8AB8-6A7B0707B272}"/>
    <hyperlink ref="B539" r:id="rId53" tooltip="Persistent link using digital object identifier" xr:uid="{C11EFC9B-FA6C-409C-8305-99C4924172BB}"/>
    <hyperlink ref="B495" r:id="rId54" tooltip="Persistent link using digital object identifier" xr:uid="{57912B10-EFAC-4129-BBA8-F96208FB3A91}"/>
    <hyperlink ref="B497" r:id="rId55" tooltip="Persistent link using digital object identifier" xr:uid="{9D189B23-34FC-49FF-B368-5E57577B37D9}"/>
    <hyperlink ref="B499" r:id="rId56" tooltip="Persistent link using digital object identifier" xr:uid="{A837D5DE-D7D5-4112-B8F8-C03F7578E032}"/>
    <hyperlink ref="B501" r:id="rId57" tooltip="Persistent link using digital object identifier" xr:uid="{5E579C92-AFA5-4B2D-B65F-07DE1902CB9D}"/>
    <hyperlink ref="B503" r:id="rId58" tooltip="Persistent link using digital object identifier" xr:uid="{E7309CDD-4FA9-4046-9470-A20AC97268CA}"/>
    <hyperlink ref="B505" r:id="rId59" tooltip="Persistent link using digital object identifier" xr:uid="{5915C385-C435-4ECF-B0B6-4767B1FF4D13}"/>
    <hyperlink ref="B506" r:id="rId60" tooltip="Persistent link using digital object identifier" xr:uid="{6837FB49-64A3-4275-8F65-55480EDAD5D2}"/>
    <hyperlink ref="B508" r:id="rId61" tooltip="Persistent link using digital object identifier" xr:uid="{90F64595-31F6-4514-80B2-66B708A1BA25}"/>
    <hyperlink ref="B510" r:id="rId62" tooltip="Persistent link using digital object identifier" xr:uid="{711F9380-DF31-4DCC-914A-0FC2C25589CA}"/>
    <hyperlink ref="B512" r:id="rId63" tooltip="Persistent link using digital object identifier" xr:uid="{BFBD0F8B-2412-4CE7-AECF-764B269B1568}"/>
    <hyperlink ref="B541" r:id="rId64" tooltip="Persistent link using digital object identifier" xr:uid="{D030CF92-4165-4202-9CA8-29F3093AF8C4}"/>
    <hyperlink ref="B515" r:id="rId65" tooltip="Persistent link using digital object identifier" xr:uid="{9DCBE114-FA39-4C47-90D9-2EC516C64659}"/>
    <hyperlink ref="B517" r:id="rId66" tooltip="Persistent link using digital object identifier" xr:uid="{C9D8A90E-FAF3-43A1-881B-32583B05F0B3}"/>
    <hyperlink ref="B519" r:id="rId67" tooltip="Persistent link using digital object identifier" xr:uid="{DB3689B3-7167-4CF6-8AA1-9196D7EE1B8B}"/>
    <hyperlink ref="B521" r:id="rId68" tooltip="Persistent link using digital object identifier" xr:uid="{D33716ED-A886-4BCC-8A8A-7630ED0927DA}"/>
    <hyperlink ref="B523" r:id="rId69" tooltip="Persistent link using digital object identifier" xr:uid="{C8726832-0B10-4672-84D6-490BE5F1FFD9}"/>
    <hyperlink ref="B525" r:id="rId70" tooltip="Persistent link using digital object identifier" xr:uid="{CC8DE2E5-60F6-4897-B41A-DE266D287EC4}"/>
    <hyperlink ref="B527" r:id="rId71" tooltip="Persistent link using digital object identifier" xr:uid="{E650F0F7-C980-4334-8C0E-EF74A0DF900A}"/>
    <hyperlink ref="B529" r:id="rId72" tooltip="Persistent link using digital object identifier" xr:uid="{8B8637BB-2000-4367-9E60-56D394196058}"/>
    <hyperlink ref="B542" r:id="rId73" tooltip="Persistent link using digital object identifier" xr:uid="{DBB4C627-7918-44FC-847F-86DC20532847}"/>
    <hyperlink ref="B532" r:id="rId74" tooltip="Persistent link using digital object identifier" xr:uid="{DDADD0D8-8E4C-4A62-AF06-4682F8155FFD}"/>
    <hyperlink ref="B534" r:id="rId75" tooltip="Persistent link using digital object identifier" xr:uid="{67F1C547-2B7A-4E48-AA5A-99D449F1C984}"/>
    <hyperlink ref="B536" r:id="rId76" tooltip="Persistent link using digital object identifier" xr:uid="{97611B7B-4DE2-480A-AD92-65AF0D6F743E}"/>
    <hyperlink ref="B538" r:id="rId77" tooltip="Persistent link using digital object identifier" xr:uid="{3A9EA22D-D051-467A-948D-F3FF8DE014E8}"/>
    <hyperlink ref="B554" r:id="rId78" xr:uid="{15456E71-49D7-4C70-90F8-CDA4F5FD92A5}"/>
    <hyperlink ref="B63" r:id="rId79" xr:uid="{74C9B8B2-D596-4206-8C43-669E58620205}"/>
    <hyperlink ref="B419" r:id="rId80" xr:uid="{0BA16561-AF47-47A7-865F-03AAE5936035}"/>
    <hyperlink ref="B298" r:id="rId81" xr:uid="{519670C6-1471-4358-B1C5-88D78EE8DBA7}"/>
    <hyperlink ref="B579" r:id="rId82" xr:uid="{DF079293-A3F0-4662-B5F4-FE04C12F88A2}"/>
    <hyperlink ref="B485" r:id="rId83" xr:uid="{66E152C0-AF63-4C1D-9CB7-53BD684277FA}"/>
    <hyperlink ref="B662" r:id="rId84" xr:uid="{16D9CFA7-81F7-4047-9895-0E066CFC51BD}"/>
    <hyperlink ref="B425" r:id="rId85" xr:uid="{64FED202-C972-45C3-A72D-E5848F91BA6B}"/>
    <hyperlink ref="B5" r:id="rId86" xr:uid="{FE4EC5C7-C54F-4499-85DD-E3DC64ED097E}"/>
    <hyperlink ref="B214" r:id="rId87" xr:uid="{4C5DEE47-E3AC-41BE-8E9E-DFC8FDBDAB3F}"/>
    <hyperlink ref="B220" r:id="rId88" xr:uid="{9F9AF04A-363D-4971-994F-76F2FFCC51AA}"/>
    <hyperlink ref="B215" r:id="rId89" xr:uid="{237A3A4B-BCB3-474A-AFF2-D5559CE4A110}"/>
    <hyperlink ref="B216" r:id="rId90" xr:uid="{C5B8C25C-0914-4957-8495-C9CFF8184165}"/>
    <hyperlink ref="B217" r:id="rId91" xr:uid="{4CCAC876-9E57-4166-A71D-4479C0EF1F08}"/>
    <hyperlink ref="B218" r:id="rId92" xr:uid="{88702D1D-0302-4F5F-BB29-DC82781D5DDA}"/>
    <hyperlink ref="B219" r:id="rId93" xr:uid="{CFD3D02B-B075-45A9-B40D-7000B8FF5D16}"/>
    <hyperlink ref="B273" r:id="rId94" location="sec-1" xr:uid="{ACC830F3-BC6D-44BB-93C7-C86211735B71}"/>
    <hyperlink ref="B277" r:id="rId95" location="s0040" xr:uid="{FD074F98-5688-46B0-99ED-D0990FA487D6}"/>
    <hyperlink ref="B297" r:id="rId96" xr:uid="{FCC70399-2327-4BC5-996A-CCA414AD302F}"/>
    <hyperlink ref="B290" r:id="rId97" xr:uid="{A1BF418B-6EE7-4498-B761-F8EB7CD44692}"/>
    <hyperlink ref="B293" r:id="rId98" xr:uid="{F1BD1C2C-1444-43AD-AD4C-BC8188D4C1AC}"/>
    <hyperlink ref="B684:B685" r:id="rId99" display="https://academic.oup.com/icesjms/article/80/4/775/7028404 " xr:uid="{D48DDFCA-B37F-4909-9242-A1973E02B5D3}"/>
    <hyperlink ref="B692:B693" r:id="rId100" display="https://www.sciencedirect.com/science/article/pii/S0924796322001312 " xr:uid="{E74AABE3-0FDC-4756-88BB-22220031238E}"/>
    <hyperlink ref="B296" r:id="rId101" xr:uid="{D4E9581C-D932-4C7B-95CA-1693FA361C64}"/>
    <hyperlink ref="B231" r:id="rId102" xr:uid="{4A0DC965-6D41-49F8-88A3-6435FD0ED744}"/>
    <hyperlink ref="B307" r:id="rId103" xr:uid="{FF1BC642-41C2-4559-9941-9CFB10E8CABC}"/>
    <hyperlink ref="B278" r:id="rId104" location="Sec2 " xr:uid="{569EA6DE-58DA-4BEA-BCFB-693CABF5923E}"/>
    <hyperlink ref="B306" r:id="rId105" location="h5" xr:uid="{98E9210A-DC7A-4C85-A42C-E29C43EC34C4}"/>
    <hyperlink ref="B326" r:id="rId106" location="s0070" xr:uid="{821E86B4-F747-4CC3-9C61-C3701263BFE0}"/>
    <hyperlink ref="B329" r:id="rId107" location="d1e908" xr:uid="{094FF09D-9B6B-44EE-B494-FCF0F72B228E}"/>
    <hyperlink ref="B223" r:id="rId108" location="h4" xr:uid="{50492E77-CBE5-493B-A3D3-31568559E4BF}"/>
    <hyperlink ref="B413" r:id="rId109" xr:uid="{338C9418-B945-43E3-A155-2B4CD4D97BC7}"/>
    <hyperlink ref="B595" r:id="rId110" xr:uid="{CB3BC132-DAB5-465C-923B-DEE148206E41}"/>
  </hyperlinks>
  <pageMargins left="0.7" right="0.7" top="0.75" bottom="0.75" header="0.3" footer="0.3"/>
  <pageSetup orientation="portrait" r:id="rId111"/>
  <legacyDrawing r:id="rId1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42A1-F8BE-4B27-BFC3-263A02801675}">
  <sheetPr filterMode="1"/>
  <dimension ref="A1:AS334"/>
  <sheetViews>
    <sheetView topLeftCell="A263" zoomScale="89" zoomScaleNormal="115" workbookViewId="0">
      <selection activeCell="B141" sqref="B141"/>
    </sheetView>
  </sheetViews>
  <sheetFormatPr defaultRowHeight="14.5"/>
  <cols>
    <col min="1" max="1" width="31.81640625" customWidth="1"/>
    <col min="2" max="2" width="11.1796875" customWidth="1"/>
    <col min="3" max="4" width="6.26953125" customWidth="1"/>
    <col min="5" max="10" width="10.26953125" customWidth="1"/>
    <col min="11" max="13" width="15.453125" customWidth="1"/>
    <col min="14" max="14" width="15.54296875" customWidth="1"/>
    <col min="15" max="15" width="17.36328125" customWidth="1"/>
    <col min="16" max="16" width="12.7265625" customWidth="1"/>
    <col min="18" max="18" width="7.36328125" customWidth="1"/>
    <col min="19" max="19" width="10.6328125" customWidth="1"/>
    <col min="20" max="20" width="55.1796875" customWidth="1"/>
  </cols>
  <sheetData>
    <row r="1" spans="1:21">
      <c r="A1" s="3" t="s">
        <v>1436</v>
      </c>
      <c r="B1" s="3" t="s">
        <v>75</v>
      </c>
      <c r="C1" s="3" t="s">
        <v>1</v>
      </c>
      <c r="D1" s="3" t="s">
        <v>18</v>
      </c>
      <c r="E1" s="3" t="s">
        <v>153</v>
      </c>
      <c r="F1" s="3" t="s">
        <v>2</v>
      </c>
      <c r="G1" s="3" t="s">
        <v>3</v>
      </c>
      <c r="H1" s="3" t="s">
        <v>6</v>
      </c>
      <c r="I1" s="3" t="s">
        <v>7</v>
      </c>
      <c r="J1" s="3" t="s">
        <v>8</v>
      </c>
      <c r="K1" s="3" t="s">
        <v>194</v>
      </c>
      <c r="L1" s="3" t="s">
        <v>1443</v>
      </c>
      <c r="M1" s="3" t="s">
        <v>10</v>
      </c>
      <c r="N1" s="3" t="s">
        <v>12</v>
      </c>
      <c r="O1" s="3" t="s">
        <v>1438</v>
      </c>
      <c r="P1" s="3" t="s">
        <v>1437</v>
      </c>
      <c r="Q1" s="3" t="s">
        <v>1466</v>
      </c>
      <c r="R1" s="3" t="s">
        <v>17</v>
      </c>
      <c r="S1" s="3" t="s">
        <v>1452</v>
      </c>
      <c r="T1" s="3" t="s">
        <v>22</v>
      </c>
      <c r="U1" s="3" t="s">
        <v>70</v>
      </c>
    </row>
    <row r="2" spans="1:21" hidden="1">
      <c r="A2" t="s">
        <v>1457</v>
      </c>
      <c r="B2" s="38" t="s">
        <v>774</v>
      </c>
      <c r="C2">
        <v>2007</v>
      </c>
      <c r="D2" t="s">
        <v>42</v>
      </c>
      <c r="E2" s="40">
        <v>45896</v>
      </c>
      <c r="F2" s="40" t="s">
        <v>1365</v>
      </c>
      <c r="G2" s="40" t="s">
        <v>1451</v>
      </c>
      <c r="H2">
        <v>1958</v>
      </c>
      <c r="I2">
        <v>2005</v>
      </c>
      <c r="J2">
        <f t="shared" ref="J2:J10" si="0">I2-H2+1</f>
        <v>48</v>
      </c>
      <c r="K2" t="s">
        <v>1442</v>
      </c>
      <c r="L2" t="s">
        <v>911</v>
      </c>
      <c r="M2" t="s">
        <v>40</v>
      </c>
      <c r="N2">
        <v>2</v>
      </c>
      <c r="O2" t="s">
        <v>40</v>
      </c>
      <c r="P2" t="s">
        <v>1439</v>
      </c>
      <c r="Q2" t="s">
        <v>1467</v>
      </c>
      <c r="R2" t="s">
        <v>694</v>
      </c>
      <c r="S2" t="s">
        <v>69</v>
      </c>
      <c r="T2" t="s">
        <v>1441</v>
      </c>
    </row>
    <row r="3" spans="1:21" hidden="1">
      <c r="A3" t="s">
        <v>1457</v>
      </c>
      <c r="B3" t="s">
        <v>774</v>
      </c>
      <c r="C3">
        <v>2007</v>
      </c>
      <c r="D3" t="s">
        <v>42</v>
      </c>
      <c r="E3" s="40">
        <v>45896</v>
      </c>
      <c r="F3" s="40" t="s">
        <v>1365</v>
      </c>
      <c r="G3" s="40" t="s">
        <v>1451</v>
      </c>
      <c r="H3">
        <v>1958</v>
      </c>
      <c r="I3">
        <v>2005</v>
      </c>
      <c r="J3">
        <f t="shared" si="0"/>
        <v>48</v>
      </c>
      <c r="K3" t="s">
        <v>145</v>
      </c>
      <c r="L3" t="s">
        <v>1444</v>
      </c>
      <c r="M3" t="s">
        <v>36</v>
      </c>
      <c r="N3" t="s">
        <v>66</v>
      </c>
      <c r="O3" t="s">
        <v>1445</v>
      </c>
      <c r="P3" t="s">
        <v>1439</v>
      </c>
      <c r="Q3" t="s">
        <v>1467</v>
      </c>
      <c r="R3" t="s">
        <v>694</v>
      </c>
      <c r="S3" t="s">
        <v>69</v>
      </c>
      <c r="T3" t="s">
        <v>1441</v>
      </c>
    </row>
    <row r="4" spans="1:21" hidden="1">
      <c r="A4" t="s">
        <v>1457</v>
      </c>
      <c r="B4" t="s">
        <v>774</v>
      </c>
      <c r="C4">
        <v>2007</v>
      </c>
      <c r="D4" t="s">
        <v>42</v>
      </c>
      <c r="E4" s="40">
        <v>45896</v>
      </c>
      <c r="F4" s="40" t="s">
        <v>1365</v>
      </c>
      <c r="G4" s="40" t="s">
        <v>1451</v>
      </c>
      <c r="H4">
        <v>1958</v>
      </c>
      <c r="I4">
        <v>2005</v>
      </c>
      <c r="J4">
        <f t="shared" si="0"/>
        <v>48</v>
      </c>
      <c r="K4" t="s">
        <v>145</v>
      </c>
      <c r="L4" t="s">
        <v>1444</v>
      </c>
      <c r="M4" t="s">
        <v>36</v>
      </c>
      <c r="N4" t="s">
        <v>65</v>
      </c>
      <c r="O4" t="s">
        <v>1446</v>
      </c>
      <c r="P4" t="s">
        <v>1439</v>
      </c>
      <c r="Q4" t="s">
        <v>1468</v>
      </c>
      <c r="R4" t="s">
        <v>694</v>
      </c>
      <c r="S4" t="s">
        <v>69</v>
      </c>
      <c r="T4" t="s">
        <v>1441</v>
      </c>
    </row>
    <row r="5" spans="1:21" hidden="1">
      <c r="A5" t="s">
        <v>1457</v>
      </c>
      <c r="B5" s="38" t="s">
        <v>774</v>
      </c>
      <c r="C5">
        <v>2007</v>
      </c>
      <c r="D5" t="s">
        <v>42</v>
      </c>
      <c r="E5" s="40">
        <v>45896</v>
      </c>
      <c r="F5" s="40" t="s">
        <v>1365</v>
      </c>
      <c r="G5" s="40" t="s">
        <v>1451</v>
      </c>
      <c r="H5">
        <v>1958</v>
      </c>
      <c r="I5">
        <v>2005</v>
      </c>
      <c r="J5">
        <f t="shared" si="0"/>
        <v>48</v>
      </c>
      <c r="K5" t="s">
        <v>1442</v>
      </c>
      <c r="L5" t="s">
        <v>911</v>
      </c>
      <c r="M5" t="s">
        <v>40</v>
      </c>
      <c r="N5">
        <v>50</v>
      </c>
      <c r="O5" t="s">
        <v>40</v>
      </c>
      <c r="P5" t="s">
        <v>1449</v>
      </c>
      <c r="Q5" t="s">
        <v>1467</v>
      </c>
      <c r="R5" t="s">
        <v>694</v>
      </c>
      <c r="S5" t="s">
        <v>69</v>
      </c>
      <c r="T5" t="s">
        <v>1450</v>
      </c>
    </row>
    <row r="6" spans="1:21" hidden="1">
      <c r="A6" t="s">
        <v>1457</v>
      </c>
      <c r="B6" t="s">
        <v>774</v>
      </c>
      <c r="C6">
        <v>2007</v>
      </c>
      <c r="D6" t="s">
        <v>42</v>
      </c>
      <c r="E6" s="40">
        <v>45896</v>
      </c>
      <c r="F6" s="40" t="s">
        <v>1365</v>
      </c>
      <c r="G6" s="40" t="s">
        <v>1451</v>
      </c>
      <c r="H6">
        <v>1958</v>
      </c>
      <c r="I6">
        <v>2005</v>
      </c>
      <c r="J6">
        <f t="shared" si="0"/>
        <v>48</v>
      </c>
      <c r="K6" t="s">
        <v>145</v>
      </c>
      <c r="L6" t="s">
        <v>1447</v>
      </c>
      <c r="M6" t="s">
        <v>98</v>
      </c>
      <c r="N6" t="s">
        <v>1448</v>
      </c>
      <c r="O6" t="s">
        <v>1445</v>
      </c>
      <c r="P6" t="s">
        <v>1449</v>
      </c>
      <c r="Q6" t="s">
        <v>1467</v>
      </c>
      <c r="R6" t="s">
        <v>694</v>
      </c>
      <c r="S6" t="s">
        <v>69</v>
      </c>
      <c r="T6" t="s">
        <v>1450</v>
      </c>
    </row>
    <row r="7" spans="1:21" hidden="1">
      <c r="A7" t="s">
        <v>1453</v>
      </c>
      <c r="B7" t="s">
        <v>1454</v>
      </c>
      <c r="C7">
        <v>2004</v>
      </c>
      <c r="D7" t="s">
        <v>42</v>
      </c>
      <c r="E7" s="40">
        <v>45896</v>
      </c>
      <c r="F7" s="40" t="s">
        <v>724</v>
      </c>
      <c r="G7" s="40" t="s">
        <v>1455</v>
      </c>
      <c r="H7">
        <v>1926</v>
      </c>
      <c r="I7">
        <v>2003</v>
      </c>
      <c r="J7">
        <f t="shared" si="0"/>
        <v>78</v>
      </c>
      <c r="K7" t="s">
        <v>145</v>
      </c>
      <c r="L7" t="s">
        <v>1447</v>
      </c>
      <c r="M7" t="s">
        <v>1017</v>
      </c>
      <c r="N7" t="s">
        <v>1083</v>
      </c>
      <c r="O7" t="s">
        <v>1446</v>
      </c>
      <c r="P7" t="s">
        <v>1460</v>
      </c>
      <c r="Q7" t="s">
        <v>1468</v>
      </c>
      <c r="R7" t="s">
        <v>694</v>
      </c>
      <c r="S7" t="s">
        <v>1456</v>
      </c>
      <c r="T7" t="s">
        <v>1461</v>
      </c>
    </row>
    <row r="8" spans="1:21" hidden="1">
      <c r="A8" t="s">
        <v>1453</v>
      </c>
      <c r="B8" t="s">
        <v>1454</v>
      </c>
      <c r="C8">
        <v>2004</v>
      </c>
      <c r="D8" t="s">
        <v>42</v>
      </c>
      <c r="E8" s="40">
        <v>45896</v>
      </c>
      <c r="F8" s="40" t="s">
        <v>724</v>
      </c>
      <c r="G8" s="40" t="s">
        <v>1455</v>
      </c>
      <c r="H8">
        <v>1926</v>
      </c>
      <c r="I8">
        <v>2003</v>
      </c>
      <c r="J8">
        <f t="shared" si="0"/>
        <v>78</v>
      </c>
      <c r="K8" t="s">
        <v>145</v>
      </c>
      <c r="L8" t="s">
        <v>1447</v>
      </c>
      <c r="M8" t="s">
        <v>1458</v>
      </c>
      <c r="N8" t="s">
        <v>1459</v>
      </c>
      <c r="O8" t="s">
        <v>1445</v>
      </c>
      <c r="P8" t="s">
        <v>1460</v>
      </c>
      <c r="Q8" t="s">
        <v>1467</v>
      </c>
      <c r="R8" t="s">
        <v>694</v>
      </c>
      <c r="S8" t="s">
        <v>69</v>
      </c>
      <c r="T8" t="s">
        <v>1461</v>
      </c>
    </row>
    <row r="9" spans="1:21" hidden="1">
      <c r="A9" t="s">
        <v>1462</v>
      </c>
      <c r="B9" t="s">
        <v>1317</v>
      </c>
      <c r="C9">
        <v>2013</v>
      </c>
      <c r="D9" t="s">
        <v>42</v>
      </c>
      <c r="E9" s="40">
        <v>45896</v>
      </c>
      <c r="F9" s="40" t="s">
        <v>880</v>
      </c>
      <c r="G9" s="40" t="s">
        <v>1451</v>
      </c>
      <c r="H9">
        <v>1960</v>
      </c>
      <c r="I9">
        <v>2009</v>
      </c>
      <c r="J9">
        <f t="shared" si="0"/>
        <v>50</v>
      </c>
      <c r="K9" t="s">
        <v>145</v>
      </c>
      <c r="L9" t="s">
        <v>1444</v>
      </c>
      <c r="M9" t="s">
        <v>721</v>
      </c>
      <c r="N9" t="s">
        <v>721</v>
      </c>
      <c r="O9" t="s">
        <v>1445</v>
      </c>
      <c r="P9" t="s">
        <v>1471</v>
      </c>
      <c r="Q9" t="s">
        <v>1467</v>
      </c>
      <c r="R9" t="s">
        <v>694</v>
      </c>
      <c r="S9" t="s">
        <v>69</v>
      </c>
      <c r="T9" t="s">
        <v>1470</v>
      </c>
    </row>
    <row r="10" spans="1:21" hidden="1">
      <c r="A10" t="s">
        <v>1462</v>
      </c>
      <c r="B10" t="s">
        <v>1317</v>
      </c>
      <c r="C10">
        <v>2013</v>
      </c>
      <c r="D10" t="s">
        <v>42</v>
      </c>
      <c r="E10" s="40">
        <v>45896</v>
      </c>
      <c r="F10" s="40" t="s">
        <v>880</v>
      </c>
      <c r="G10" s="40" t="s">
        <v>1451</v>
      </c>
      <c r="H10">
        <v>1990</v>
      </c>
      <c r="I10">
        <v>2009</v>
      </c>
      <c r="J10">
        <f t="shared" si="0"/>
        <v>20</v>
      </c>
      <c r="K10" t="s">
        <v>145</v>
      </c>
      <c r="L10" t="s">
        <v>152</v>
      </c>
      <c r="M10" t="s">
        <v>1463</v>
      </c>
      <c r="N10" t="s">
        <v>1463</v>
      </c>
      <c r="O10" t="s">
        <v>1445</v>
      </c>
      <c r="P10" t="s">
        <v>1471</v>
      </c>
      <c r="Q10" t="s">
        <v>1467</v>
      </c>
      <c r="R10" t="s">
        <v>694</v>
      </c>
      <c r="S10" t="s">
        <v>69</v>
      </c>
      <c r="T10" t="s">
        <v>1470</v>
      </c>
    </row>
    <row r="11" spans="1:21" hidden="1">
      <c r="A11" t="s">
        <v>1462</v>
      </c>
      <c r="B11" t="s">
        <v>1317</v>
      </c>
      <c r="C11">
        <v>2013</v>
      </c>
      <c r="D11" t="s">
        <v>42</v>
      </c>
      <c r="E11" s="40">
        <v>45896</v>
      </c>
      <c r="F11" s="40" t="s">
        <v>880</v>
      </c>
      <c r="G11" s="40" t="s">
        <v>1451</v>
      </c>
      <c r="H11">
        <v>1960</v>
      </c>
      <c r="I11">
        <v>2009</v>
      </c>
      <c r="J11">
        <f t="shared" ref="J11:J13" si="1">I11-H11+1</f>
        <v>50</v>
      </c>
      <c r="K11" t="s">
        <v>145</v>
      </c>
      <c r="L11" t="s">
        <v>1444</v>
      </c>
      <c r="M11" t="s">
        <v>1464</v>
      </c>
      <c r="N11" t="s">
        <v>1318</v>
      </c>
      <c r="O11" t="s">
        <v>1446</v>
      </c>
      <c r="P11" t="s">
        <v>1469</v>
      </c>
      <c r="Q11" t="s">
        <v>1468</v>
      </c>
      <c r="R11" t="s">
        <v>694</v>
      </c>
      <c r="S11" t="s">
        <v>69</v>
      </c>
      <c r="T11" t="s">
        <v>1470</v>
      </c>
    </row>
    <row r="12" spans="1:21" hidden="1">
      <c r="A12" t="s">
        <v>1462</v>
      </c>
      <c r="B12" t="s">
        <v>1317</v>
      </c>
      <c r="C12">
        <v>2013</v>
      </c>
      <c r="D12" t="s">
        <v>42</v>
      </c>
      <c r="E12" s="40">
        <v>45896</v>
      </c>
      <c r="F12" s="40" t="s">
        <v>880</v>
      </c>
      <c r="G12" s="40" t="s">
        <v>1451</v>
      </c>
      <c r="H12">
        <v>1960</v>
      </c>
      <c r="I12">
        <v>2009</v>
      </c>
      <c r="J12">
        <f t="shared" si="1"/>
        <v>50</v>
      </c>
      <c r="K12" t="s">
        <v>145</v>
      </c>
      <c r="L12" t="s">
        <v>1444</v>
      </c>
      <c r="M12" t="s">
        <v>1464</v>
      </c>
      <c r="N12" t="s">
        <v>679</v>
      </c>
      <c r="O12" t="s">
        <v>1446</v>
      </c>
      <c r="P12" t="s">
        <v>1469</v>
      </c>
      <c r="Q12" t="s">
        <v>1468</v>
      </c>
      <c r="R12" t="s">
        <v>694</v>
      </c>
      <c r="S12" t="s">
        <v>69</v>
      </c>
      <c r="T12" t="s">
        <v>1470</v>
      </c>
    </row>
    <row r="13" spans="1:21" hidden="1">
      <c r="A13" t="s">
        <v>1462</v>
      </c>
      <c r="B13" t="s">
        <v>1317</v>
      </c>
      <c r="C13">
        <v>2013</v>
      </c>
      <c r="D13" t="s">
        <v>42</v>
      </c>
      <c r="E13" s="40">
        <v>45896</v>
      </c>
      <c r="F13" s="40" t="s">
        <v>880</v>
      </c>
      <c r="G13" s="40" t="s">
        <v>1451</v>
      </c>
      <c r="H13">
        <v>1960</v>
      </c>
      <c r="I13">
        <v>2009</v>
      </c>
      <c r="J13">
        <f t="shared" si="1"/>
        <v>50</v>
      </c>
      <c r="K13" t="s">
        <v>145</v>
      </c>
      <c r="L13" t="s">
        <v>1465</v>
      </c>
      <c r="M13" t="s">
        <v>1191</v>
      </c>
      <c r="N13" t="s">
        <v>855</v>
      </c>
      <c r="O13" t="s">
        <v>1445</v>
      </c>
      <c r="P13" t="s">
        <v>1469</v>
      </c>
      <c r="Q13" t="s">
        <v>1467</v>
      </c>
      <c r="R13" t="s">
        <v>694</v>
      </c>
      <c r="S13" t="s">
        <v>69</v>
      </c>
      <c r="T13" t="s">
        <v>1470</v>
      </c>
    </row>
    <row r="14" spans="1:21" hidden="1">
      <c r="A14" t="s">
        <v>1462</v>
      </c>
      <c r="B14" t="s">
        <v>1317</v>
      </c>
      <c r="C14">
        <v>2013</v>
      </c>
      <c r="D14" t="s">
        <v>42</v>
      </c>
      <c r="E14" s="40">
        <v>45896</v>
      </c>
      <c r="F14" s="40" t="s">
        <v>880</v>
      </c>
      <c r="G14" s="40" t="s">
        <v>1451</v>
      </c>
      <c r="H14">
        <v>1960</v>
      </c>
      <c r="I14">
        <v>2009</v>
      </c>
      <c r="J14">
        <f t="shared" ref="J14:J16" si="2">I14-H14+1</f>
        <v>50</v>
      </c>
      <c r="K14" t="s">
        <v>145</v>
      </c>
      <c r="L14" t="s">
        <v>1465</v>
      </c>
      <c r="M14" t="s">
        <v>1464</v>
      </c>
      <c r="N14" t="s">
        <v>1319</v>
      </c>
      <c r="O14" t="s">
        <v>1446</v>
      </c>
      <c r="P14" t="s">
        <v>1469</v>
      </c>
      <c r="Q14" t="s">
        <v>1467</v>
      </c>
      <c r="R14" t="s">
        <v>694</v>
      </c>
      <c r="S14" t="s">
        <v>69</v>
      </c>
      <c r="T14" t="s">
        <v>1470</v>
      </c>
    </row>
    <row r="15" spans="1:21" hidden="1">
      <c r="A15" t="s">
        <v>1472</v>
      </c>
      <c r="B15" t="s">
        <v>1473</v>
      </c>
      <c r="C15">
        <v>2013</v>
      </c>
      <c r="D15" t="s">
        <v>42</v>
      </c>
      <c r="E15" s="40">
        <v>45896</v>
      </c>
      <c r="F15" s="40" t="s">
        <v>880</v>
      </c>
      <c r="G15" s="40" t="s">
        <v>1451</v>
      </c>
      <c r="H15">
        <v>1958</v>
      </c>
      <c r="I15">
        <v>2005</v>
      </c>
      <c r="J15">
        <f t="shared" si="2"/>
        <v>48</v>
      </c>
      <c r="K15" s="4" t="s">
        <v>145</v>
      </c>
      <c r="L15" t="s">
        <v>152</v>
      </c>
      <c r="M15" t="s">
        <v>152</v>
      </c>
      <c r="N15" t="s">
        <v>40</v>
      </c>
      <c r="O15" s="4"/>
      <c r="P15" t="s">
        <v>1474</v>
      </c>
      <c r="Q15" t="s">
        <v>1467</v>
      </c>
      <c r="R15" t="s">
        <v>694</v>
      </c>
      <c r="S15" t="s">
        <v>1475</v>
      </c>
      <c r="T15" t="s">
        <v>1476</v>
      </c>
    </row>
    <row r="16" spans="1:21" hidden="1">
      <c r="A16" t="s">
        <v>1477</v>
      </c>
      <c r="B16" t="s">
        <v>1478</v>
      </c>
      <c r="C16">
        <v>2008</v>
      </c>
      <c r="D16" t="s">
        <v>42</v>
      </c>
      <c r="E16" s="40">
        <v>45896</v>
      </c>
      <c r="F16" s="40" t="s">
        <v>1479</v>
      </c>
      <c r="G16" s="40" t="s">
        <v>1451</v>
      </c>
      <c r="H16">
        <v>1969</v>
      </c>
      <c r="I16">
        <v>1992</v>
      </c>
      <c r="J16">
        <f t="shared" si="2"/>
        <v>24</v>
      </c>
      <c r="K16" t="s">
        <v>145</v>
      </c>
      <c r="L16" t="s">
        <v>1444</v>
      </c>
      <c r="M16" s="4" t="s">
        <v>36</v>
      </c>
      <c r="N16" s="4" t="s">
        <v>178</v>
      </c>
      <c r="O16" s="4" t="s">
        <v>1446</v>
      </c>
      <c r="P16" t="s">
        <v>1481</v>
      </c>
      <c r="Q16" t="s">
        <v>1468</v>
      </c>
      <c r="R16" t="s">
        <v>694</v>
      </c>
      <c r="S16" t="s">
        <v>69</v>
      </c>
      <c r="T16" t="s">
        <v>1485</v>
      </c>
    </row>
    <row r="17" spans="1:21" s="4" customFormat="1" hidden="1">
      <c r="A17" s="4" t="s">
        <v>1477</v>
      </c>
      <c r="B17" s="4" t="s">
        <v>1478</v>
      </c>
      <c r="C17" s="4">
        <v>2008</v>
      </c>
      <c r="D17" s="4" t="s">
        <v>44</v>
      </c>
      <c r="E17" s="45">
        <v>45896</v>
      </c>
      <c r="F17" s="45" t="s">
        <v>1479</v>
      </c>
      <c r="G17" s="45" t="s">
        <v>1451</v>
      </c>
      <c r="H17" s="4">
        <v>1969</v>
      </c>
      <c r="I17" s="4">
        <v>1992</v>
      </c>
      <c r="J17" s="4">
        <f t="shared" ref="J17:J18" si="3">I17-H17+1</f>
        <v>24</v>
      </c>
      <c r="K17" s="4" t="s">
        <v>145</v>
      </c>
      <c r="L17" s="4" t="s">
        <v>1465</v>
      </c>
      <c r="M17" s="4" t="s">
        <v>788</v>
      </c>
      <c r="N17" s="4" t="s">
        <v>1480</v>
      </c>
      <c r="O17" s="4" t="s">
        <v>1445</v>
      </c>
      <c r="P17" s="4" t="s">
        <v>1482</v>
      </c>
      <c r="Q17" s="4" t="s">
        <v>223</v>
      </c>
      <c r="R17" s="4" t="s">
        <v>41</v>
      </c>
      <c r="S17" s="4" t="s">
        <v>69</v>
      </c>
      <c r="T17" s="4" t="s">
        <v>1484</v>
      </c>
      <c r="U17" s="4" t="s">
        <v>1483</v>
      </c>
    </row>
    <row r="18" spans="1:21" hidden="1">
      <c r="A18" t="s">
        <v>1486</v>
      </c>
      <c r="B18" t="s">
        <v>1487</v>
      </c>
      <c r="C18">
        <v>2008</v>
      </c>
      <c r="D18" t="s">
        <v>44</v>
      </c>
      <c r="E18" s="40">
        <v>45896</v>
      </c>
      <c r="F18" s="40" t="s">
        <v>1488</v>
      </c>
      <c r="G18" s="40" t="s">
        <v>1455</v>
      </c>
      <c r="H18">
        <v>1926</v>
      </c>
      <c r="I18">
        <v>2005</v>
      </c>
      <c r="J18">
        <f t="shared" si="3"/>
        <v>80</v>
      </c>
      <c r="K18" t="s">
        <v>145</v>
      </c>
      <c r="L18" t="s">
        <v>1444</v>
      </c>
      <c r="M18" t="s">
        <v>654</v>
      </c>
      <c r="N18" t="s">
        <v>178</v>
      </c>
      <c r="O18" s="4" t="s">
        <v>40</v>
      </c>
      <c r="P18" t="s">
        <v>1482</v>
      </c>
      <c r="Q18" t="s">
        <v>223</v>
      </c>
      <c r="R18" t="s">
        <v>41</v>
      </c>
      <c r="S18" t="s">
        <v>69</v>
      </c>
      <c r="T18" s="4" t="s">
        <v>1492</v>
      </c>
      <c r="U18" t="s">
        <v>1490</v>
      </c>
    </row>
    <row r="19" spans="1:21" hidden="1">
      <c r="A19" t="s">
        <v>1486</v>
      </c>
      <c r="B19" t="s">
        <v>1487</v>
      </c>
      <c r="C19">
        <v>2008</v>
      </c>
      <c r="D19" t="s">
        <v>44</v>
      </c>
      <c r="E19" s="40">
        <v>45896</v>
      </c>
      <c r="F19" s="40" t="s">
        <v>1488</v>
      </c>
      <c r="G19" s="40" t="s">
        <v>1455</v>
      </c>
      <c r="H19">
        <v>1926</v>
      </c>
      <c r="I19">
        <v>2005</v>
      </c>
      <c r="J19">
        <f t="shared" ref="J19:J20" si="4">I19-H19+1</f>
        <v>80</v>
      </c>
      <c r="K19" t="s">
        <v>1442</v>
      </c>
      <c r="L19" t="s">
        <v>1447</v>
      </c>
      <c r="M19" t="s">
        <v>40</v>
      </c>
      <c r="N19">
        <v>45</v>
      </c>
      <c r="O19" s="4" t="s">
        <v>40</v>
      </c>
      <c r="P19" t="s">
        <v>1489</v>
      </c>
      <c r="Q19" t="s">
        <v>781</v>
      </c>
      <c r="R19" t="s">
        <v>41</v>
      </c>
      <c r="S19" t="s">
        <v>1475</v>
      </c>
      <c r="T19" t="s">
        <v>1491</v>
      </c>
      <c r="U19" t="s">
        <v>1490</v>
      </c>
    </row>
    <row r="20" spans="1:21" hidden="1">
      <c r="A20" t="s">
        <v>1494</v>
      </c>
      <c r="B20" s="38" t="s">
        <v>1495</v>
      </c>
      <c r="C20" s="46">
        <v>1995</v>
      </c>
      <c r="D20" t="s">
        <v>42</v>
      </c>
      <c r="E20" s="40">
        <v>45896</v>
      </c>
      <c r="F20" s="40" t="s">
        <v>1496</v>
      </c>
      <c r="G20" s="40" t="s">
        <v>1451</v>
      </c>
      <c r="H20">
        <v>1951</v>
      </c>
      <c r="I20">
        <v>1993</v>
      </c>
      <c r="J20">
        <f t="shared" si="4"/>
        <v>43</v>
      </c>
      <c r="K20" t="s">
        <v>145</v>
      </c>
      <c r="L20" t="s">
        <v>1444</v>
      </c>
      <c r="M20" t="s">
        <v>654</v>
      </c>
      <c r="N20" t="s">
        <v>178</v>
      </c>
      <c r="O20" s="4" t="s">
        <v>40</v>
      </c>
      <c r="P20" t="s">
        <v>1482</v>
      </c>
      <c r="Q20" t="s">
        <v>1468</v>
      </c>
      <c r="R20" t="s">
        <v>694</v>
      </c>
      <c r="S20" t="s">
        <v>69</v>
      </c>
      <c r="T20" t="s">
        <v>1498</v>
      </c>
    </row>
    <row r="21" spans="1:21" hidden="1">
      <c r="A21" t="s">
        <v>1494</v>
      </c>
      <c r="B21" s="38" t="s">
        <v>1495</v>
      </c>
      <c r="C21" s="46">
        <v>1995</v>
      </c>
      <c r="D21" t="s">
        <v>42</v>
      </c>
      <c r="E21" s="40">
        <v>45896</v>
      </c>
      <c r="F21" s="40" t="s">
        <v>1497</v>
      </c>
      <c r="G21" s="40" t="s">
        <v>1451</v>
      </c>
      <c r="H21">
        <v>1951</v>
      </c>
      <c r="I21">
        <v>1993</v>
      </c>
      <c r="J21">
        <f t="shared" ref="J21:J22" si="5">I21-H21+1</f>
        <v>43</v>
      </c>
      <c r="K21" t="s">
        <v>145</v>
      </c>
      <c r="L21" t="s">
        <v>1444</v>
      </c>
      <c r="M21" t="s">
        <v>654</v>
      </c>
      <c r="N21" t="s">
        <v>178</v>
      </c>
      <c r="O21" s="4" t="s">
        <v>40</v>
      </c>
      <c r="P21" t="s">
        <v>1482</v>
      </c>
      <c r="Q21" t="s">
        <v>1468</v>
      </c>
      <c r="R21" t="s">
        <v>694</v>
      </c>
      <c r="S21" t="s">
        <v>69</v>
      </c>
      <c r="T21" t="s">
        <v>1499</v>
      </c>
    </row>
    <row r="22" spans="1:21" hidden="1">
      <c r="A22" t="s">
        <v>1500</v>
      </c>
      <c r="B22" t="s">
        <v>1501</v>
      </c>
      <c r="C22" s="46">
        <v>2009</v>
      </c>
      <c r="D22" t="s">
        <v>42</v>
      </c>
      <c r="E22" s="40">
        <v>45896</v>
      </c>
      <c r="F22" s="40" t="s">
        <v>1502</v>
      </c>
      <c r="G22" s="40" t="s">
        <v>1451</v>
      </c>
      <c r="H22">
        <v>1951</v>
      </c>
      <c r="I22">
        <v>2008</v>
      </c>
      <c r="J22">
        <f t="shared" si="5"/>
        <v>58</v>
      </c>
      <c r="K22" t="s">
        <v>145</v>
      </c>
      <c r="L22" t="s">
        <v>1444</v>
      </c>
      <c r="M22" t="s">
        <v>216</v>
      </c>
      <c r="N22" t="s">
        <v>40</v>
      </c>
      <c r="O22" t="s">
        <v>1509</v>
      </c>
      <c r="P22" t="s">
        <v>1517</v>
      </c>
      <c r="Q22" t="s">
        <v>1467</v>
      </c>
      <c r="R22" t="s">
        <v>41</v>
      </c>
      <c r="S22" t="s">
        <v>1510</v>
      </c>
      <c r="T22" t="s">
        <v>1512</v>
      </c>
      <c r="U22" t="s">
        <v>1511</v>
      </c>
    </row>
    <row r="23" spans="1:21" hidden="1">
      <c r="A23" t="s">
        <v>1500</v>
      </c>
      <c r="B23" t="s">
        <v>1501</v>
      </c>
      <c r="C23" s="46">
        <v>2009</v>
      </c>
      <c r="D23" t="s">
        <v>42</v>
      </c>
      <c r="E23" s="40">
        <v>45896</v>
      </c>
      <c r="F23" s="40" t="s">
        <v>1502</v>
      </c>
      <c r="G23" s="40" t="s">
        <v>1451</v>
      </c>
      <c r="H23">
        <v>1951</v>
      </c>
      <c r="I23">
        <v>2008</v>
      </c>
      <c r="J23">
        <f t="shared" ref="J23:J36" si="6">I23-H23+1</f>
        <v>58</v>
      </c>
      <c r="K23" t="s">
        <v>145</v>
      </c>
      <c r="L23" t="s">
        <v>1444</v>
      </c>
      <c r="M23" t="s">
        <v>1504</v>
      </c>
      <c r="N23" t="s">
        <v>40</v>
      </c>
      <c r="O23" t="s">
        <v>1509</v>
      </c>
      <c r="P23" t="s">
        <v>1517</v>
      </c>
      <c r="Q23" t="s">
        <v>1467</v>
      </c>
      <c r="R23" t="s">
        <v>41</v>
      </c>
      <c r="S23" t="s">
        <v>1510</v>
      </c>
      <c r="T23" t="s">
        <v>1512</v>
      </c>
      <c r="U23" t="s">
        <v>1511</v>
      </c>
    </row>
    <row r="24" spans="1:21" hidden="1">
      <c r="A24" t="s">
        <v>1500</v>
      </c>
      <c r="B24" t="s">
        <v>1501</v>
      </c>
      <c r="C24" s="46">
        <v>2009</v>
      </c>
      <c r="D24" t="s">
        <v>42</v>
      </c>
      <c r="E24" s="40">
        <v>45896</v>
      </c>
      <c r="F24" s="40" t="s">
        <v>1502</v>
      </c>
      <c r="G24" s="40" t="s">
        <v>1451</v>
      </c>
      <c r="H24">
        <v>1951</v>
      </c>
      <c r="I24">
        <v>2008</v>
      </c>
      <c r="J24">
        <f t="shared" si="6"/>
        <v>58</v>
      </c>
      <c r="K24" t="s">
        <v>145</v>
      </c>
      <c r="L24" t="s">
        <v>1444</v>
      </c>
      <c r="M24" t="s">
        <v>721</v>
      </c>
      <c r="N24" t="s">
        <v>40</v>
      </c>
      <c r="O24" t="s">
        <v>1508</v>
      </c>
      <c r="P24" t="s">
        <v>1517</v>
      </c>
      <c r="Q24" t="s">
        <v>1467</v>
      </c>
      <c r="R24" t="s">
        <v>41</v>
      </c>
      <c r="S24" t="s">
        <v>1510</v>
      </c>
      <c r="T24" t="s">
        <v>1512</v>
      </c>
      <c r="U24" t="s">
        <v>1511</v>
      </c>
    </row>
    <row r="25" spans="1:21" hidden="1">
      <c r="A25" t="s">
        <v>1500</v>
      </c>
      <c r="B25" t="s">
        <v>1501</v>
      </c>
      <c r="C25" s="46">
        <v>2009</v>
      </c>
      <c r="D25" t="s">
        <v>42</v>
      </c>
      <c r="E25" s="40">
        <v>45896</v>
      </c>
      <c r="F25" s="40" t="s">
        <v>1503</v>
      </c>
      <c r="G25" s="40" t="s">
        <v>1451</v>
      </c>
      <c r="H25">
        <v>1951</v>
      </c>
      <c r="I25">
        <v>2008</v>
      </c>
      <c r="J25">
        <f t="shared" si="6"/>
        <v>58</v>
      </c>
      <c r="K25" t="s">
        <v>145</v>
      </c>
      <c r="L25" t="s">
        <v>1444</v>
      </c>
      <c r="M25" t="s">
        <v>216</v>
      </c>
      <c r="N25" t="s">
        <v>40</v>
      </c>
      <c r="O25" t="s">
        <v>1509</v>
      </c>
      <c r="P25" t="s">
        <v>1517</v>
      </c>
      <c r="Q25" t="s">
        <v>223</v>
      </c>
      <c r="R25" t="s">
        <v>41</v>
      </c>
      <c r="S25" t="s">
        <v>1510</v>
      </c>
      <c r="T25" t="s">
        <v>1512</v>
      </c>
      <c r="U25" t="s">
        <v>1511</v>
      </c>
    </row>
    <row r="26" spans="1:21" hidden="1">
      <c r="A26" t="s">
        <v>1500</v>
      </c>
      <c r="B26" t="s">
        <v>1501</v>
      </c>
      <c r="C26" s="46">
        <v>2009</v>
      </c>
      <c r="D26" t="s">
        <v>42</v>
      </c>
      <c r="E26" s="40">
        <v>45896</v>
      </c>
      <c r="F26" s="40" t="s">
        <v>1503</v>
      </c>
      <c r="G26" s="40" t="s">
        <v>1451</v>
      </c>
      <c r="H26">
        <v>1951</v>
      </c>
      <c r="I26">
        <v>2008</v>
      </c>
      <c r="J26">
        <f t="shared" si="6"/>
        <v>58</v>
      </c>
      <c r="K26" t="s">
        <v>145</v>
      </c>
      <c r="L26" t="s">
        <v>1444</v>
      </c>
      <c r="M26" t="s">
        <v>1504</v>
      </c>
      <c r="N26" t="s">
        <v>40</v>
      </c>
      <c r="O26" t="s">
        <v>1509</v>
      </c>
      <c r="P26" t="s">
        <v>1517</v>
      </c>
      <c r="Q26" t="s">
        <v>223</v>
      </c>
      <c r="R26" t="s">
        <v>41</v>
      </c>
      <c r="S26" t="s">
        <v>1510</v>
      </c>
      <c r="T26" t="s">
        <v>1512</v>
      </c>
      <c r="U26" t="s">
        <v>1511</v>
      </c>
    </row>
    <row r="27" spans="1:21" hidden="1">
      <c r="A27" t="s">
        <v>1500</v>
      </c>
      <c r="B27" t="s">
        <v>1501</v>
      </c>
      <c r="C27" s="46">
        <v>2009</v>
      </c>
      <c r="D27" t="s">
        <v>42</v>
      </c>
      <c r="E27" s="40">
        <v>45896</v>
      </c>
      <c r="F27" s="40" t="s">
        <v>1503</v>
      </c>
      <c r="G27" s="40" t="s">
        <v>1451</v>
      </c>
      <c r="H27">
        <v>1951</v>
      </c>
      <c r="I27">
        <v>2008</v>
      </c>
      <c r="J27">
        <f t="shared" si="6"/>
        <v>58</v>
      </c>
      <c r="K27" t="s">
        <v>145</v>
      </c>
      <c r="L27" t="s">
        <v>1444</v>
      </c>
      <c r="M27" t="s">
        <v>721</v>
      </c>
      <c r="N27" t="s">
        <v>40</v>
      </c>
      <c r="O27" t="s">
        <v>1508</v>
      </c>
      <c r="P27" t="s">
        <v>1517</v>
      </c>
      <c r="Q27" t="s">
        <v>223</v>
      </c>
      <c r="R27" t="s">
        <v>41</v>
      </c>
      <c r="S27" t="s">
        <v>1510</v>
      </c>
      <c r="T27" t="s">
        <v>1512</v>
      </c>
      <c r="U27" t="s">
        <v>1511</v>
      </c>
    </row>
    <row r="28" spans="1:21" hidden="1">
      <c r="A28" t="s">
        <v>1500</v>
      </c>
      <c r="B28" t="s">
        <v>1501</v>
      </c>
      <c r="C28" s="46">
        <v>2009</v>
      </c>
      <c r="D28" t="s">
        <v>42</v>
      </c>
      <c r="E28" s="40">
        <v>45896</v>
      </c>
      <c r="F28" s="40" t="s">
        <v>1502</v>
      </c>
      <c r="G28" s="40" t="s">
        <v>1451</v>
      </c>
      <c r="H28">
        <v>1951</v>
      </c>
      <c r="I28">
        <v>2008</v>
      </c>
      <c r="J28">
        <f t="shared" si="6"/>
        <v>58</v>
      </c>
      <c r="K28" t="s">
        <v>145</v>
      </c>
      <c r="L28" t="s">
        <v>1444</v>
      </c>
      <c r="M28" t="s">
        <v>216</v>
      </c>
      <c r="N28" t="s">
        <v>1318</v>
      </c>
      <c r="O28" t="s">
        <v>1509</v>
      </c>
      <c r="P28" t="s">
        <v>1517</v>
      </c>
      <c r="Q28" t="s">
        <v>223</v>
      </c>
      <c r="R28" t="s">
        <v>41</v>
      </c>
      <c r="S28" t="s">
        <v>1510</v>
      </c>
      <c r="T28" t="s">
        <v>1513</v>
      </c>
      <c r="U28" t="s">
        <v>1511</v>
      </c>
    </row>
    <row r="29" spans="1:21" hidden="1">
      <c r="A29" t="s">
        <v>1500</v>
      </c>
      <c r="B29" t="s">
        <v>1501</v>
      </c>
      <c r="C29" s="46">
        <v>2009</v>
      </c>
      <c r="D29" t="s">
        <v>42</v>
      </c>
      <c r="E29" s="40">
        <v>45896</v>
      </c>
      <c r="F29" s="40" t="s">
        <v>1502</v>
      </c>
      <c r="G29" s="40" t="s">
        <v>1451</v>
      </c>
      <c r="H29">
        <v>1951</v>
      </c>
      <c r="I29">
        <v>2008</v>
      </c>
      <c r="J29">
        <f t="shared" si="6"/>
        <v>58</v>
      </c>
      <c r="K29" t="s">
        <v>145</v>
      </c>
      <c r="L29" t="s">
        <v>1444</v>
      </c>
      <c r="M29" t="s">
        <v>216</v>
      </c>
      <c r="N29" t="s">
        <v>1505</v>
      </c>
      <c r="O29" t="s">
        <v>1509</v>
      </c>
      <c r="P29" t="s">
        <v>1517</v>
      </c>
      <c r="Q29" t="s">
        <v>1467</v>
      </c>
      <c r="R29" t="s">
        <v>41</v>
      </c>
      <c r="S29" t="s">
        <v>1510</v>
      </c>
      <c r="T29" t="s">
        <v>1513</v>
      </c>
      <c r="U29" t="s">
        <v>1511</v>
      </c>
    </row>
    <row r="30" spans="1:21" hidden="1">
      <c r="A30" t="s">
        <v>1500</v>
      </c>
      <c r="B30" t="s">
        <v>1501</v>
      </c>
      <c r="C30" s="46">
        <v>2009</v>
      </c>
      <c r="D30" t="s">
        <v>42</v>
      </c>
      <c r="E30" s="40">
        <v>45896</v>
      </c>
      <c r="F30" s="40" t="s">
        <v>1502</v>
      </c>
      <c r="G30" s="40" t="s">
        <v>1451</v>
      </c>
      <c r="H30">
        <v>1951</v>
      </c>
      <c r="I30">
        <v>2008</v>
      </c>
      <c r="J30">
        <f t="shared" si="6"/>
        <v>58</v>
      </c>
      <c r="K30" t="s">
        <v>145</v>
      </c>
      <c r="L30" t="s">
        <v>1444</v>
      </c>
      <c r="M30" t="s">
        <v>216</v>
      </c>
      <c r="N30" t="s">
        <v>1506</v>
      </c>
      <c r="O30" t="s">
        <v>1509</v>
      </c>
      <c r="P30" t="s">
        <v>1517</v>
      </c>
      <c r="Q30" t="s">
        <v>223</v>
      </c>
      <c r="R30" t="s">
        <v>41</v>
      </c>
      <c r="S30" t="s">
        <v>1510</v>
      </c>
      <c r="T30" t="s">
        <v>1513</v>
      </c>
      <c r="U30" t="s">
        <v>1511</v>
      </c>
    </row>
    <row r="31" spans="1:21" hidden="1">
      <c r="A31" t="s">
        <v>1500</v>
      </c>
      <c r="B31" t="s">
        <v>1501</v>
      </c>
      <c r="C31" s="46">
        <v>2009</v>
      </c>
      <c r="D31" t="s">
        <v>42</v>
      </c>
      <c r="E31" s="40">
        <v>45896</v>
      </c>
      <c r="F31" s="40" t="s">
        <v>1502</v>
      </c>
      <c r="G31" s="40" t="s">
        <v>1451</v>
      </c>
      <c r="H31">
        <v>1951</v>
      </c>
      <c r="I31">
        <v>2008</v>
      </c>
      <c r="J31">
        <f t="shared" si="6"/>
        <v>58</v>
      </c>
      <c r="K31" t="s">
        <v>145</v>
      </c>
      <c r="L31" t="s">
        <v>1444</v>
      </c>
      <c r="M31" t="s">
        <v>1504</v>
      </c>
      <c r="N31" t="s">
        <v>1507</v>
      </c>
      <c r="O31" t="s">
        <v>1509</v>
      </c>
      <c r="P31" t="s">
        <v>1517</v>
      </c>
      <c r="Q31" t="s">
        <v>223</v>
      </c>
      <c r="R31" t="s">
        <v>41</v>
      </c>
      <c r="S31" t="s">
        <v>1510</v>
      </c>
      <c r="T31" t="s">
        <v>1513</v>
      </c>
      <c r="U31" t="s">
        <v>1511</v>
      </c>
    </row>
    <row r="32" spans="1:21" hidden="1">
      <c r="A32" t="s">
        <v>1500</v>
      </c>
      <c r="B32" t="s">
        <v>1501</v>
      </c>
      <c r="C32" s="46">
        <v>2009</v>
      </c>
      <c r="D32" t="s">
        <v>42</v>
      </c>
      <c r="E32" s="40">
        <v>45896</v>
      </c>
      <c r="F32" s="40" t="s">
        <v>1503</v>
      </c>
      <c r="G32" s="40" t="s">
        <v>1451</v>
      </c>
      <c r="H32">
        <v>1951</v>
      </c>
      <c r="I32">
        <v>2008</v>
      </c>
      <c r="J32">
        <f t="shared" si="6"/>
        <v>58</v>
      </c>
      <c r="K32" t="s">
        <v>145</v>
      </c>
      <c r="L32" t="s">
        <v>1444</v>
      </c>
      <c r="M32" t="s">
        <v>216</v>
      </c>
      <c r="N32" t="s">
        <v>1318</v>
      </c>
      <c r="O32" t="s">
        <v>1509</v>
      </c>
      <c r="P32" t="s">
        <v>1517</v>
      </c>
      <c r="Q32" t="s">
        <v>223</v>
      </c>
      <c r="R32" t="s">
        <v>41</v>
      </c>
      <c r="S32" t="s">
        <v>1510</v>
      </c>
      <c r="T32" t="s">
        <v>1513</v>
      </c>
      <c r="U32" t="s">
        <v>1511</v>
      </c>
    </row>
    <row r="33" spans="1:21" hidden="1">
      <c r="A33" t="s">
        <v>1500</v>
      </c>
      <c r="B33" t="s">
        <v>1501</v>
      </c>
      <c r="C33" s="46">
        <v>2009</v>
      </c>
      <c r="D33" t="s">
        <v>42</v>
      </c>
      <c r="E33" s="40">
        <v>45896</v>
      </c>
      <c r="F33" s="40" t="s">
        <v>1503</v>
      </c>
      <c r="G33" s="40" t="s">
        <v>1451</v>
      </c>
      <c r="H33">
        <v>1951</v>
      </c>
      <c r="I33">
        <v>2008</v>
      </c>
      <c r="J33">
        <f t="shared" si="6"/>
        <v>58</v>
      </c>
      <c r="K33" t="s">
        <v>145</v>
      </c>
      <c r="L33" t="s">
        <v>1444</v>
      </c>
      <c r="M33" t="s">
        <v>216</v>
      </c>
      <c r="N33" t="s">
        <v>1505</v>
      </c>
      <c r="O33" t="s">
        <v>1509</v>
      </c>
      <c r="P33" t="s">
        <v>1517</v>
      </c>
      <c r="Q33" t="s">
        <v>223</v>
      </c>
      <c r="R33" t="s">
        <v>41</v>
      </c>
      <c r="S33" t="s">
        <v>1510</v>
      </c>
      <c r="T33" t="s">
        <v>1513</v>
      </c>
      <c r="U33" t="s">
        <v>1511</v>
      </c>
    </row>
    <row r="34" spans="1:21" hidden="1">
      <c r="A34" t="s">
        <v>1500</v>
      </c>
      <c r="B34" t="s">
        <v>1501</v>
      </c>
      <c r="C34" s="46">
        <v>2009</v>
      </c>
      <c r="D34" t="s">
        <v>42</v>
      </c>
      <c r="E34" s="40">
        <v>45896</v>
      </c>
      <c r="F34" s="40" t="s">
        <v>1503</v>
      </c>
      <c r="G34" s="40" t="s">
        <v>1451</v>
      </c>
      <c r="H34">
        <v>1951</v>
      </c>
      <c r="I34">
        <v>2008</v>
      </c>
      <c r="J34">
        <f t="shared" si="6"/>
        <v>58</v>
      </c>
      <c r="K34" t="s">
        <v>145</v>
      </c>
      <c r="L34" t="s">
        <v>1444</v>
      </c>
      <c r="M34" t="s">
        <v>216</v>
      </c>
      <c r="N34" t="s">
        <v>1506</v>
      </c>
      <c r="O34" t="s">
        <v>1509</v>
      </c>
      <c r="P34" t="s">
        <v>1517</v>
      </c>
      <c r="Q34" t="s">
        <v>223</v>
      </c>
      <c r="R34" t="s">
        <v>41</v>
      </c>
      <c r="S34" t="s">
        <v>1510</v>
      </c>
      <c r="T34" t="s">
        <v>1513</v>
      </c>
      <c r="U34" t="s">
        <v>1511</v>
      </c>
    </row>
    <row r="35" spans="1:21" hidden="1">
      <c r="A35" t="s">
        <v>1500</v>
      </c>
      <c r="B35" t="s">
        <v>1501</v>
      </c>
      <c r="C35" s="46">
        <v>2009</v>
      </c>
      <c r="D35" t="s">
        <v>42</v>
      </c>
      <c r="E35" s="40">
        <v>45896</v>
      </c>
      <c r="F35" s="40" t="s">
        <v>1503</v>
      </c>
      <c r="G35" s="40" t="s">
        <v>1451</v>
      </c>
      <c r="H35">
        <v>1951</v>
      </c>
      <c r="I35">
        <v>2008</v>
      </c>
      <c r="J35">
        <f t="shared" si="6"/>
        <v>58</v>
      </c>
      <c r="K35" t="s">
        <v>145</v>
      </c>
      <c r="L35" t="s">
        <v>1444</v>
      </c>
      <c r="M35" t="s">
        <v>1504</v>
      </c>
      <c r="N35" t="s">
        <v>1507</v>
      </c>
      <c r="O35" t="s">
        <v>1509</v>
      </c>
      <c r="P35" t="s">
        <v>1517</v>
      </c>
      <c r="Q35" t="s">
        <v>223</v>
      </c>
      <c r="R35" t="s">
        <v>41</v>
      </c>
      <c r="S35" t="s">
        <v>1510</v>
      </c>
      <c r="T35" t="s">
        <v>1513</v>
      </c>
      <c r="U35" t="s">
        <v>1511</v>
      </c>
    </row>
    <row r="36" spans="1:21" hidden="1">
      <c r="A36" t="s">
        <v>1515</v>
      </c>
      <c r="B36" t="s">
        <v>1514</v>
      </c>
      <c r="C36" s="46">
        <v>2015</v>
      </c>
      <c r="D36" t="s">
        <v>42</v>
      </c>
      <c r="E36" s="40">
        <v>45896</v>
      </c>
      <c r="F36" s="40" t="s">
        <v>1516</v>
      </c>
      <c r="G36" s="40" t="s">
        <v>1451</v>
      </c>
      <c r="H36">
        <v>1983</v>
      </c>
      <c r="I36">
        <v>2004</v>
      </c>
      <c r="J36">
        <f t="shared" si="6"/>
        <v>22</v>
      </c>
      <c r="K36" t="s">
        <v>145</v>
      </c>
      <c r="L36" t="s">
        <v>1465</v>
      </c>
      <c r="M36" t="s">
        <v>788</v>
      </c>
      <c r="N36" t="s">
        <v>1519</v>
      </c>
      <c r="O36" t="s">
        <v>1445</v>
      </c>
      <c r="P36" t="s">
        <v>1518</v>
      </c>
      <c r="Q36" t="s">
        <v>1467</v>
      </c>
      <c r="R36" t="s">
        <v>694</v>
      </c>
      <c r="S36" t="s">
        <v>69</v>
      </c>
      <c r="T36" t="s">
        <v>1526</v>
      </c>
    </row>
    <row r="37" spans="1:21" hidden="1">
      <c r="A37" t="s">
        <v>1515</v>
      </c>
      <c r="B37" t="s">
        <v>1514</v>
      </c>
      <c r="C37" s="46">
        <v>2015</v>
      </c>
      <c r="D37" t="s">
        <v>42</v>
      </c>
      <c r="E37" s="40">
        <v>45896</v>
      </c>
      <c r="F37" s="40" t="s">
        <v>1516</v>
      </c>
      <c r="G37" s="40" t="s">
        <v>1451</v>
      </c>
      <c r="H37">
        <v>1983</v>
      </c>
      <c r="I37">
        <v>2004</v>
      </c>
      <c r="J37">
        <f t="shared" ref="J37:J80" si="7">I37-H37+1</f>
        <v>22</v>
      </c>
      <c r="K37" t="s">
        <v>145</v>
      </c>
      <c r="L37" t="s">
        <v>1465</v>
      </c>
      <c r="M37" t="s">
        <v>788</v>
      </c>
      <c r="N37" t="s">
        <v>1520</v>
      </c>
      <c r="O37" t="s">
        <v>1445</v>
      </c>
      <c r="P37" t="s">
        <v>1518</v>
      </c>
      <c r="Q37" t="s">
        <v>1467</v>
      </c>
      <c r="R37" t="s">
        <v>694</v>
      </c>
      <c r="S37" t="s">
        <v>69</v>
      </c>
      <c r="T37" t="s">
        <v>1526</v>
      </c>
    </row>
    <row r="38" spans="1:21" hidden="1">
      <c r="A38" t="s">
        <v>1515</v>
      </c>
      <c r="B38" t="s">
        <v>1514</v>
      </c>
      <c r="C38" s="46">
        <v>2015</v>
      </c>
      <c r="D38" t="s">
        <v>42</v>
      </c>
      <c r="E38" s="40">
        <v>45896</v>
      </c>
      <c r="F38" s="40" t="s">
        <v>1516</v>
      </c>
      <c r="G38" s="40" t="s">
        <v>1451</v>
      </c>
      <c r="H38">
        <v>1983</v>
      </c>
      <c r="I38">
        <v>2004</v>
      </c>
      <c r="J38">
        <f t="shared" si="7"/>
        <v>22</v>
      </c>
      <c r="K38" t="s">
        <v>145</v>
      </c>
      <c r="L38" t="s">
        <v>1465</v>
      </c>
      <c r="M38" t="s">
        <v>788</v>
      </c>
      <c r="N38" t="s">
        <v>1521</v>
      </c>
      <c r="O38" t="s">
        <v>1445</v>
      </c>
      <c r="P38" t="s">
        <v>1518</v>
      </c>
      <c r="Q38" t="s">
        <v>1467</v>
      </c>
      <c r="R38" t="s">
        <v>694</v>
      </c>
      <c r="S38" t="s">
        <v>69</v>
      </c>
      <c r="T38" t="s">
        <v>1526</v>
      </c>
    </row>
    <row r="39" spans="1:21" hidden="1">
      <c r="A39" t="s">
        <v>1515</v>
      </c>
      <c r="B39" t="s">
        <v>1514</v>
      </c>
      <c r="C39" s="46">
        <v>2015</v>
      </c>
      <c r="D39" t="s">
        <v>42</v>
      </c>
      <c r="E39" s="40">
        <v>45896</v>
      </c>
      <c r="F39" s="40" t="s">
        <v>1516</v>
      </c>
      <c r="G39" s="40" t="s">
        <v>1451</v>
      </c>
      <c r="H39">
        <v>1983</v>
      </c>
      <c r="I39">
        <v>2004</v>
      </c>
      <c r="J39">
        <f t="shared" si="7"/>
        <v>22</v>
      </c>
      <c r="K39" t="s">
        <v>145</v>
      </c>
      <c r="L39" t="s">
        <v>1465</v>
      </c>
      <c r="M39" t="s">
        <v>788</v>
      </c>
      <c r="N39" t="s">
        <v>1522</v>
      </c>
      <c r="O39" t="s">
        <v>1445</v>
      </c>
      <c r="P39" t="s">
        <v>1518</v>
      </c>
      <c r="Q39" t="s">
        <v>1467</v>
      </c>
      <c r="R39" t="s">
        <v>694</v>
      </c>
      <c r="S39" t="s">
        <v>69</v>
      </c>
      <c r="T39" t="s">
        <v>1526</v>
      </c>
    </row>
    <row r="40" spans="1:21" hidden="1">
      <c r="A40" t="s">
        <v>1515</v>
      </c>
      <c r="B40" t="s">
        <v>1514</v>
      </c>
      <c r="C40" s="46">
        <v>2015</v>
      </c>
      <c r="D40" t="s">
        <v>42</v>
      </c>
      <c r="E40" s="40">
        <v>45896</v>
      </c>
      <c r="F40" s="40" t="s">
        <v>1516</v>
      </c>
      <c r="G40" s="40" t="s">
        <v>1451</v>
      </c>
      <c r="H40">
        <v>1983</v>
      </c>
      <c r="I40">
        <v>2004</v>
      </c>
      <c r="J40">
        <f t="shared" si="7"/>
        <v>22</v>
      </c>
      <c r="K40" t="s">
        <v>145</v>
      </c>
      <c r="L40" t="s">
        <v>1465</v>
      </c>
      <c r="M40" t="s">
        <v>788</v>
      </c>
      <c r="N40" t="s">
        <v>1523</v>
      </c>
      <c r="O40" t="s">
        <v>1445</v>
      </c>
      <c r="P40" t="s">
        <v>1518</v>
      </c>
      <c r="Q40" t="s">
        <v>1467</v>
      </c>
      <c r="R40" t="s">
        <v>694</v>
      </c>
      <c r="S40" t="s">
        <v>69</v>
      </c>
      <c r="T40" t="s">
        <v>1526</v>
      </c>
    </row>
    <row r="41" spans="1:21" hidden="1">
      <c r="A41" t="s">
        <v>1515</v>
      </c>
      <c r="B41" t="s">
        <v>1514</v>
      </c>
      <c r="C41" s="46">
        <v>2015</v>
      </c>
      <c r="D41" t="s">
        <v>42</v>
      </c>
      <c r="E41" s="40">
        <v>45896</v>
      </c>
      <c r="F41" s="40" t="s">
        <v>1516</v>
      </c>
      <c r="G41" s="40" t="s">
        <v>1451</v>
      </c>
      <c r="H41">
        <v>1983</v>
      </c>
      <c r="I41">
        <v>2004</v>
      </c>
      <c r="J41">
        <f t="shared" si="7"/>
        <v>22</v>
      </c>
      <c r="K41" t="s">
        <v>145</v>
      </c>
      <c r="L41" t="s">
        <v>1465</v>
      </c>
      <c r="M41" t="s">
        <v>788</v>
      </c>
      <c r="N41" t="s">
        <v>1524</v>
      </c>
      <c r="O41" t="s">
        <v>1445</v>
      </c>
      <c r="P41" t="s">
        <v>1518</v>
      </c>
      <c r="Q41" t="s">
        <v>1467</v>
      </c>
      <c r="R41" t="s">
        <v>694</v>
      </c>
      <c r="S41" t="s">
        <v>69</v>
      </c>
      <c r="T41" t="s">
        <v>1526</v>
      </c>
    </row>
    <row r="42" spans="1:21" hidden="1">
      <c r="A42" t="s">
        <v>1515</v>
      </c>
      <c r="B42" t="s">
        <v>1514</v>
      </c>
      <c r="C42" s="46">
        <v>2015</v>
      </c>
      <c r="D42" t="s">
        <v>42</v>
      </c>
      <c r="E42" s="40">
        <v>45896</v>
      </c>
      <c r="F42" s="40" t="s">
        <v>1516</v>
      </c>
      <c r="G42" s="40" t="s">
        <v>1451</v>
      </c>
      <c r="H42">
        <v>1983</v>
      </c>
      <c r="I42">
        <v>2004</v>
      </c>
      <c r="J42">
        <f t="shared" si="7"/>
        <v>22</v>
      </c>
      <c r="K42" t="s">
        <v>145</v>
      </c>
      <c r="L42" t="s">
        <v>1465</v>
      </c>
      <c r="M42" t="s">
        <v>788</v>
      </c>
      <c r="N42" t="s">
        <v>1525</v>
      </c>
      <c r="O42" t="s">
        <v>1445</v>
      </c>
      <c r="P42" t="s">
        <v>1518</v>
      </c>
      <c r="Q42" t="s">
        <v>1467</v>
      </c>
      <c r="R42" t="s">
        <v>694</v>
      </c>
      <c r="S42" t="s">
        <v>69</v>
      </c>
      <c r="T42" t="s">
        <v>1526</v>
      </c>
    </row>
    <row r="43" spans="1:21" s="48" customFormat="1" hidden="1">
      <c r="A43" s="48" t="s">
        <v>699</v>
      </c>
      <c r="B43" s="48" t="s">
        <v>700</v>
      </c>
      <c r="C43" s="49">
        <v>2016</v>
      </c>
      <c r="D43" s="53" t="s">
        <v>44</v>
      </c>
      <c r="E43" s="50">
        <v>45896</v>
      </c>
      <c r="F43" s="50" t="s">
        <v>712</v>
      </c>
      <c r="G43" s="50" t="s">
        <v>1451</v>
      </c>
      <c r="H43" s="48">
        <v>1967</v>
      </c>
      <c r="I43" s="48">
        <v>2013</v>
      </c>
      <c r="J43" s="48">
        <f t="shared" si="7"/>
        <v>47</v>
      </c>
      <c r="K43" s="48" t="s">
        <v>145</v>
      </c>
      <c r="L43" s="48" t="s">
        <v>1444</v>
      </c>
      <c r="M43" s="48" t="s">
        <v>1014</v>
      </c>
      <c r="N43" s="48" t="s">
        <v>169</v>
      </c>
      <c r="O43" s="48" t="s">
        <v>1445</v>
      </c>
      <c r="P43" s="48" t="s">
        <v>1517</v>
      </c>
      <c r="Q43" s="48" t="s">
        <v>1467</v>
      </c>
      <c r="R43" s="48" t="s">
        <v>694</v>
      </c>
      <c r="S43" s="48" t="s">
        <v>1527</v>
      </c>
      <c r="T43" s="48" t="s">
        <v>1528</v>
      </c>
      <c r="U43" s="48" t="s">
        <v>1728</v>
      </c>
    </row>
    <row r="44" spans="1:21" s="48" customFormat="1" hidden="1">
      <c r="A44" s="48" t="s">
        <v>699</v>
      </c>
      <c r="B44" s="48" t="s">
        <v>700</v>
      </c>
      <c r="C44" s="49">
        <v>2016</v>
      </c>
      <c r="D44" s="53" t="s">
        <v>44</v>
      </c>
      <c r="E44" s="50">
        <v>45896</v>
      </c>
      <c r="F44" s="50" t="s">
        <v>712</v>
      </c>
      <c r="G44" s="50" t="s">
        <v>1451</v>
      </c>
      <c r="H44" s="48">
        <v>1967</v>
      </c>
      <c r="I44" s="48">
        <v>2013</v>
      </c>
      <c r="J44" s="48">
        <f t="shared" si="7"/>
        <v>47</v>
      </c>
      <c r="K44" s="48" t="s">
        <v>145</v>
      </c>
      <c r="L44" s="48" t="s">
        <v>1444</v>
      </c>
      <c r="M44" s="48" t="s">
        <v>1014</v>
      </c>
      <c r="N44" s="48" t="s">
        <v>701</v>
      </c>
      <c r="O44" s="48" t="s">
        <v>1445</v>
      </c>
      <c r="P44" s="48" t="s">
        <v>1517</v>
      </c>
      <c r="Q44" s="48" t="s">
        <v>1467</v>
      </c>
      <c r="R44" s="48" t="s">
        <v>694</v>
      </c>
      <c r="S44" s="48" t="s">
        <v>1527</v>
      </c>
      <c r="T44" s="48" t="s">
        <v>1528</v>
      </c>
      <c r="U44" s="48" t="s">
        <v>1728</v>
      </c>
    </row>
    <row r="45" spans="1:21" s="48" customFormat="1" hidden="1">
      <c r="A45" s="48" t="s">
        <v>699</v>
      </c>
      <c r="B45" s="48" t="s">
        <v>700</v>
      </c>
      <c r="C45" s="49">
        <v>2016</v>
      </c>
      <c r="D45" s="53" t="s">
        <v>44</v>
      </c>
      <c r="E45" s="50">
        <v>45896</v>
      </c>
      <c r="F45" s="50" t="s">
        <v>712</v>
      </c>
      <c r="G45" s="50" t="s">
        <v>1451</v>
      </c>
      <c r="H45" s="48">
        <v>1967</v>
      </c>
      <c r="I45" s="48">
        <v>2013</v>
      </c>
      <c r="J45" s="48">
        <f t="shared" si="7"/>
        <v>47</v>
      </c>
      <c r="K45" s="48" t="s">
        <v>145</v>
      </c>
      <c r="L45" s="48" t="s">
        <v>1444</v>
      </c>
      <c r="M45" s="48" t="s">
        <v>1014</v>
      </c>
      <c r="N45" s="48" t="s">
        <v>702</v>
      </c>
      <c r="O45" s="48" t="s">
        <v>1446</v>
      </c>
      <c r="P45" s="48" t="s">
        <v>1517</v>
      </c>
      <c r="Q45" s="48" t="s">
        <v>1468</v>
      </c>
      <c r="R45" s="48" t="s">
        <v>694</v>
      </c>
      <c r="S45" s="48" t="s">
        <v>1527</v>
      </c>
      <c r="T45" s="48" t="s">
        <v>1528</v>
      </c>
      <c r="U45" s="48" t="s">
        <v>1728</v>
      </c>
    </row>
    <row r="46" spans="1:21" s="48" customFormat="1" hidden="1">
      <c r="A46" s="48" t="s">
        <v>699</v>
      </c>
      <c r="B46" s="48" t="s">
        <v>700</v>
      </c>
      <c r="C46" s="49">
        <v>2016</v>
      </c>
      <c r="D46" s="53" t="s">
        <v>44</v>
      </c>
      <c r="E46" s="50">
        <v>45896</v>
      </c>
      <c r="F46" s="50" t="s">
        <v>712</v>
      </c>
      <c r="G46" s="50" t="s">
        <v>1451</v>
      </c>
      <c r="H46" s="48">
        <v>1967</v>
      </c>
      <c r="I46" s="48">
        <v>2013</v>
      </c>
      <c r="J46" s="48">
        <f t="shared" si="7"/>
        <v>47</v>
      </c>
      <c r="K46" s="48" t="s">
        <v>145</v>
      </c>
      <c r="L46" s="48" t="s">
        <v>1444</v>
      </c>
      <c r="M46" s="48" t="s">
        <v>1014</v>
      </c>
      <c r="N46" s="48" t="s">
        <v>703</v>
      </c>
      <c r="O46" s="48" t="s">
        <v>1446</v>
      </c>
      <c r="P46" s="48" t="s">
        <v>1517</v>
      </c>
      <c r="Q46" s="48" t="s">
        <v>1467</v>
      </c>
      <c r="R46" s="48" t="s">
        <v>41</v>
      </c>
      <c r="S46" s="48" t="s">
        <v>1527</v>
      </c>
      <c r="T46" s="48" t="s">
        <v>1528</v>
      </c>
      <c r="U46" s="48" t="s">
        <v>1728</v>
      </c>
    </row>
    <row r="47" spans="1:21" s="48" customFormat="1" hidden="1">
      <c r="A47" s="48" t="s">
        <v>699</v>
      </c>
      <c r="B47" s="48" t="s">
        <v>700</v>
      </c>
      <c r="C47" s="49">
        <v>2016</v>
      </c>
      <c r="D47" s="53" t="s">
        <v>44</v>
      </c>
      <c r="E47" s="50">
        <v>45896</v>
      </c>
      <c r="F47" s="50" t="s">
        <v>712</v>
      </c>
      <c r="G47" s="50" t="s">
        <v>1451</v>
      </c>
      <c r="H47" s="48">
        <v>1967</v>
      </c>
      <c r="I47" s="48">
        <v>2013</v>
      </c>
      <c r="J47" s="48">
        <f t="shared" si="7"/>
        <v>47</v>
      </c>
      <c r="K47" s="48" t="s">
        <v>145</v>
      </c>
      <c r="L47" s="48" t="s">
        <v>1444</v>
      </c>
      <c r="M47" s="48" t="s">
        <v>1014</v>
      </c>
      <c r="N47" s="48" t="s">
        <v>704</v>
      </c>
      <c r="O47" s="48" t="s">
        <v>1446</v>
      </c>
      <c r="P47" s="48" t="s">
        <v>1517</v>
      </c>
      <c r="Q47" s="48" t="s">
        <v>1467</v>
      </c>
      <c r="R47" s="48" t="s">
        <v>41</v>
      </c>
      <c r="S47" s="48" t="s">
        <v>1527</v>
      </c>
      <c r="T47" s="48" t="s">
        <v>1528</v>
      </c>
      <c r="U47" s="48" t="s">
        <v>1728</v>
      </c>
    </row>
    <row r="48" spans="1:21" s="48" customFormat="1" hidden="1">
      <c r="A48" s="48" t="s">
        <v>699</v>
      </c>
      <c r="B48" s="52" t="s">
        <v>700</v>
      </c>
      <c r="C48" s="49">
        <v>2016</v>
      </c>
      <c r="D48" s="53" t="s">
        <v>44</v>
      </c>
      <c r="E48" s="50">
        <v>45896</v>
      </c>
      <c r="F48" s="50" t="s">
        <v>712</v>
      </c>
      <c r="G48" s="50" t="s">
        <v>1451</v>
      </c>
      <c r="H48" s="48">
        <v>1967</v>
      </c>
      <c r="I48" s="48">
        <v>2013</v>
      </c>
      <c r="J48" s="48">
        <f t="shared" si="7"/>
        <v>47</v>
      </c>
      <c r="K48" s="48" t="s">
        <v>145</v>
      </c>
      <c r="L48" s="48" t="s">
        <v>1444</v>
      </c>
      <c r="M48" s="48" t="s">
        <v>98</v>
      </c>
      <c r="N48" s="48" t="s">
        <v>144</v>
      </c>
      <c r="O48" s="48" t="s">
        <v>1445</v>
      </c>
      <c r="P48" s="48" t="s">
        <v>1517</v>
      </c>
      <c r="Q48" s="48" t="s">
        <v>1468</v>
      </c>
      <c r="R48" s="48" t="s">
        <v>41</v>
      </c>
      <c r="S48" s="48" t="s">
        <v>1527</v>
      </c>
      <c r="T48" s="48" t="s">
        <v>1528</v>
      </c>
      <c r="U48" s="48" t="s">
        <v>1728</v>
      </c>
    </row>
    <row r="49" spans="1:21" s="48" customFormat="1" hidden="1">
      <c r="A49" s="48" t="s">
        <v>699</v>
      </c>
      <c r="B49" s="48" t="s">
        <v>700</v>
      </c>
      <c r="C49" s="49">
        <v>2016</v>
      </c>
      <c r="D49" s="53" t="s">
        <v>44</v>
      </c>
      <c r="E49" s="50">
        <v>45896</v>
      </c>
      <c r="F49" s="50" t="s">
        <v>712</v>
      </c>
      <c r="G49" s="50" t="s">
        <v>1451</v>
      </c>
      <c r="H49" s="48">
        <v>1967</v>
      </c>
      <c r="I49" s="48">
        <v>2013</v>
      </c>
      <c r="J49" s="48">
        <f t="shared" si="7"/>
        <v>47</v>
      </c>
      <c r="K49" s="48" t="s">
        <v>145</v>
      </c>
      <c r="L49" s="48" t="s">
        <v>1444</v>
      </c>
      <c r="M49" s="48" t="s">
        <v>98</v>
      </c>
      <c r="N49" s="48" t="s">
        <v>281</v>
      </c>
      <c r="O49" s="48" t="s">
        <v>1445</v>
      </c>
      <c r="P49" s="48" t="s">
        <v>1517</v>
      </c>
      <c r="Q49" s="48" t="s">
        <v>1468</v>
      </c>
      <c r="R49" s="48" t="s">
        <v>41</v>
      </c>
      <c r="S49" s="48" t="s">
        <v>1527</v>
      </c>
      <c r="T49" s="48" t="s">
        <v>1528</v>
      </c>
      <c r="U49" s="48" t="s">
        <v>1728</v>
      </c>
    </row>
    <row r="50" spans="1:21" s="48" customFormat="1" hidden="1">
      <c r="A50" s="48" t="s">
        <v>699</v>
      </c>
      <c r="B50" s="48" t="s">
        <v>700</v>
      </c>
      <c r="C50" s="49">
        <v>2016</v>
      </c>
      <c r="D50" s="53" t="s">
        <v>44</v>
      </c>
      <c r="E50" s="50">
        <v>45896</v>
      </c>
      <c r="F50" s="50" t="s">
        <v>712</v>
      </c>
      <c r="G50" s="50" t="s">
        <v>1451</v>
      </c>
      <c r="H50" s="48">
        <v>1967</v>
      </c>
      <c r="I50" s="48">
        <v>2013</v>
      </c>
      <c r="J50" s="48">
        <f t="shared" si="7"/>
        <v>47</v>
      </c>
      <c r="K50" s="48" t="s">
        <v>145</v>
      </c>
      <c r="L50" s="48" t="s">
        <v>1444</v>
      </c>
      <c r="M50" s="48" t="s">
        <v>1014</v>
      </c>
      <c r="N50" s="48" t="s">
        <v>170</v>
      </c>
      <c r="O50" s="48" t="s">
        <v>1445</v>
      </c>
      <c r="P50" s="48" t="s">
        <v>1517</v>
      </c>
      <c r="Q50" s="48" t="s">
        <v>1468</v>
      </c>
      <c r="R50" s="48" t="s">
        <v>41</v>
      </c>
      <c r="S50" s="48" t="s">
        <v>1527</v>
      </c>
      <c r="T50" s="48" t="s">
        <v>1528</v>
      </c>
      <c r="U50" s="48" t="s">
        <v>1728</v>
      </c>
    </row>
    <row r="51" spans="1:21" s="48" customFormat="1" hidden="1">
      <c r="A51" s="48" t="s">
        <v>699</v>
      </c>
      <c r="B51" s="48" t="s">
        <v>700</v>
      </c>
      <c r="C51" s="49">
        <v>2016</v>
      </c>
      <c r="D51" s="53" t="s">
        <v>44</v>
      </c>
      <c r="E51" s="50">
        <v>45896</v>
      </c>
      <c r="F51" s="50" t="s">
        <v>712</v>
      </c>
      <c r="G51" s="50" t="s">
        <v>1451</v>
      </c>
      <c r="H51" s="48">
        <v>1967</v>
      </c>
      <c r="I51" s="48">
        <v>2013</v>
      </c>
      <c r="J51" s="48">
        <f t="shared" si="7"/>
        <v>47</v>
      </c>
      <c r="K51" s="48" t="s">
        <v>145</v>
      </c>
      <c r="L51" s="48" t="s">
        <v>1444</v>
      </c>
      <c r="M51" s="48" t="s">
        <v>1014</v>
      </c>
      <c r="N51" s="48" t="s">
        <v>705</v>
      </c>
      <c r="O51" s="48" t="s">
        <v>1445</v>
      </c>
      <c r="P51" s="48" t="s">
        <v>1517</v>
      </c>
      <c r="Q51" s="48" t="s">
        <v>223</v>
      </c>
      <c r="R51" s="48" t="s">
        <v>41</v>
      </c>
      <c r="S51" s="48" t="s">
        <v>1527</v>
      </c>
      <c r="T51" s="48" t="s">
        <v>1528</v>
      </c>
      <c r="U51" s="48" t="s">
        <v>1728</v>
      </c>
    </row>
    <row r="52" spans="1:21" s="48" customFormat="1" hidden="1">
      <c r="A52" s="48" t="s">
        <v>699</v>
      </c>
      <c r="B52" s="48" t="s">
        <v>700</v>
      </c>
      <c r="C52" s="49">
        <v>2016</v>
      </c>
      <c r="D52" s="53" t="s">
        <v>44</v>
      </c>
      <c r="E52" s="50">
        <v>45896</v>
      </c>
      <c r="F52" s="50" t="s">
        <v>712</v>
      </c>
      <c r="G52" s="50" t="s">
        <v>1451</v>
      </c>
      <c r="H52" s="48">
        <v>1967</v>
      </c>
      <c r="I52" s="48">
        <v>2013</v>
      </c>
      <c r="J52" s="48">
        <f t="shared" si="7"/>
        <v>47</v>
      </c>
      <c r="K52" s="48" t="s">
        <v>145</v>
      </c>
      <c r="L52" s="48" t="s">
        <v>1444</v>
      </c>
      <c r="M52" s="48" t="s">
        <v>1014</v>
      </c>
      <c r="N52" s="48" t="s">
        <v>706</v>
      </c>
      <c r="O52" s="48" t="s">
        <v>1446</v>
      </c>
      <c r="P52" s="48" t="s">
        <v>1517</v>
      </c>
      <c r="Q52" s="48" t="s">
        <v>1468</v>
      </c>
      <c r="R52" s="48" t="s">
        <v>694</v>
      </c>
      <c r="S52" s="48" t="s">
        <v>1527</v>
      </c>
      <c r="T52" s="48" t="s">
        <v>1528</v>
      </c>
      <c r="U52" s="48" t="s">
        <v>1728</v>
      </c>
    </row>
    <row r="53" spans="1:21" s="48" customFormat="1" hidden="1">
      <c r="A53" s="48" t="s">
        <v>699</v>
      </c>
      <c r="B53" s="48" t="s">
        <v>700</v>
      </c>
      <c r="C53" s="49">
        <v>2016</v>
      </c>
      <c r="D53" s="53" t="s">
        <v>44</v>
      </c>
      <c r="E53" s="50">
        <v>45896</v>
      </c>
      <c r="F53" s="50" t="s">
        <v>712</v>
      </c>
      <c r="G53" s="50" t="s">
        <v>1451</v>
      </c>
      <c r="H53" s="48">
        <v>1967</v>
      </c>
      <c r="I53" s="48">
        <v>2013</v>
      </c>
      <c r="J53" s="48">
        <f t="shared" si="7"/>
        <v>47</v>
      </c>
      <c r="K53" s="48" t="s">
        <v>145</v>
      </c>
      <c r="L53" s="48" t="s">
        <v>1444</v>
      </c>
      <c r="M53" s="48" t="s">
        <v>1014</v>
      </c>
      <c r="N53" s="48" t="s">
        <v>707</v>
      </c>
      <c r="O53" s="48" t="s">
        <v>1446</v>
      </c>
      <c r="P53" s="48" t="s">
        <v>1517</v>
      </c>
      <c r="Q53" s="48" t="s">
        <v>1468</v>
      </c>
      <c r="R53" s="48" t="s">
        <v>694</v>
      </c>
      <c r="S53" s="48" t="s">
        <v>1527</v>
      </c>
      <c r="T53" s="48" t="s">
        <v>1528</v>
      </c>
      <c r="U53" s="48" t="s">
        <v>1728</v>
      </c>
    </row>
    <row r="54" spans="1:21" s="48" customFormat="1" hidden="1">
      <c r="A54" s="48" t="s">
        <v>699</v>
      </c>
      <c r="B54" s="48" t="s">
        <v>700</v>
      </c>
      <c r="C54" s="49">
        <v>2016</v>
      </c>
      <c r="D54" s="53" t="s">
        <v>44</v>
      </c>
      <c r="E54" s="50">
        <v>45896</v>
      </c>
      <c r="F54" s="50" t="s">
        <v>712</v>
      </c>
      <c r="G54" s="50" t="s">
        <v>1451</v>
      </c>
      <c r="H54" s="48">
        <v>1967</v>
      </c>
      <c r="I54" s="48">
        <v>2013</v>
      </c>
      <c r="J54" s="48">
        <f t="shared" si="7"/>
        <v>47</v>
      </c>
      <c r="K54" s="48" t="s">
        <v>145</v>
      </c>
      <c r="L54" s="48" t="s">
        <v>1444</v>
      </c>
      <c r="M54" s="48" t="s">
        <v>1014</v>
      </c>
      <c r="N54" s="48" t="s">
        <v>708</v>
      </c>
      <c r="O54" s="48" t="s">
        <v>1446</v>
      </c>
      <c r="P54" s="48" t="s">
        <v>1517</v>
      </c>
      <c r="Q54" s="48" t="s">
        <v>1468</v>
      </c>
      <c r="R54" s="48" t="s">
        <v>694</v>
      </c>
      <c r="S54" s="48" t="s">
        <v>1527</v>
      </c>
      <c r="T54" s="48" t="s">
        <v>1528</v>
      </c>
      <c r="U54" s="48" t="s">
        <v>1728</v>
      </c>
    </row>
    <row r="55" spans="1:21" s="48" customFormat="1" hidden="1">
      <c r="A55" s="48" t="s">
        <v>699</v>
      </c>
      <c r="B55" s="48" t="s">
        <v>700</v>
      </c>
      <c r="C55" s="49">
        <v>2016</v>
      </c>
      <c r="D55" s="53" t="s">
        <v>44</v>
      </c>
      <c r="E55" s="50">
        <v>45896</v>
      </c>
      <c r="F55" s="50" t="s">
        <v>712</v>
      </c>
      <c r="G55" s="50" t="s">
        <v>1451</v>
      </c>
      <c r="H55" s="48">
        <v>1967</v>
      </c>
      <c r="I55" s="48">
        <v>2013</v>
      </c>
      <c r="J55" s="48">
        <f t="shared" si="7"/>
        <v>47</v>
      </c>
      <c r="K55" s="48" t="s">
        <v>145</v>
      </c>
      <c r="L55" s="48" t="s">
        <v>1444</v>
      </c>
      <c r="M55" s="48" t="s">
        <v>98</v>
      </c>
      <c r="N55" s="48" t="s">
        <v>709</v>
      </c>
      <c r="O55" s="48" t="s">
        <v>1445</v>
      </c>
      <c r="P55" s="48" t="s">
        <v>1517</v>
      </c>
      <c r="Q55" s="48" t="s">
        <v>1467</v>
      </c>
      <c r="R55" s="48" t="s">
        <v>694</v>
      </c>
      <c r="S55" s="48" t="s">
        <v>1527</v>
      </c>
      <c r="T55" s="48" t="s">
        <v>1528</v>
      </c>
      <c r="U55" s="48" t="s">
        <v>1728</v>
      </c>
    </row>
    <row r="56" spans="1:21" s="48" customFormat="1" hidden="1">
      <c r="A56" s="48" t="s">
        <v>699</v>
      </c>
      <c r="B56" s="48" t="s">
        <v>700</v>
      </c>
      <c r="C56" s="49">
        <v>2016</v>
      </c>
      <c r="D56" s="53" t="s">
        <v>44</v>
      </c>
      <c r="E56" s="50">
        <v>45896</v>
      </c>
      <c r="F56" s="50" t="s">
        <v>712</v>
      </c>
      <c r="G56" s="50" t="s">
        <v>1451</v>
      </c>
      <c r="H56" s="48">
        <v>1967</v>
      </c>
      <c r="I56" s="48">
        <v>2013</v>
      </c>
      <c r="J56" s="48">
        <f t="shared" si="7"/>
        <v>47</v>
      </c>
      <c r="K56" s="48" t="s">
        <v>145</v>
      </c>
      <c r="L56" s="48" t="s">
        <v>1444</v>
      </c>
      <c r="M56" s="48" t="s">
        <v>98</v>
      </c>
      <c r="N56" s="48" t="s">
        <v>710</v>
      </c>
      <c r="O56" s="48" t="s">
        <v>1445</v>
      </c>
      <c r="P56" s="48" t="s">
        <v>1517</v>
      </c>
      <c r="Q56" s="48" t="s">
        <v>1468</v>
      </c>
      <c r="R56" s="48" t="s">
        <v>41</v>
      </c>
      <c r="S56" s="48" t="s">
        <v>1527</v>
      </c>
      <c r="T56" s="48" t="s">
        <v>1528</v>
      </c>
      <c r="U56" s="48" t="s">
        <v>1728</v>
      </c>
    </row>
    <row r="57" spans="1:21" s="48" customFormat="1" hidden="1">
      <c r="A57" s="48" t="s">
        <v>699</v>
      </c>
      <c r="B57" s="48" t="s">
        <v>700</v>
      </c>
      <c r="C57" s="49">
        <v>2016</v>
      </c>
      <c r="D57" s="53" t="s">
        <v>44</v>
      </c>
      <c r="E57" s="50">
        <v>45896</v>
      </c>
      <c r="F57" s="50" t="s">
        <v>712</v>
      </c>
      <c r="G57" s="50" t="s">
        <v>1451</v>
      </c>
      <c r="H57" s="48">
        <v>1967</v>
      </c>
      <c r="I57" s="48">
        <v>2013</v>
      </c>
      <c r="J57" s="48">
        <f t="shared" si="7"/>
        <v>47</v>
      </c>
      <c r="K57" s="48" t="s">
        <v>145</v>
      </c>
      <c r="L57" s="48" t="s">
        <v>1444</v>
      </c>
      <c r="M57" s="48" t="s">
        <v>97</v>
      </c>
      <c r="N57" s="48" t="s">
        <v>711</v>
      </c>
      <c r="O57" s="48" t="s">
        <v>1445</v>
      </c>
      <c r="P57" s="48" t="s">
        <v>1517</v>
      </c>
      <c r="Q57" s="48" t="s">
        <v>223</v>
      </c>
      <c r="R57" s="48" t="s">
        <v>41</v>
      </c>
      <c r="S57" s="48" t="s">
        <v>1527</v>
      </c>
      <c r="T57" s="48" t="s">
        <v>1528</v>
      </c>
      <c r="U57" s="48" t="s">
        <v>1728</v>
      </c>
    </row>
    <row r="58" spans="1:21" hidden="1">
      <c r="A58" t="s">
        <v>732</v>
      </c>
      <c r="B58" t="s">
        <v>733</v>
      </c>
      <c r="C58" s="46">
        <v>2024</v>
      </c>
      <c r="D58" s="51" t="s">
        <v>44</v>
      </c>
      <c r="E58" s="40">
        <v>45896</v>
      </c>
      <c r="F58" s="40" t="s">
        <v>735</v>
      </c>
      <c r="G58" s="40" t="s">
        <v>1451</v>
      </c>
      <c r="H58">
        <v>1975</v>
      </c>
      <c r="I58">
        <v>2017</v>
      </c>
      <c r="J58">
        <f t="shared" si="7"/>
        <v>43</v>
      </c>
      <c r="K58" t="s">
        <v>145</v>
      </c>
      <c r="L58" t="s">
        <v>199</v>
      </c>
      <c r="M58" t="s">
        <v>1014</v>
      </c>
      <c r="N58" t="s">
        <v>736</v>
      </c>
      <c r="O58" t="s">
        <v>1445</v>
      </c>
      <c r="P58" t="s">
        <v>1517</v>
      </c>
      <c r="Q58" t="s">
        <v>1468</v>
      </c>
      <c r="R58" t="s">
        <v>41</v>
      </c>
      <c r="S58" t="s">
        <v>69</v>
      </c>
      <c r="T58" t="s">
        <v>1529</v>
      </c>
      <c r="U58" s="4" t="s">
        <v>1530</v>
      </c>
    </row>
    <row r="59" spans="1:21" hidden="1">
      <c r="A59" t="s">
        <v>732</v>
      </c>
      <c r="B59" t="s">
        <v>733</v>
      </c>
      <c r="C59" s="46">
        <v>2024</v>
      </c>
      <c r="D59" s="51" t="s">
        <v>44</v>
      </c>
      <c r="E59" s="40">
        <v>45896</v>
      </c>
      <c r="F59" s="40" t="s">
        <v>735</v>
      </c>
      <c r="G59" s="40" t="s">
        <v>1451</v>
      </c>
      <c r="H59">
        <v>1975</v>
      </c>
      <c r="I59">
        <v>2017</v>
      </c>
      <c r="J59">
        <f t="shared" si="7"/>
        <v>43</v>
      </c>
      <c r="K59" t="s">
        <v>145</v>
      </c>
      <c r="L59" t="s">
        <v>199</v>
      </c>
      <c r="M59" t="s">
        <v>1014</v>
      </c>
      <c r="N59" t="s">
        <v>737</v>
      </c>
      <c r="O59" t="s">
        <v>1445</v>
      </c>
      <c r="P59" t="s">
        <v>1517</v>
      </c>
      <c r="Q59" t="s">
        <v>1468</v>
      </c>
      <c r="R59" t="s">
        <v>41</v>
      </c>
      <c r="S59" t="s">
        <v>69</v>
      </c>
      <c r="T59" t="s">
        <v>1529</v>
      </c>
      <c r="U59" s="4" t="s">
        <v>1530</v>
      </c>
    </row>
    <row r="60" spans="1:21" hidden="1">
      <c r="A60" t="s">
        <v>732</v>
      </c>
      <c r="B60" t="s">
        <v>733</v>
      </c>
      <c r="C60" s="46">
        <v>2024</v>
      </c>
      <c r="D60" s="51" t="s">
        <v>44</v>
      </c>
      <c r="E60" s="40">
        <v>45896</v>
      </c>
      <c r="F60" s="40" t="s">
        <v>735</v>
      </c>
      <c r="G60" s="40" t="s">
        <v>1451</v>
      </c>
      <c r="H60">
        <v>1975</v>
      </c>
      <c r="I60">
        <v>2017</v>
      </c>
      <c r="J60">
        <f t="shared" si="7"/>
        <v>43</v>
      </c>
      <c r="K60" t="s">
        <v>145</v>
      </c>
      <c r="L60" t="s">
        <v>199</v>
      </c>
      <c r="M60" t="s">
        <v>1014</v>
      </c>
      <c r="N60" t="s">
        <v>738</v>
      </c>
      <c r="O60" t="s">
        <v>1445</v>
      </c>
      <c r="P60" t="s">
        <v>1517</v>
      </c>
      <c r="Q60" t="s">
        <v>1468</v>
      </c>
      <c r="R60" t="s">
        <v>41</v>
      </c>
      <c r="S60" t="s">
        <v>69</v>
      </c>
      <c r="T60" t="s">
        <v>1529</v>
      </c>
      <c r="U60" s="4" t="s">
        <v>1530</v>
      </c>
    </row>
    <row r="61" spans="1:21" hidden="1">
      <c r="A61" t="s">
        <v>732</v>
      </c>
      <c r="B61" t="s">
        <v>733</v>
      </c>
      <c r="C61" s="46">
        <v>2024</v>
      </c>
      <c r="D61" s="51" t="s">
        <v>44</v>
      </c>
      <c r="E61" s="40">
        <v>45896</v>
      </c>
      <c r="F61" s="40" t="s">
        <v>735</v>
      </c>
      <c r="G61" s="40" t="s">
        <v>1451</v>
      </c>
      <c r="H61">
        <v>1975</v>
      </c>
      <c r="I61">
        <v>2017</v>
      </c>
      <c r="J61">
        <f t="shared" si="7"/>
        <v>43</v>
      </c>
      <c r="K61" t="s">
        <v>145</v>
      </c>
      <c r="L61" t="s">
        <v>199</v>
      </c>
      <c r="M61" t="s">
        <v>1015</v>
      </c>
      <c r="N61" s="4" t="s">
        <v>669</v>
      </c>
      <c r="O61" s="4" t="s">
        <v>1446</v>
      </c>
      <c r="P61" t="s">
        <v>1517</v>
      </c>
      <c r="Q61" t="s">
        <v>1467</v>
      </c>
      <c r="R61" t="s">
        <v>41</v>
      </c>
      <c r="S61" t="s">
        <v>69</v>
      </c>
      <c r="T61" t="s">
        <v>1529</v>
      </c>
      <c r="U61" s="4" t="s">
        <v>1530</v>
      </c>
    </row>
    <row r="62" spans="1:21" hidden="1">
      <c r="A62" t="s">
        <v>732</v>
      </c>
      <c r="B62" t="s">
        <v>733</v>
      </c>
      <c r="C62" s="46">
        <v>2024</v>
      </c>
      <c r="D62" s="51" t="s">
        <v>44</v>
      </c>
      <c r="E62" s="40">
        <v>45896</v>
      </c>
      <c r="F62" s="40" t="s">
        <v>735</v>
      </c>
      <c r="G62" s="40" t="s">
        <v>1451</v>
      </c>
      <c r="H62">
        <v>1975</v>
      </c>
      <c r="I62">
        <v>2017</v>
      </c>
      <c r="J62">
        <f t="shared" si="7"/>
        <v>43</v>
      </c>
      <c r="K62" t="s">
        <v>145</v>
      </c>
      <c r="L62" t="s">
        <v>199</v>
      </c>
      <c r="M62" t="s">
        <v>1014</v>
      </c>
      <c r="N62" t="s">
        <v>741</v>
      </c>
      <c r="O62" t="s">
        <v>1446</v>
      </c>
      <c r="P62" t="s">
        <v>1517</v>
      </c>
      <c r="Q62" t="s">
        <v>1468</v>
      </c>
      <c r="R62" t="s">
        <v>694</v>
      </c>
      <c r="S62" t="s">
        <v>69</v>
      </c>
      <c r="T62" t="s">
        <v>1529</v>
      </c>
      <c r="U62" s="4" t="s">
        <v>1530</v>
      </c>
    </row>
    <row r="63" spans="1:21" hidden="1">
      <c r="A63" t="s">
        <v>732</v>
      </c>
      <c r="B63" t="s">
        <v>733</v>
      </c>
      <c r="C63" s="46">
        <v>2024</v>
      </c>
      <c r="D63" s="51" t="s">
        <v>44</v>
      </c>
      <c r="E63" s="40">
        <v>45896</v>
      </c>
      <c r="F63" s="40" t="s">
        <v>742</v>
      </c>
      <c r="G63" s="40" t="s">
        <v>1451</v>
      </c>
      <c r="H63">
        <v>1988</v>
      </c>
      <c r="I63">
        <v>2020</v>
      </c>
      <c r="J63">
        <f t="shared" si="7"/>
        <v>33</v>
      </c>
      <c r="K63" t="s">
        <v>145</v>
      </c>
      <c r="L63" t="s">
        <v>199</v>
      </c>
      <c r="M63" t="s">
        <v>1014</v>
      </c>
      <c r="N63" t="s">
        <v>736</v>
      </c>
      <c r="O63" t="s">
        <v>1445</v>
      </c>
      <c r="P63" t="s">
        <v>1517</v>
      </c>
      <c r="Q63" t="s">
        <v>1468</v>
      </c>
      <c r="R63" t="s">
        <v>41</v>
      </c>
      <c r="S63" t="s">
        <v>69</v>
      </c>
      <c r="T63" t="s">
        <v>1529</v>
      </c>
      <c r="U63" s="4" t="s">
        <v>1530</v>
      </c>
    </row>
    <row r="64" spans="1:21" hidden="1">
      <c r="A64" t="s">
        <v>732</v>
      </c>
      <c r="B64" t="s">
        <v>733</v>
      </c>
      <c r="C64" s="46">
        <v>2024</v>
      </c>
      <c r="D64" s="51" t="s">
        <v>44</v>
      </c>
      <c r="E64" s="40">
        <v>45896</v>
      </c>
      <c r="F64" s="40" t="s">
        <v>742</v>
      </c>
      <c r="G64" s="40" t="s">
        <v>1451</v>
      </c>
      <c r="H64">
        <v>1988</v>
      </c>
      <c r="I64">
        <v>2020</v>
      </c>
      <c r="J64">
        <f t="shared" si="7"/>
        <v>33</v>
      </c>
      <c r="K64" t="s">
        <v>145</v>
      </c>
      <c r="L64" t="s">
        <v>199</v>
      </c>
      <c r="M64" t="s">
        <v>1014</v>
      </c>
      <c r="N64" t="s">
        <v>737</v>
      </c>
      <c r="O64" t="s">
        <v>1445</v>
      </c>
      <c r="P64" t="s">
        <v>1517</v>
      </c>
      <c r="Q64" t="s">
        <v>1468</v>
      </c>
      <c r="R64" t="s">
        <v>41</v>
      </c>
      <c r="S64" t="s">
        <v>69</v>
      </c>
      <c r="T64" t="s">
        <v>1529</v>
      </c>
      <c r="U64" s="4" t="s">
        <v>1530</v>
      </c>
    </row>
    <row r="65" spans="1:21" hidden="1">
      <c r="A65" t="s">
        <v>732</v>
      </c>
      <c r="B65" t="s">
        <v>733</v>
      </c>
      <c r="C65" s="46">
        <v>2024</v>
      </c>
      <c r="D65" s="51" t="s">
        <v>44</v>
      </c>
      <c r="E65" s="40">
        <v>45896</v>
      </c>
      <c r="F65" s="40" t="s">
        <v>742</v>
      </c>
      <c r="G65" s="40" t="s">
        <v>1451</v>
      </c>
      <c r="H65">
        <v>1988</v>
      </c>
      <c r="I65">
        <v>2020</v>
      </c>
      <c r="J65">
        <f t="shared" si="7"/>
        <v>33</v>
      </c>
      <c r="K65" t="s">
        <v>145</v>
      </c>
      <c r="L65" t="s">
        <v>199</v>
      </c>
      <c r="M65" t="s">
        <v>1014</v>
      </c>
      <c r="N65" t="s">
        <v>738</v>
      </c>
      <c r="O65" t="s">
        <v>1445</v>
      </c>
      <c r="P65" t="s">
        <v>1517</v>
      </c>
      <c r="Q65" t="s">
        <v>1467</v>
      </c>
      <c r="R65" t="s">
        <v>694</v>
      </c>
      <c r="S65" t="s">
        <v>69</v>
      </c>
      <c r="T65" t="s">
        <v>1529</v>
      </c>
      <c r="U65" s="4" t="s">
        <v>1530</v>
      </c>
    </row>
    <row r="66" spans="1:21" hidden="1">
      <c r="A66" t="s">
        <v>732</v>
      </c>
      <c r="B66" t="s">
        <v>733</v>
      </c>
      <c r="C66" s="46">
        <v>2024</v>
      </c>
      <c r="D66" s="51" t="s">
        <v>44</v>
      </c>
      <c r="E66" s="40">
        <v>45896</v>
      </c>
      <c r="F66" s="40" t="s">
        <v>742</v>
      </c>
      <c r="G66" s="40" t="s">
        <v>1451</v>
      </c>
      <c r="H66">
        <v>1988</v>
      </c>
      <c r="I66">
        <v>2020</v>
      </c>
      <c r="J66">
        <f t="shared" si="7"/>
        <v>33</v>
      </c>
      <c r="K66" t="s">
        <v>145</v>
      </c>
      <c r="L66" t="s">
        <v>199</v>
      </c>
      <c r="M66" t="s">
        <v>1015</v>
      </c>
      <c r="N66" t="s">
        <v>669</v>
      </c>
      <c r="O66" t="s">
        <v>1446</v>
      </c>
      <c r="P66" t="s">
        <v>1517</v>
      </c>
      <c r="Q66" t="s">
        <v>1468</v>
      </c>
      <c r="R66" t="s">
        <v>694</v>
      </c>
      <c r="S66" t="s">
        <v>69</v>
      </c>
      <c r="T66" t="s">
        <v>1529</v>
      </c>
      <c r="U66" s="4" t="s">
        <v>1530</v>
      </c>
    </row>
    <row r="67" spans="1:21" hidden="1">
      <c r="A67" t="s">
        <v>732</v>
      </c>
      <c r="B67" t="s">
        <v>733</v>
      </c>
      <c r="C67" s="46">
        <v>2024</v>
      </c>
      <c r="D67" s="51" t="s">
        <v>44</v>
      </c>
      <c r="E67" s="40">
        <v>45896</v>
      </c>
      <c r="F67" s="40" t="s">
        <v>742</v>
      </c>
      <c r="G67" s="40" t="s">
        <v>1451</v>
      </c>
      <c r="H67">
        <v>1988</v>
      </c>
      <c r="I67">
        <v>2020</v>
      </c>
      <c r="J67">
        <f t="shared" si="7"/>
        <v>33</v>
      </c>
      <c r="K67" t="s">
        <v>145</v>
      </c>
      <c r="L67" t="s">
        <v>199</v>
      </c>
      <c r="M67" t="s">
        <v>1014</v>
      </c>
      <c r="N67" t="s">
        <v>739</v>
      </c>
      <c r="O67" t="s">
        <v>1446</v>
      </c>
      <c r="P67" t="s">
        <v>1517</v>
      </c>
      <c r="Q67" t="s">
        <v>1468</v>
      </c>
      <c r="R67" t="s">
        <v>694</v>
      </c>
      <c r="S67" t="s">
        <v>69</v>
      </c>
      <c r="T67" t="s">
        <v>1529</v>
      </c>
      <c r="U67" s="4" t="s">
        <v>1530</v>
      </c>
    </row>
    <row r="68" spans="1:21" hidden="1">
      <c r="A68" t="s">
        <v>732</v>
      </c>
      <c r="B68" t="s">
        <v>733</v>
      </c>
      <c r="C68" s="46">
        <v>2024</v>
      </c>
      <c r="D68" s="51" t="s">
        <v>44</v>
      </c>
      <c r="E68" s="40">
        <v>45896</v>
      </c>
      <c r="F68" s="40" t="s">
        <v>742</v>
      </c>
      <c r="G68" s="40" t="s">
        <v>1451</v>
      </c>
      <c r="H68">
        <v>1988</v>
      </c>
      <c r="I68">
        <v>2020</v>
      </c>
      <c r="J68">
        <f t="shared" si="7"/>
        <v>33</v>
      </c>
      <c r="K68" t="s">
        <v>145</v>
      </c>
      <c r="L68" t="s">
        <v>199</v>
      </c>
      <c r="M68" t="s">
        <v>1014</v>
      </c>
      <c r="N68" t="s">
        <v>740</v>
      </c>
      <c r="O68" t="s">
        <v>1445</v>
      </c>
      <c r="P68" t="s">
        <v>1517</v>
      </c>
      <c r="Q68" t="s">
        <v>1468</v>
      </c>
      <c r="R68" t="s">
        <v>41</v>
      </c>
      <c r="S68" t="s">
        <v>69</v>
      </c>
      <c r="T68" t="s">
        <v>1529</v>
      </c>
      <c r="U68" s="4" t="s">
        <v>1530</v>
      </c>
    </row>
    <row r="69" spans="1:21" hidden="1">
      <c r="A69" t="s">
        <v>732</v>
      </c>
      <c r="B69" t="s">
        <v>733</v>
      </c>
      <c r="C69" s="46">
        <v>2024</v>
      </c>
      <c r="D69" s="51" t="s">
        <v>44</v>
      </c>
      <c r="E69" s="40">
        <v>45896</v>
      </c>
      <c r="F69" s="40" t="s">
        <v>742</v>
      </c>
      <c r="G69" s="40" t="s">
        <v>1451</v>
      </c>
      <c r="H69">
        <v>1988</v>
      </c>
      <c r="I69">
        <v>2020</v>
      </c>
      <c r="J69">
        <f t="shared" si="7"/>
        <v>33</v>
      </c>
      <c r="K69" t="s">
        <v>145</v>
      </c>
      <c r="L69" t="s">
        <v>199</v>
      </c>
      <c r="M69" t="s">
        <v>1014</v>
      </c>
      <c r="N69" t="s">
        <v>741</v>
      </c>
      <c r="O69" t="s">
        <v>1446</v>
      </c>
      <c r="P69" t="s">
        <v>1517</v>
      </c>
      <c r="Q69" t="s">
        <v>1468</v>
      </c>
      <c r="R69" t="s">
        <v>694</v>
      </c>
      <c r="S69" t="s">
        <v>69</v>
      </c>
      <c r="T69" t="s">
        <v>1529</v>
      </c>
      <c r="U69" s="4" t="s">
        <v>1530</v>
      </c>
    </row>
    <row r="70" spans="1:21" hidden="1">
      <c r="A70" t="s">
        <v>732</v>
      </c>
      <c r="B70" t="s">
        <v>733</v>
      </c>
      <c r="C70" s="46">
        <v>2024</v>
      </c>
      <c r="D70" s="51" t="s">
        <v>44</v>
      </c>
      <c r="E70" s="40">
        <v>45896</v>
      </c>
      <c r="F70" s="40" t="s">
        <v>734</v>
      </c>
      <c r="G70" s="40" t="s">
        <v>1451</v>
      </c>
      <c r="H70">
        <v>1998</v>
      </c>
      <c r="I70">
        <v>2017</v>
      </c>
      <c r="J70">
        <f t="shared" si="7"/>
        <v>20</v>
      </c>
      <c r="K70" t="s">
        <v>145</v>
      </c>
      <c r="L70" t="s">
        <v>199</v>
      </c>
      <c r="M70" t="s">
        <v>1014</v>
      </c>
      <c r="N70" t="s">
        <v>736</v>
      </c>
      <c r="O70" t="s">
        <v>1445</v>
      </c>
      <c r="P70" t="s">
        <v>1517</v>
      </c>
      <c r="Q70" t="s">
        <v>1468</v>
      </c>
      <c r="R70" t="s">
        <v>41</v>
      </c>
      <c r="S70" t="s">
        <v>69</v>
      </c>
      <c r="T70" t="s">
        <v>1529</v>
      </c>
      <c r="U70" s="4" t="s">
        <v>1530</v>
      </c>
    </row>
    <row r="71" spans="1:21" hidden="1">
      <c r="A71" t="s">
        <v>732</v>
      </c>
      <c r="B71" t="s">
        <v>733</v>
      </c>
      <c r="C71" s="46">
        <v>2024</v>
      </c>
      <c r="D71" s="51" t="s">
        <v>44</v>
      </c>
      <c r="E71" s="40">
        <v>45896</v>
      </c>
      <c r="F71" s="40" t="s">
        <v>734</v>
      </c>
      <c r="G71" s="40" t="s">
        <v>1451</v>
      </c>
      <c r="H71">
        <v>1998</v>
      </c>
      <c r="I71">
        <v>2017</v>
      </c>
      <c r="J71">
        <f t="shared" si="7"/>
        <v>20</v>
      </c>
      <c r="K71" t="s">
        <v>145</v>
      </c>
      <c r="L71" t="s">
        <v>199</v>
      </c>
      <c r="M71" t="s">
        <v>1014</v>
      </c>
      <c r="N71" t="s">
        <v>737</v>
      </c>
      <c r="O71" t="s">
        <v>1445</v>
      </c>
      <c r="P71" t="s">
        <v>1517</v>
      </c>
      <c r="Q71" t="s">
        <v>1467</v>
      </c>
      <c r="R71" t="s">
        <v>694</v>
      </c>
      <c r="S71" t="s">
        <v>69</v>
      </c>
      <c r="T71" t="s">
        <v>1529</v>
      </c>
      <c r="U71" s="4" t="s">
        <v>1530</v>
      </c>
    </row>
    <row r="72" spans="1:21" hidden="1">
      <c r="A72" t="s">
        <v>732</v>
      </c>
      <c r="B72" t="s">
        <v>733</v>
      </c>
      <c r="C72" s="46">
        <v>2024</v>
      </c>
      <c r="D72" s="51" t="s">
        <v>44</v>
      </c>
      <c r="E72" s="40">
        <v>45896</v>
      </c>
      <c r="F72" s="40" t="s">
        <v>734</v>
      </c>
      <c r="G72" s="40" t="s">
        <v>1451</v>
      </c>
      <c r="H72">
        <v>1998</v>
      </c>
      <c r="I72">
        <v>2017</v>
      </c>
      <c r="J72">
        <f t="shared" si="7"/>
        <v>20</v>
      </c>
      <c r="K72" t="s">
        <v>145</v>
      </c>
      <c r="L72" t="s">
        <v>199</v>
      </c>
      <c r="M72" t="s">
        <v>1014</v>
      </c>
      <c r="N72" t="s">
        <v>738</v>
      </c>
      <c r="O72" t="s">
        <v>1445</v>
      </c>
      <c r="P72" t="s">
        <v>1517</v>
      </c>
      <c r="Q72" t="s">
        <v>223</v>
      </c>
      <c r="R72" t="s">
        <v>41</v>
      </c>
      <c r="S72" t="s">
        <v>69</v>
      </c>
      <c r="T72" t="s">
        <v>1529</v>
      </c>
      <c r="U72" s="4" t="s">
        <v>1530</v>
      </c>
    </row>
    <row r="73" spans="1:21" hidden="1">
      <c r="A73" t="s">
        <v>732</v>
      </c>
      <c r="B73" t="s">
        <v>733</v>
      </c>
      <c r="C73" s="46">
        <v>2024</v>
      </c>
      <c r="D73" s="51" t="s">
        <v>44</v>
      </c>
      <c r="E73" s="40">
        <v>45896</v>
      </c>
      <c r="F73" s="40" t="s">
        <v>734</v>
      </c>
      <c r="G73" s="40" t="s">
        <v>1451</v>
      </c>
      <c r="H73">
        <v>1998</v>
      </c>
      <c r="I73">
        <v>2017</v>
      </c>
      <c r="J73">
        <f t="shared" si="7"/>
        <v>20</v>
      </c>
      <c r="K73" t="s">
        <v>145</v>
      </c>
      <c r="L73" t="s">
        <v>199</v>
      </c>
      <c r="M73" t="s">
        <v>1015</v>
      </c>
      <c r="N73" s="4" t="s">
        <v>669</v>
      </c>
      <c r="O73" s="4" t="s">
        <v>1446</v>
      </c>
      <c r="P73" t="s">
        <v>1517</v>
      </c>
      <c r="Q73" t="s">
        <v>223</v>
      </c>
      <c r="R73" t="s">
        <v>41</v>
      </c>
      <c r="S73" t="s">
        <v>69</v>
      </c>
      <c r="T73" t="s">
        <v>1529</v>
      </c>
      <c r="U73" s="4" t="s">
        <v>1530</v>
      </c>
    </row>
    <row r="74" spans="1:21" hidden="1">
      <c r="A74" t="s">
        <v>732</v>
      </c>
      <c r="B74" t="s">
        <v>733</v>
      </c>
      <c r="C74" s="46">
        <v>2024</v>
      </c>
      <c r="D74" s="51" t="s">
        <v>44</v>
      </c>
      <c r="E74" s="40">
        <v>45896</v>
      </c>
      <c r="F74" s="40" t="s">
        <v>734</v>
      </c>
      <c r="G74" s="40" t="s">
        <v>1451</v>
      </c>
      <c r="H74">
        <v>1998</v>
      </c>
      <c r="I74">
        <v>2017</v>
      </c>
      <c r="J74">
        <f t="shared" si="7"/>
        <v>20</v>
      </c>
      <c r="K74" t="s">
        <v>145</v>
      </c>
      <c r="L74" t="s">
        <v>199</v>
      </c>
      <c r="M74" t="s">
        <v>1014</v>
      </c>
      <c r="N74" t="s">
        <v>739</v>
      </c>
      <c r="O74" t="s">
        <v>1446</v>
      </c>
      <c r="P74" t="s">
        <v>1517</v>
      </c>
      <c r="Q74" t="s">
        <v>1468</v>
      </c>
      <c r="R74" t="s">
        <v>694</v>
      </c>
      <c r="S74" t="s">
        <v>69</v>
      </c>
      <c r="T74" t="s">
        <v>1529</v>
      </c>
      <c r="U74" s="4" t="s">
        <v>1530</v>
      </c>
    </row>
    <row r="75" spans="1:21" hidden="1">
      <c r="A75" t="s">
        <v>732</v>
      </c>
      <c r="B75" t="s">
        <v>733</v>
      </c>
      <c r="C75">
        <v>2024</v>
      </c>
      <c r="D75" s="51" t="s">
        <v>44</v>
      </c>
      <c r="E75" s="40">
        <v>45896</v>
      </c>
      <c r="F75" s="40" t="s">
        <v>734</v>
      </c>
      <c r="G75" s="40" t="s">
        <v>1451</v>
      </c>
      <c r="H75">
        <v>1998</v>
      </c>
      <c r="I75">
        <v>2017</v>
      </c>
      <c r="J75">
        <f t="shared" si="7"/>
        <v>20</v>
      </c>
      <c r="K75" t="s">
        <v>145</v>
      </c>
      <c r="L75" t="s">
        <v>199</v>
      </c>
      <c r="M75" t="s">
        <v>1014</v>
      </c>
      <c r="N75" t="s">
        <v>740</v>
      </c>
      <c r="O75" t="s">
        <v>1445</v>
      </c>
      <c r="P75" t="s">
        <v>1517</v>
      </c>
      <c r="Q75" t="s">
        <v>223</v>
      </c>
      <c r="R75" t="s">
        <v>41</v>
      </c>
      <c r="S75" t="s">
        <v>69</v>
      </c>
      <c r="T75" t="s">
        <v>1529</v>
      </c>
      <c r="U75" s="4" t="s">
        <v>1530</v>
      </c>
    </row>
    <row r="76" spans="1:21" hidden="1">
      <c r="A76" t="s">
        <v>732</v>
      </c>
      <c r="B76" t="s">
        <v>733</v>
      </c>
      <c r="C76">
        <v>2024</v>
      </c>
      <c r="D76" s="51" t="s">
        <v>44</v>
      </c>
      <c r="E76" s="40">
        <v>45896</v>
      </c>
      <c r="F76" s="40" t="s">
        <v>734</v>
      </c>
      <c r="G76" s="40" t="s">
        <v>1451</v>
      </c>
      <c r="H76">
        <v>1998</v>
      </c>
      <c r="I76">
        <v>2017</v>
      </c>
      <c r="J76">
        <f t="shared" si="7"/>
        <v>20</v>
      </c>
      <c r="K76" t="s">
        <v>145</v>
      </c>
      <c r="L76" t="s">
        <v>199</v>
      </c>
      <c r="M76" t="s">
        <v>1014</v>
      </c>
      <c r="N76" t="s">
        <v>741</v>
      </c>
      <c r="O76" t="s">
        <v>1446</v>
      </c>
      <c r="P76" t="s">
        <v>1517</v>
      </c>
      <c r="Q76" t="s">
        <v>1467</v>
      </c>
      <c r="R76" t="s">
        <v>41</v>
      </c>
      <c r="S76" t="s">
        <v>69</v>
      </c>
      <c r="T76" t="s">
        <v>1532</v>
      </c>
    </row>
    <row r="77" spans="1:21" hidden="1">
      <c r="A77" s="1" t="s">
        <v>730</v>
      </c>
      <c r="B77" s="38" t="s">
        <v>731</v>
      </c>
      <c r="C77">
        <v>2010</v>
      </c>
      <c r="D77" t="s">
        <v>42</v>
      </c>
      <c r="E77" s="40">
        <v>45896</v>
      </c>
      <c r="F77" s="40" t="s">
        <v>1531</v>
      </c>
      <c r="G77" s="40" t="s">
        <v>1455</v>
      </c>
      <c r="H77">
        <v>1975</v>
      </c>
      <c r="I77">
        <v>2002</v>
      </c>
      <c r="J77">
        <f t="shared" si="7"/>
        <v>28</v>
      </c>
      <c r="K77" t="s">
        <v>145</v>
      </c>
      <c r="L77" t="s">
        <v>1444</v>
      </c>
      <c r="M77" t="s">
        <v>1017</v>
      </c>
      <c r="N77" t="s">
        <v>1083</v>
      </c>
      <c r="O77" t="s">
        <v>1446</v>
      </c>
      <c r="P77" t="s">
        <v>1517</v>
      </c>
      <c r="Q77" t="s">
        <v>1468</v>
      </c>
      <c r="R77" t="s">
        <v>694</v>
      </c>
      <c r="S77" t="s">
        <v>69</v>
      </c>
      <c r="T77" t="s">
        <v>1532</v>
      </c>
    </row>
    <row r="78" spans="1:21" hidden="1">
      <c r="A78" s="1" t="s">
        <v>730</v>
      </c>
      <c r="B78" s="1" t="s">
        <v>731</v>
      </c>
      <c r="C78">
        <v>2010</v>
      </c>
      <c r="D78" t="s">
        <v>42</v>
      </c>
      <c r="E78" s="40">
        <v>45896</v>
      </c>
      <c r="F78" s="40" t="s">
        <v>1531</v>
      </c>
      <c r="G78" s="40" t="s">
        <v>1455</v>
      </c>
      <c r="H78">
        <v>1975</v>
      </c>
      <c r="I78">
        <v>2002</v>
      </c>
      <c r="J78">
        <f t="shared" si="7"/>
        <v>28</v>
      </c>
      <c r="K78" t="s">
        <v>145</v>
      </c>
      <c r="L78" t="s">
        <v>1444</v>
      </c>
      <c r="M78" t="s">
        <v>1458</v>
      </c>
      <c r="N78" t="s">
        <v>1459</v>
      </c>
      <c r="O78" t="s">
        <v>1445</v>
      </c>
      <c r="P78" t="s">
        <v>1517</v>
      </c>
      <c r="Q78" t="s">
        <v>1467</v>
      </c>
      <c r="R78" t="s">
        <v>694</v>
      </c>
      <c r="S78" t="s">
        <v>69</v>
      </c>
      <c r="T78" t="s">
        <v>1532</v>
      </c>
    </row>
    <row r="79" spans="1:21" hidden="1">
      <c r="A79" s="1" t="s">
        <v>730</v>
      </c>
      <c r="B79" s="1" t="s">
        <v>731</v>
      </c>
      <c r="C79">
        <v>2010</v>
      </c>
      <c r="D79" t="s">
        <v>42</v>
      </c>
      <c r="E79" s="40">
        <v>45896</v>
      </c>
      <c r="F79" s="40" t="s">
        <v>1531</v>
      </c>
      <c r="G79" s="40" t="s">
        <v>1455</v>
      </c>
      <c r="H79">
        <v>1975</v>
      </c>
      <c r="I79">
        <v>2002</v>
      </c>
      <c r="J79">
        <f t="shared" si="7"/>
        <v>28</v>
      </c>
      <c r="K79" t="s">
        <v>145</v>
      </c>
      <c r="L79" t="s">
        <v>1444</v>
      </c>
      <c r="M79" t="s">
        <v>1017</v>
      </c>
      <c r="N79" t="s">
        <v>1083</v>
      </c>
      <c r="O79" t="s">
        <v>1446</v>
      </c>
      <c r="P79" t="s">
        <v>1517</v>
      </c>
      <c r="Q79" t="s">
        <v>1468</v>
      </c>
      <c r="R79" t="s">
        <v>694</v>
      </c>
      <c r="S79" t="s">
        <v>69</v>
      </c>
      <c r="T79" t="s">
        <v>1532</v>
      </c>
    </row>
    <row r="80" spans="1:21" hidden="1">
      <c r="A80" s="1" t="s">
        <v>730</v>
      </c>
      <c r="B80" s="1" t="s">
        <v>731</v>
      </c>
      <c r="C80">
        <v>2010</v>
      </c>
      <c r="D80" t="s">
        <v>42</v>
      </c>
      <c r="E80" s="40">
        <v>45896</v>
      </c>
      <c r="F80" s="40" t="s">
        <v>1531</v>
      </c>
      <c r="G80" s="40" t="s">
        <v>1455</v>
      </c>
      <c r="H80">
        <v>1975</v>
      </c>
      <c r="I80">
        <v>2002</v>
      </c>
      <c r="J80">
        <f t="shared" si="7"/>
        <v>28</v>
      </c>
      <c r="K80" t="s">
        <v>145</v>
      </c>
      <c r="L80" t="s">
        <v>1444</v>
      </c>
      <c r="M80" t="s">
        <v>1458</v>
      </c>
      <c r="N80" t="s">
        <v>1459</v>
      </c>
      <c r="O80" t="s">
        <v>1445</v>
      </c>
      <c r="P80" t="s">
        <v>1517</v>
      </c>
      <c r="Q80" t="s">
        <v>1467</v>
      </c>
      <c r="R80" t="s">
        <v>694</v>
      </c>
      <c r="S80" t="s">
        <v>69</v>
      </c>
      <c r="T80" t="s">
        <v>1532</v>
      </c>
    </row>
    <row r="81" spans="1:20" hidden="1">
      <c r="A81" s="1" t="s">
        <v>1533</v>
      </c>
      <c r="B81" s="1" t="s">
        <v>1534</v>
      </c>
      <c r="C81">
        <v>2022</v>
      </c>
      <c r="D81" t="s">
        <v>44</v>
      </c>
      <c r="E81" s="40">
        <v>45896</v>
      </c>
      <c r="F81" s="40" t="s">
        <v>1535</v>
      </c>
      <c r="G81" s="40" t="s">
        <v>1451</v>
      </c>
      <c r="H81">
        <v>2000</v>
      </c>
      <c r="I81">
        <v>2020</v>
      </c>
      <c r="J81">
        <f t="shared" ref="J81:J96" si="8">I81-H81+1</f>
        <v>21</v>
      </c>
      <c r="K81" t="s">
        <v>145</v>
      </c>
      <c r="L81" t="s">
        <v>1444</v>
      </c>
      <c r="M81" t="s">
        <v>1014</v>
      </c>
      <c r="N81" t="s">
        <v>1537</v>
      </c>
      <c r="O81" t="s">
        <v>1445</v>
      </c>
      <c r="P81" t="s">
        <v>1536</v>
      </c>
      <c r="Q81" t="s">
        <v>1467</v>
      </c>
      <c r="R81" t="s">
        <v>694</v>
      </c>
      <c r="S81" t="s">
        <v>69</v>
      </c>
      <c r="T81" t="s">
        <v>1544</v>
      </c>
    </row>
    <row r="82" spans="1:20" hidden="1">
      <c r="A82" s="1" t="s">
        <v>1533</v>
      </c>
      <c r="B82" s="1" t="s">
        <v>1534</v>
      </c>
      <c r="C82">
        <v>2022</v>
      </c>
      <c r="D82" t="s">
        <v>44</v>
      </c>
      <c r="E82" s="40">
        <v>45896</v>
      </c>
      <c r="F82" s="40" t="s">
        <v>1535</v>
      </c>
      <c r="G82" s="40" t="s">
        <v>1451</v>
      </c>
      <c r="H82">
        <v>2000</v>
      </c>
      <c r="I82">
        <v>2020</v>
      </c>
      <c r="J82">
        <f t="shared" si="8"/>
        <v>21</v>
      </c>
      <c r="K82" t="s">
        <v>145</v>
      </c>
      <c r="L82" t="s">
        <v>1444</v>
      </c>
      <c r="M82" t="s">
        <v>1014</v>
      </c>
      <c r="N82" t="s">
        <v>1538</v>
      </c>
      <c r="O82" t="s">
        <v>1445</v>
      </c>
      <c r="P82" t="s">
        <v>1536</v>
      </c>
      <c r="Q82" t="s">
        <v>223</v>
      </c>
      <c r="R82" t="s">
        <v>41</v>
      </c>
      <c r="S82" t="s">
        <v>69</v>
      </c>
      <c r="T82" t="s">
        <v>1544</v>
      </c>
    </row>
    <row r="83" spans="1:20" hidden="1">
      <c r="A83" s="1" t="s">
        <v>1533</v>
      </c>
      <c r="B83" s="1" t="s">
        <v>1534</v>
      </c>
      <c r="C83">
        <v>2022</v>
      </c>
      <c r="D83" t="s">
        <v>44</v>
      </c>
      <c r="E83" s="40">
        <v>45896</v>
      </c>
      <c r="F83" s="40" t="s">
        <v>1535</v>
      </c>
      <c r="G83" s="40" t="s">
        <v>1451</v>
      </c>
      <c r="H83">
        <v>2000</v>
      </c>
      <c r="I83">
        <v>2020</v>
      </c>
      <c r="J83">
        <f t="shared" si="8"/>
        <v>21</v>
      </c>
      <c r="K83" t="s">
        <v>145</v>
      </c>
      <c r="L83" t="s">
        <v>1444</v>
      </c>
      <c r="M83" t="s">
        <v>1014</v>
      </c>
      <c r="N83" t="s">
        <v>1539</v>
      </c>
      <c r="O83" t="s">
        <v>1446</v>
      </c>
      <c r="P83" t="s">
        <v>1536</v>
      </c>
      <c r="Q83" t="s">
        <v>223</v>
      </c>
      <c r="R83" t="s">
        <v>41</v>
      </c>
      <c r="S83" t="s">
        <v>69</v>
      </c>
      <c r="T83" t="s">
        <v>1544</v>
      </c>
    </row>
    <row r="84" spans="1:20" hidden="1">
      <c r="A84" s="1" t="s">
        <v>1533</v>
      </c>
      <c r="B84" s="1" t="s">
        <v>1534</v>
      </c>
      <c r="C84">
        <v>2022</v>
      </c>
      <c r="D84" t="s">
        <v>42</v>
      </c>
      <c r="E84" s="40">
        <v>45896</v>
      </c>
      <c r="F84" s="40" t="s">
        <v>1535</v>
      </c>
      <c r="G84" s="40" t="s">
        <v>1451</v>
      </c>
      <c r="H84">
        <v>2000</v>
      </c>
      <c r="I84">
        <v>2020</v>
      </c>
      <c r="J84">
        <f t="shared" si="8"/>
        <v>21</v>
      </c>
      <c r="K84" t="s">
        <v>145</v>
      </c>
      <c r="L84" t="s">
        <v>1444</v>
      </c>
      <c r="M84" t="s">
        <v>1014</v>
      </c>
      <c r="N84" t="s">
        <v>1540</v>
      </c>
      <c r="O84" t="s">
        <v>1446</v>
      </c>
      <c r="P84" t="s">
        <v>1536</v>
      </c>
      <c r="Q84" t="s">
        <v>1468</v>
      </c>
      <c r="R84" t="s">
        <v>694</v>
      </c>
      <c r="S84" t="s">
        <v>69</v>
      </c>
      <c r="T84" t="s">
        <v>1544</v>
      </c>
    </row>
    <row r="85" spans="1:20" hidden="1">
      <c r="A85" s="1" t="s">
        <v>1533</v>
      </c>
      <c r="B85" s="1" t="s">
        <v>1534</v>
      </c>
      <c r="C85">
        <v>2022</v>
      </c>
      <c r="D85" t="s">
        <v>42</v>
      </c>
      <c r="E85" s="40">
        <v>45896</v>
      </c>
      <c r="F85" s="40" t="s">
        <v>1535</v>
      </c>
      <c r="G85" s="40" t="s">
        <v>1451</v>
      </c>
      <c r="H85">
        <v>2000</v>
      </c>
      <c r="I85">
        <v>2020</v>
      </c>
      <c r="J85">
        <f t="shared" si="8"/>
        <v>21</v>
      </c>
      <c r="K85" t="s">
        <v>145</v>
      </c>
      <c r="L85" t="s">
        <v>1444</v>
      </c>
      <c r="M85" t="s">
        <v>1014</v>
      </c>
      <c r="N85" t="s">
        <v>1541</v>
      </c>
      <c r="O85" t="s">
        <v>1445</v>
      </c>
      <c r="P85" t="s">
        <v>1536</v>
      </c>
      <c r="Q85" t="s">
        <v>1467</v>
      </c>
      <c r="R85" t="s">
        <v>694</v>
      </c>
      <c r="S85" t="s">
        <v>69</v>
      </c>
      <c r="T85" t="s">
        <v>1544</v>
      </c>
    </row>
    <row r="86" spans="1:20" hidden="1">
      <c r="A86" s="1" t="s">
        <v>1533</v>
      </c>
      <c r="B86" s="1" t="s">
        <v>1534</v>
      </c>
      <c r="C86">
        <v>2022</v>
      </c>
      <c r="D86" t="s">
        <v>44</v>
      </c>
      <c r="E86" s="40">
        <v>45896</v>
      </c>
      <c r="F86" s="40" t="s">
        <v>1535</v>
      </c>
      <c r="G86" s="40" t="s">
        <v>1451</v>
      </c>
      <c r="H86">
        <v>2000</v>
      </c>
      <c r="I86">
        <v>2020</v>
      </c>
      <c r="J86">
        <f t="shared" si="8"/>
        <v>21</v>
      </c>
      <c r="K86" t="s">
        <v>145</v>
      </c>
      <c r="L86" t="s">
        <v>1444</v>
      </c>
      <c r="M86" t="s">
        <v>1014</v>
      </c>
      <c r="N86" t="s">
        <v>1542</v>
      </c>
      <c r="O86" t="s">
        <v>1543</v>
      </c>
      <c r="P86" t="s">
        <v>1536</v>
      </c>
      <c r="Q86" t="s">
        <v>223</v>
      </c>
      <c r="R86" t="s">
        <v>41</v>
      </c>
      <c r="S86" t="s">
        <v>69</v>
      </c>
      <c r="T86" t="s">
        <v>1544</v>
      </c>
    </row>
    <row r="87" spans="1:20" hidden="1">
      <c r="A87" s="1" t="s">
        <v>1560</v>
      </c>
      <c r="B87" s="1" t="s">
        <v>1561</v>
      </c>
      <c r="C87">
        <v>2003</v>
      </c>
      <c r="D87" t="s">
        <v>42</v>
      </c>
      <c r="E87" s="40">
        <v>45896</v>
      </c>
      <c r="F87" s="40" t="s">
        <v>1562</v>
      </c>
      <c r="G87" s="40" t="s">
        <v>1451</v>
      </c>
      <c r="H87">
        <v>1977</v>
      </c>
      <c r="I87">
        <v>2003</v>
      </c>
      <c r="J87">
        <f t="shared" si="8"/>
        <v>27</v>
      </c>
      <c r="K87" t="s">
        <v>1442</v>
      </c>
      <c r="L87" t="s">
        <v>1447</v>
      </c>
      <c r="M87" t="s">
        <v>1571</v>
      </c>
      <c r="N87">
        <v>2</v>
      </c>
      <c r="O87" t="s">
        <v>1576</v>
      </c>
      <c r="P87" t="s">
        <v>1572</v>
      </c>
      <c r="Q87" t="s">
        <v>1467</v>
      </c>
      <c r="R87" t="s">
        <v>694</v>
      </c>
      <c r="S87" t="s">
        <v>69</v>
      </c>
      <c r="T87" t="s">
        <v>1573</v>
      </c>
    </row>
    <row r="88" spans="1:20" hidden="1">
      <c r="A88" s="1" t="s">
        <v>1560</v>
      </c>
      <c r="B88" s="1" t="s">
        <v>1561</v>
      </c>
      <c r="C88">
        <v>2003</v>
      </c>
      <c r="D88" t="s">
        <v>42</v>
      </c>
      <c r="E88" s="40">
        <v>45896</v>
      </c>
      <c r="F88" s="40" t="s">
        <v>1563</v>
      </c>
      <c r="G88" s="40" t="s">
        <v>1451</v>
      </c>
      <c r="H88">
        <v>1962</v>
      </c>
      <c r="I88">
        <v>2002</v>
      </c>
      <c r="J88">
        <f t="shared" si="8"/>
        <v>41</v>
      </c>
      <c r="K88" t="s">
        <v>1442</v>
      </c>
      <c r="L88" t="s">
        <v>1447</v>
      </c>
      <c r="M88" t="s">
        <v>1571</v>
      </c>
      <c r="N88">
        <v>1</v>
      </c>
      <c r="O88" t="s">
        <v>1446</v>
      </c>
      <c r="P88" t="s">
        <v>1572</v>
      </c>
      <c r="Q88" t="s">
        <v>1468</v>
      </c>
      <c r="R88" t="s">
        <v>694</v>
      </c>
      <c r="S88" t="s">
        <v>69</v>
      </c>
      <c r="T88" t="s">
        <v>1575</v>
      </c>
    </row>
    <row r="89" spans="1:20" hidden="1">
      <c r="A89" s="1" t="s">
        <v>1560</v>
      </c>
      <c r="B89" s="1" t="s">
        <v>1561</v>
      </c>
      <c r="C89">
        <v>2003</v>
      </c>
      <c r="D89" t="s">
        <v>42</v>
      </c>
      <c r="E89" s="40">
        <v>45896</v>
      </c>
      <c r="F89" s="40" t="s">
        <v>1564</v>
      </c>
      <c r="G89" s="40" t="s">
        <v>1451</v>
      </c>
      <c r="H89">
        <v>1980</v>
      </c>
      <c r="I89">
        <v>2003</v>
      </c>
      <c r="J89">
        <f t="shared" si="8"/>
        <v>24</v>
      </c>
      <c r="K89" t="s">
        <v>1442</v>
      </c>
      <c r="L89" t="s">
        <v>1447</v>
      </c>
      <c r="M89" t="s">
        <v>1571</v>
      </c>
      <c r="N89">
        <v>1</v>
      </c>
      <c r="O89" t="s">
        <v>1446</v>
      </c>
      <c r="P89" t="s">
        <v>1572</v>
      </c>
      <c r="Q89" t="s">
        <v>1468</v>
      </c>
      <c r="R89" t="s">
        <v>694</v>
      </c>
      <c r="S89" t="s">
        <v>69</v>
      </c>
      <c r="T89" t="s">
        <v>1575</v>
      </c>
    </row>
    <row r="90" spans="1:20" hidden="1">
      <c r="A90" s="1" t="s">
        <v>1560</v>
      </c>
      <c r="B90" s="1" t="s">
        <v>1561</v>
      </c>
      <c r="C90">
        <v>2003</v>
      </c>
      <c r="D90" t="s">
        <v>42</v>
      </c>
      <c r="E90" s="40">
        <v>45896</v>
      </c>
      <c r="F90" s="40" t="s">
        <v>1565</v>
      </c>
      <c r="G90" s="40" t="s">
        <v>1451</v>
      </c>
      <c r="H90">
        <v>1962</v>
      </c>
      <c r="I90">
        <v>2001</v>
      </c>
      <c r="J90">
        <f t="shared" si="8"/>
        <v>40</v>
      </c>
      <c r="K90" t="s">
        <v>1442</v>
      </c>
      <c r="L90" t="s">
        <v>1447</v>
      </c>
      <c r="M90" t="s">
        <v>1571</v>
      </c>
      <c r="N90">
        <v>2</v>
      </c>
      <c r="O90" t="s">
        <v>1445</v>
      </c>
      <c r="P90" t="s">
        <v>1572</v>
      </c>
      <c r="Q90" t="s">
        <v>1467</v>
      </c>
      <c r="R90" t="s">
        <v>694</v>
      </c>
      <c r="S90" t="s">
        <v>69</v>
      </c>
      <c r="T90" t="s">
        <v>1573</v>
      </c>
    </row>
    <row r="91" spans="1:20" hidden="1">
      <c r="A91" s="1" t="s">
        <v>1560</v>
      </c>
      <c r="B91" s="1" t="s">
        <v>1561</v>
      </c>
      <c r="C91">
        <v>2003</v>
      </c>
      <c r="D91" t="s">
        <v>42</v>
      </c>
      <c r="E91" s="40">
        <v>45896</v>
      </c>
      <c r="F91" s="40" t="s">
        <v>1566</v>
      </c>
      <c r="G91" s="40" t="s">
        <v>1451</v>
      </c>
      <c r="H91">
        <v>1962</v>
      </c>
      <c r="I91">
        <v>1999</v>
      </c>
      <c r="J91">
        <f t="shared" si="8"/>
        <v>38</v>
      </c>
      <c r="K91" t="s">
        <v>1442</v>
      </c>
      <c r="L91" t="s">
        <v>1447</v>
      </c>
      <c r="M91" t="s">
        <v>1571</v>
      </c>
      <c r="N91">
        <v>2</v>
      </c>
      <c r="O91" t="s">
        <v>1445</v>
      </c>
      <c r="P91" t="s">
        <v>1572</v>
      </c>
      <c r="Q91" t="s">
        <v>1467</v>
      </c>
      <c r="R91" t="s">
        <v>694</v>
      </c>
      <c r="S91" t="s">
        <v>69</v>
      </c>
      <c r="T91" t="s">
        <v>1573</v>
      </c>
    </row>
    <row r="92" spans="1:20" hidden="1">
      <c r="A92" s="1" t="s">
        <v>1560</v>
      </c>
      <c r="B92" s="1" t="s">
        <v>1561</v>
      </c>
      <c r="C92">
        <v>2003</v>
      </c>
      <c r="D92" t="s">
        <v>42</v>
      </c>
      <c r="E92" s="40">
        <v>45896</v>
      </c>
      <c r="F92" s="40" t="s">
        <v>1567</v>
      </c>
      <c r="G92" s="40" t="s">
        <v>1451</v>
      </c>
      <c r="H92">
        <v>1977</v>
      </c>
      <c r="I92">
        <v>2000</v>
      </c>
      <c r="J92">
        <f t="shared" si="8"/>
        <v>24</v>
      </c>
      <c r="K92" t="s">
        <v>1442</v>
      </c>
      <c r="L92" t="s">
        <v>1447</v>
      </c>
      <c r="M92" t="s">
        <v>1571</v>
      </c>
      <c r="N92">
        <v>2</v>
      </c>
      <c r="O92" t="s">
        <v>1445</v>
      </c>
      <c r="P92" t="s">
        <v>1572</v>
      </c>
      <c r="Q92" t="s">
        <v>1467</v>
      </c>
      <c r="R92" t="s">
        <v>694</v>
      </c>
      <c r="S92" t="s">
        <v>69</v>
      </c>
      <c r="T92" t="s">
        <v>1573</v>
      </c>
    </row>
    <row r="93" spans="1:20" hidden="1">
      <c r="A93" s="1" t="s">
        <v>1560</v>
      </c>
      <c r="B93" s="1" t="s">
        <v>1561</v>
      </c>
      <c r="C93">
        <v>2003</v>
      </c>
      <c r="D93" t="s">
        <v>42</v>
      </c>
      <c r="E93" s="40">
        <v>45896</v>
      </c>
      <c r="F93" s="40" t="s">
        <v>1568</v>
      </c>
      <c r="G93" s="40" t="s">
        <v>1451</v>
      </c>
      <c r="H93">
        <v>1968</v>
      </c>
      <c r="I93">
        <v>2000</v>
      </c>
      <c r="J93">
        <f t="shared" si="8"/>
        <v>33</v>
      </c>
      <c r="K93" t="s">
        <v>1442</v>
      </c>
      <c r="L93" t="s">
        <v>1447</v>
      </c>
      <c r="M93" t="s">
        <v>1571</v>
      </c>
      <c r="N93">
        <v>2</v>
      </c>
      <c r="O93" t="s">
        <v>1445</v>
      </c>
      <c r="P93" t="s">
        <v>1572</v>
      </c>
      <c r="Q93" t="s">
        <v>1467</v>
      </c>
      <c r="R93" t="s">
        <v>694</v>
      </c>
      <c r="S93" t="s">
        <v>69</v>
      </c>
      <c r="T93" t="s">
        <v>1573</v>
      </c>
    </row>
    <row r="94" spans="1:20" hidden="1">
      <c r="A94" s="1" t="s">
        <v>1560</v>
      </c>
      <c r="B94" s="1" t="s">
        <v>1561</v>
      </c>
      <c r="C94">
        <v>2003</v>
      </c>
      <c r="D94" t="s">
        <v>42</v>
      </c>
      <c r="E94" s="40">
        <v>45896</v>
      </c>
      <c r="F94" s="40" t="s">
        <v>1569</v>
      </c>
      <c r="G94" s="40" t="s">
        <v>1451</v>
      </c>
      <c r="H94">
        <v>1981</v>
      </c>
      <c r="I94">
        <v>1999</v>
      </c>
      <c r="J94">
        <f t="shared" si="8"/>
        <v>19</v>
      </c>
      <c r="K94" t="s">
        <v>1442</v>
      </c>
      <c r="L94" t="s">
        <v>1447</v>
      </c>
      <c r="M94" t="s">
        <v>1571</v>
      </c>
      <c r="N94">
        <v>2</v>
      </c>
      <c r="O94" t="s">
        <v>1445</v>
      </c>
      <c r="P94" t="s">
        <v>1572</v>
      </c>
      <c r="Q94" t="s">
        <v>1467</v>
      </c>
      <c r="R94" t="s">
        <v>694</v>
      </c>
      <c r="S94" t="s">
        <v>69</v>
      </c>
      <c r="T94" t="s">
        <v>1573</v>
      </c>
    </row>
    <row r="95" spans="1:20" hidden="1">
      <c r="A95" s="1" t="s">
        <v>1560</v>
      </c>
      <c r="B95" s="1" t="s">
        <v>1561</v>
      </c>
      <c r="C95">
        <v>2003</v>
      </c>
      <c r="D95" t="s">
        <v>42</v>
      </c>
      <c r="E95" s="40">
        <v>45896</v>
      </c>
      <c r="F95" s="40" t="s">
        <v>1570</v>
      </c>
      <c r="G95" s="40" t="s">
        <v>1451</v>
      </c>
      <c r="H95">
        <v>1964</v>
      </c>
      <c r="I95">
        <v>2002</v>
      </c>
      <c r="J95">
        <f t="shared" si="8"/>
        <v>39</v>
      </c>
      <c r="K95" t="s">
        <v>1442</v>
      </c>
      <c r="L95" t="s">
        <v>1447</v>
      </c>
      <c r="M95" t="s">
        <v>1571</v>
      </c>
      <c r="N95">
        <v>1</v>
      </c>
      <c r="O95" t="s">
        <v>1445</v>
      </c>
      <c r="P95" t="s">
        <v>1572</v>
      </c>
      <c r="Q95" t="s">
        <v>1467</v>
      </c>
      <c r="R95" t="s">
        <v>694</v>
      </c>
      <c r="S95" t="s">
        <v>69</v>
      </c>
      <c r="T95" t="s">
        <v>1574</v>
      </c>
    </row>
    <row r="96" spans="1:20" hidden="1">
      <c r="A96" s="1" t="s">
        <v>1560</v>
      </c>
      <c r="B96" s="1" t="s">
        <v>1561</v>
      </c>
      <c r="C96">
        <v>2003</v>
      </c>
      <c r="D96" t="s">
        <v>42</v>
      </c>
      <c r="E96" s="40">
        <v>45896</v>
      </c>
      <c r="F96" s="40" t="s">
        <v>1562</v>
      </c>
      <c r="G96" s="40" t="s">
        <v>1451</v>
      </c>
      <c r="H96">
        <v>1977</v>
      </c>
      <c r="I96">
        <v>2003</v>
      </c>
      <c r="J96">
        <f t="shared" si="8"/>
        <v>27</v>
      </c>
      <c r="K96" t="s">
        <v>145</v>
      </c>
      <c r="L96" t="s">
        <v>1447</v>
      </c>
      <c r="M96" t="s">
        <v>1571</v>
      </c>
      <c r="N96" t="s">
        <v>1577</v>
      </c>
      <c r="O96" t="s">
        <v>1446</v>
      </c>
      <c r="P96" t="s">
        <v>1572</v>
      </c>
      <c r="Q96" t="s">
        <v>1468</v>
      </c>
      <c r="R96" t="s">
        <v>694</v>
      </c>
      <c r="S96" t="s">
        <v>69</v>
      </c>
      <c r="T96" t="s">
        <v>1573</v>
      </c>
    </row>
    <row r="97" spans="1:20" hidden="1">
      <c r="A97" s="1" t="s">
        <v>1560</v>
      </c>
      <c r="B97" s="1" t="s">
        <v>1561</v>
      </c>
      <c r="C97">
        <v>2003</v>
      </c>
      <c r="D97" t="s">
        <v>42</v>
      </c>
      <c r="E97" s="40">
        <v>45896</v>
      </c>
      <c r="F97" s="40" t="s">
        <v>1562</v>
      </c>
      <c r="G97" s="40" t="s">
        <v>1451</v>
      </c>
      <c r="H97">
        <v>1977</v>
      </c>
      <c r="I97">
        <v>2003</v>
      </c>
      <c r="J97">
        <v>27</v>
      </c>
      <c r="K97" t="s">
        <v>145</v>
      </c>
      <c r="L97" t="s">
        <v>1447</v>
      </c>
      <c r="M97" t="s">
        <v>1571</v>
      </c>
      <c r="N97" t="s">
        <v>1578</v>
      </c>
      <c r="O97" t="s">
        <v>1445</v>
      </c>
      <c r="P97" t="s">
        <v>1572</v>
      </c>
      <c r="Q97" t="s">
        <v>1467</v>
      </c>
      <c r="R97" t="s">
        <v>694</v>
      </c>
      <c r="S97" t="s">
        <v>69</v>
      </c>
      <c r="T97" t="s">
        <v>1573</v>
      </c>
    </row>
    <row r="98" spans="1:20" hidden="1">
      <c r="A98" s="1" t="s">
        <v>1560</v>
      </c>
      <c r="B98" s="1" t="s">
        <v>1561</v>
      </c>
      <c r="C98">
        <v>2003</v>
      </c>
      <c r="D98" t="s">
        <v>42</v>
      </c>
      <c r="E98" s="40">
        <v>45896</v>
      </c>
      <c r="F98" s="40" t="s">
        <v>1570</v>
      </c>
      <c r="G98" s="40" t="s">
        <v>1451</v>
      </c>
      <c r="H98">
        <v>1964</v>
      </c>
      <c r="I98">
        <v>2002</v>
      </c>
      <c r="J98">
        <f t="shared" ref="J98:J111" si="9">I98-H98+1</f>
        <v>39</v>
      </c>
      <c r="K98" t="s">
        <v>145</v>
      </c>
      <c r="L98" t="s">
        <v>1447</v>
      </c>
      <c r="M98" t="s">
        <v>1571</v>
      </c>
      <c r="N98" t="s">
        <v>1578</v>
      </c>
      <c r="O98" t="s">
        <v>1445</v>
      </c>
      <c r="P98" t="s">
        <v>1572</v>
      </c>
      <c r="Q98" t="s">
        <v>1467</v>
      </c>
      <c r="R98" t="s">
        <v>694</v>
      </c>
      <c r="S98" t="s">
        <v>69</v>
      </c>
      <c r="T98" t="s">
        <v>1574</v>
      </c>
    </row>
    <row r="99" spans="1:20" hidden="1">
      <c r="A99" s="1" t="s">
        <v>1560</v>
      </c>
      <c r="B99" s="1" t="s">
        <v>1561</v>
      </c>
      <c r="C99">
        <v>2003</v>
      </c>
      <c r="D99" t="s">
        <v>42</v>
      </c>
      <c r="E99" s="40">
        <v>45896</v>
      </c>
      <c r="F99" s="40" t="s">
        <v>1563</v>
      </c>
      <c r="G99" s="40" t="s">
        <v>1451</v>
      </c>
      <c r="H99">
        <v>1962</v>
      </c>
      <c r="I99">
        <v>2002</v>
      </c>
      <c r="J99">
        <f t="shared" si="9"/>
        <v>41</v>
      </c>
      <c r="K99" t="s">
        <v>145</v>
      </c>
      <c r="L99" t="s">
        <v>1447</v>
      </c>
      <c r="M99" t="s">
        <v>1571</v>
      </c>
      <c r="N99" t="s">
        <v>1577</v>
      </c>
      <c r="O99" t="s">
        <v>1446</v>
      </c>
      <c r="P99" t="s">
        <v>1572</v>
      </c>
      <c r="Q99" t="s">
        <v>1468</v>
      </c>
      <c r="R99" t="s">
        <v>694</v>
      </c>
      <c r="S99" t="s">
        <v>69</v>
      </c>
      <c r="T99" t="s">
        <v>1575</v>
      </c>
    </row>
    <row r="100" spans="1:20" hidden="1">
      <c r="A100" s="1" t="s">
        <v>1560</v>
      </c>
      <c r="B100" s="1" t="s">
        <v>1561</v>
      </c>
      <c r="C100">
        <v>2003</v>
      </c>
      <c r="D100" t="s">
        <v>42</v>
      </c>
      <c r="E100" s="40">
        <v>45896</v>
      </c>
      <c r="F100" s="40" t="s">
        <v>1564</v>
      </c>
      <c r="G100" s="40" t="s">
        <v>1451</v>
      </c>
      <c r="H100">
        <v>1980</v>
      </c>
      <c r="I100">
        <v>2003</v>
      </c>
      <c r="J100">
        <f t="shared" si="9"/>
        <v>24</v>
      </c>
      <c r="K100" t="s">
        <v>145</v>
      </c>
      <c r="L100" t="s">
        <v>1447</v>
      </c>
      <c r="M100" t="s">
        <v>1571</v>
      </c>
      <c r="N100" t="s">
        <v>1577</v>
      </c>
      <c r="O100" t="s">
        <v>1446</v>
      </c>
      <c r="P100" t="s">
        <v>1572</v>
      </c>
      <c r="Q100" t="s">
        <v>1468</v>
      </c>
      <c r="R100" t="s">
        <v>694</v>
      </c>
      <c r="S100" t="s">
        <v>69</v>
      </c>
      <c r="T100" t="s">
        <v>1575</v>
      </c>
    </row>
    <row r="101" spans="1:20" hidden="1">
      <c r="A101" s="1" t="s">
        <v>1560</v>
      </c>
      <c r="B101" s="1" t="s">
        <v>1561</v>
      </c>
      <c r="C101">
        <v>2003</v>
      </c>
      <c r="D101" t="s">
        <v>42</v>
      </c>
      <c r="E101" s="40">
        <v>45896</v>
      </c>
      <c r="F101" s="40" t="s">
        <v>1565</v>
      </c>
      <c r="G101" s="40" t="s">
        <v>1451</v>
      </c>
      <c r="H101">
        <v>1962</v>
      </c>
      <c r="I101">
        <v>2001</v>
      </c>
      <c r="J101">
        <f t="shared" si="9"/>
        <v>40</v>
      </c>
      <c r="K101" t="s">
        <v>145</v>
      </c>
      <c r="L101" t="s">
        <v>1447</v>
      </c>
      <c r="M101" t="s">
        <v>1571</v>
      </c>
      <c r="N101" t="s">
        <v>1577</v>
      </c>
      <c r="O101" t="s">
        <v>1446</v>
      </c>
      <c r="P101" t="s">
        <v>1572</v>
      </c>
      <c r="Q101" t="s">
        <v>1468</v>
      </c>
      <c r="R101" t="s">
        <v>694</v>
      </c>
      <c r="S101" t="s">
        <v>69</v>
      </c>
      <c r="T101" t="s">
        <v>1573</v>
      </c>
    </row>
    <row r="102" spans="1:20" hidden="1">
      <c r="A102" s="1" t="s">
        <v>1560</v>
      </c>
      <c r="B102" s="1" t="s">
        <v>1561</v>
      </c>
      <c r="C102">
        <v>2003</v>
      </c>
      <c r="D102" t="s">
        <v>42</v>
      </c>
      <c r="E102" s="40">
        <v>45896</v>
      </c>
      <c r="F102" s="40" t="s">
        <v>1565</v>
      </c>
      <c r="G102" s="40" t="s">
        <v>1451</v>
      </c>
      <c r="H102">
        <v>1962</v>
      </c>
      <c r="I102">
        <v>2001</v>
      </c>
      <c r="J102">
        <f t="shared" si="9"/>
        <v>40</v>
      </c>
      <c r="K102" t="s">
        <v>145</v>
      </c>
      <c r="L102" t="s">
        <v>1447</v>
      </c>
      <c r="M102" t="s">
        <v>1571</v>
      </c>
      <c r="N102" t="s">
        <v>1578</v>
      </c>
      <c r="O102" t="s">
        <v>1445</v>
      </c>
      <c r="P102" t="s">
        <v>1572</v>
      </c>
      <c r="Q102" t="s">
        <v>1467</v>
      </c>
      <c r="R102" t="s">
        <v>694</v>
      </c>
      <c r="S102" t="s">
        <v>69</v>
      </c>
      <c r="T102" t="s">
        <v>1573</v>
      </c>
    </row>
    <row r="103" spans="1:20" hidden="1">
      <c r="A103" s="1" t="s">
        <v>1560</v>
      </c>
      <c r="B103" s="1" t="s">
        <v>1561</v>
      </c>
      <c r="C103">
        <v>2003</v>
      </c>
      <c r="D103" t="s">
        <v>42</v>
      </c>
      <c r="E103" s="40">
        <v>45896</v>
      </c>
      <c r="F103" s="40" t="s">
        <v>1566</v>
      </c>
      <c r="G103" s="40" t="s">
        <v>1451</v>
      </c>
      <c r="H103">
        <v>1962</v>
      </c>
      <c r="I103">
        <v>1999</v>
      </c>
      <c r="J103">
        <f t="shared" si="9"/>
        <v>38</v>
      </c>
      <c r="K103" t="s">
        <v>145</v>
      </c>
      <c r="L103" t="s">
        <v>1447</v>
      </c>
      <c r="M103" t="s">
        <v>1571</v>
      </c>
      <c r="N103" t="s">
        <v>1577</v>
      </c>
      <c r="O103" t="s">
        <v>1446</v>
      </c>
      <c r="P103" t="s">
        <v>1572</v>
      </c>
      <c r="Q103" t="s">
        <v>1468</v>
      </c>
      <c r="R103" t="s">
        <v>694</v>
      </c>
      <c r="S103" t="s">
        <v>69</v>
      </c>
      <c r="T103" t="s">
        <v>1573</v>
      </c>
    </row>
    <row r="104" spans="1:20" hidden="1">
      <c r="A104" s="1" t="s">
        <v>1579</v>
      </c>
      <c r="B104" s="1" t="s">
        <v>1561</v>
      </c>
      <c r="C104">
        <v>2004</v>
      </c>
      <c r="D104" t="s">
        <v>42</v>
      </c>
      <c r="E104" s="40">
        <v>45896</v>
      </c>
      <c r="F104" s="40" t="s">
        <v>1566</v>
      </c>
      <c r="G104" s="40" t="s">
        <v>1451</v>
      </c>
      <c r="H104">
        <v>1962</v>
      </c>
      <c r="I104">
        <v>1999</v>
      </c>
      <c r="J104">
        <f t="shared" si="9"/>
        <v>38</v>
      </c>
      <c r="K104" t="s">
        <v>145</v>
      </c>
      <c r="L104" t="s">
        <v>1447</v>
      </c>
      <c r="M104" t="s">
        <v>1571</v>
      </c>
      <c r="N104" t="s">
        <v>1578</v>
      </c>
      <c r="O104" t="s">
        <v>1445</v>
      </c>
      <c r="P104" t="s">
        <v>1572</v>
      </c>
      <c r="Q104" t="s">
        <v>1467</v>
      </c>
      <c r="R104" t="s">
        <v>694</v>
      </c>
      <c r="S104" t="s">
        <v>69</v>
      </c>
      <c r="T104" t="s">
        <v>1573</v>
      </c>
    </row>
    <row r="105" spans="1:20" hidden="1">
      <c r="A105" s="1" t="s">
        <v>1560</v>
      </c>
      <c r="B105" s="1" t="s">
        <v>1561</v>
      </c>
      <c r="C105">
        <v>2003</v>
      </c>
      <c r="D105" t="s">
        <v>42</v>
      </c>
      <c r="E105" s="40">
        <v>45896</v>
      </c>
      <c r="F105" s="40" t="s">
        <v>1567</v>
      </c>
      <c r="G105" s="40" t="s">
        <v>1451</v>
      </c>
      <c r="H105">
        <v>1977</v>
      </c>
      <c r="I105">
        <v>2000</v>
      </c>
      <c r="J105">
        <f t="shared" si="9"/>
        <v>24</v>
      </c>
      <c r="K105" t="s">
        <v>145</v>
      </c>
      <c r="L105" t="s">
        <v>1447</v>
      </c>
      <c r="M105" t="s">
        <v>1571</v>
      </c>
      <c r="N105" t="s">
        <v>1577</v>
      </c>
      <c r="O105" t="s">
        <v>1446</v>
      </c>
      <c r="P105" t="s">
        <v>1572</v>
      </c>
      <c r="Q105" t="s">
        <v>1468</v>
      </c>
      <c r="R105" t="s">
        <v>694</v>
      </c>
      <c r="S105" t="s">
        <v>69</v>
      </c>
      <c r="T105" t="s">
        <v>1573</v>
      </c>
    </row>
    <row r="106" spans="1:20" hidden="1">
      <c r="A106" s="1" t="s">
        <v>1579</v>
      </c>
      <c r="B106" s="1" t="s">
        <v>1561</v>
      </c>
      <c r="C106">
        <v>2004</v>
      </c>
      <c r="D106" t="s">
        <v>42</v>
      </c>
      <c r="E106" s="40">
        <v>45896</v>
      </c>
      <c r="F106" s="40" t="s">
        <v>1567</v>
      </c>
      <c r="G106" s="40" t="s">
        <v>1451</v>
      </c>
      <c r="H106">
        <v>1977</v>
      </c>
      <c r="I106">
        <v>2000</v>
      </c>
      <c r="J106">
        <f t="shared" si="9"/>
        <v>24</v>
      </c>
      <c r="K106" t="s">
        <v>145</v>
      </c>
      <c r="L106" t="s">
        <v>1447</v>
      </c>
      <c r="M106" t="s">
        <v>1571</v>
      </c>
      <c r="N106" t="s">
        <v>1578</v>
      </c>
      <c r="O106" t="s">
        <v>1445</v>
      </c>
      <c r="P106" t="s">
        <v>1572</v>
      </c>
      <c r="Q106" t="s">
        <v>1467</v>
      </c>
      <c r="R106" t="s">
        <v>694</v>
      </c>
      <c r="S106" t="s">
        <v>69</v>
      </c>
      <c r="T106" t="s">
        <v>1573</v>
      </c>
    </row>
    <row r="107" spans="1:20" hidden="1">
      <c r="A107" s="1" t="s">
        <v>1560</v>
      </c>
      <c r="B107" s="1" t="s">
        <v>1561</v>
      </c>
      <c r="C107">
        <v>2003</v>
      </c>
      <c r="D107" t="s">
        <v>42</v>
      </c>
      <c r="E107" s="40">
        <v>45896</v>
      </c>
      <c r="F107" s="40" t="s">
        <v>1568</v>
      </c>
      <c r="G107" s="40" t="s">
        <v>1451</v>
      </c>
      <c r="H107">
        <v>1968</v>
      </c>
      <c r="I107">
        <v>2000</v>
      </c>
      <c r="J107">
        <f t="shared" si="9"/>
        <v>33</v>
      </c>
      <c r="K107" t="s">
        <v>145</v>
      </c>
      <c r="L107" t="s">
        <v>1447</v>
      </c>
      <c r="M107" t="s">
        <v>1571</v>
      </c>
      <c r="N107" t="s">
        <v>1577</v>
      </c>
      <c r="O107" t="s">
        <v>1446</v>
      </c>
      <c r="P107" t="s">
        <v>1572</v>
      </c>
      <c r="Q107" t="s">
        <v>1468</v>
      </c>
      <c r="R107" t="s">
        <v>694</v>
      </c>
      <c r="S107" t="s">
        <v>69</v>
      </c>
      <c r="T107" t="s">
        <v>1573</v>
      </c>
    </row>
    <row r="108" spans="1:20" hidden="1">
      <c r="A108" s="1" t="s">
        <v>1579</v>
      </c>
      <c r="B108" s="1" t="s">
        <v>1561</v>
      </c>
      <c r="C108">
        <v>2004</v>
      </c>
      <c r="D108" t="s">
        <v>42</v>
      </c>
      <c r="E108" s="40">
        <v>45896</v>
      </c>
      <c r="F108" s="40" t="s">
        <v>1568</v>
      </c>
      <c r="G108" s="40" t="s">
        <v>1451</v>
      </c>
      <c r="H108">
        <v>1968</v>
      </c>
      <c r="I108">
        <v>2000</v>
      </c>
      <c r="J108">
        <f t="shared" si="9"/>
        <v>33</v>
      </c>
      <c r="K108" t="s">
        <v>145</v>
      </c>
      <c r="L108" t="s">
        <v>1447</v>
      </c>
      <c r="M108" t="s">
        <v>1571</v>
      </c>
      <c r="N108" t="s">
        <v>1578</v>
      </c>
      <c r="O108" t="s">
        <v>1445</v>
      </c>
      <c r="P108" t="s">
        <v>1572</v>
      </c>
      <c r="Q108" t="s">
        <v>1467</v>
      </c>
      <c r="R108" t="s">
        <v>694</v>
      </c>
      <c r="S108" t="s">
        <v>69</v>
      </c>
      <c r="T108" t="s">
        <v>1573</v>
      </c>
    </row>
    <row r="109" spans="1:20" hidden="1">
      <c r="A109" s="1" t="s">
        <v>1560</v>
      </c>
      <c r="B109" s="1" t="s">
        <v>1561</v>
      </c>
      <c r="C109">
        <v>2003</v>
      </c>
      <c r="D109" t="s">
        <v>42</v>
      </c>
      <c r="E109" s="40">
        <v>45896</v>
      </c>
      <c r="F109" s="40" t="s">
        <v>1569</v>
      </c>
      <c r="G109" s="40" t="s">
        <v>1451</v>
      </c>
      <c r="H109">
        <v>1981</v>
      </c>
      <c r="I109">
        <v>1999</v>
      </c>
      <c r="J109">
        <f t="shared" si="9"/>
        <v>19</v>
      </c>
      <c r="K109" t="s">
        <v>1442</v>
      </c>
      <c r="L109" t="s">
        <v>1447</v>
      </c>
      <c r="M109" t="s">
        <v>1571</v>
      </c>
      <c r="N109" t="s">
        <v>1577</v>
      </c>
      <c r="O109" t="s">
        <v>1446</v>
      </c>
      <c r="P109" t="s">
        <v>1572</v>
      </c>
      <c r="Q109" t="s">
        <v>1468</v>
      </c>
      <c r="R109" t="s">
        <v>694</v>
      </c>
      <c r="S109" t="s">
        <v>69</v>
      </c>
      <c r="T109" t="s">
        <v>1573</v>
      </c>
    </row>
    <row r="110" spans="1:20" hidden="1">
      <c r="A110" s="1" t="s">
        <v>1579</v>
      </c>
      <c r="B110" s="1" t="s">
        <v>1561</v>
      </c>
      <c r="C110">
        <v>2004</v>
      </c>
      <c r="D110" t="s">
        <v>42</v>
      </c>
      <c r="E110" s="40">
        <v>45896</v>
      </c>
      <c r="F110" s="40" t="s">
        <v>1569</v>
      </c>
      <c r="G110" s="40" t="s">
        <v>1451</v>
      </c>
      <c r="H110">
        <v>1981</v>
      </c>
      <c r="I110">
        <v>1999</v>
      </c>
      <c r="J110">
        <f t="shared" si="9"/>
        <v>19</v>
      </c>
      <c r="K110" t="s">
        <v>1442</v>
      </c>
      <c r="L110" t="s">
        <v>1447</v>
      </c>
      <c r="M110" t="s">
        <v>1571</v>
      </c>
      <c r="N110" t="s">
        <v>1578</v>
      </c>
      <c r="O110" t="s">
        <v>1445</v>
      </c>
      <c r="P110" t="s">
        <v>1572</v>
      </c>
      <c r="Q110" t="s">
        <v>1467</v>
      </c>
      <c r="R110" t="s">
        <v>694</v>
      </c>
      <c r="S110" t="s">
        <v>69</v>
      </c>
      <c r="T110" t="s">
        <v>1573</v>
      </c>
    </row>
    <row r="111" spans="1:20" hidden="1">
      <c r="A111" s="1" t="s">
        <v>1580</v>
      </c>
      <c r="B111" s="1" t="s">
        <v>1581</v>
      </c>
      <c r="C111">
        <v>2009</v>
      </c>
      <c r="D111" t="s">
        <v>44</v>
      </c>
      <c r="E111" s="40">
        <v>45896</v>
      </c>
      <c r="F111" s="40" t="s">
        <v>62</v>
      </c>
      <c r="G111" s="40" t="s">
        <v>1451</v>
      </c>
      <c r="H111">
        <v>1949</v>
      </c>
      <c r="I111">
        <v>2005</v>
      </c>
      <c r="J111">
        <f t="shared" si="9"/>
        <v>57</v>
      </c>
      <c r="K111" t="s">
        <v>145</v>
      </c>
      <c r="L111" t="s">
        <v>1465</v>
      </c>
      <c r="M111" t="s">
        <v>1583</v>
      </c>
      <c r="N111" t="s">
        <v>1583</v>
      </c>
      <c r="O111" t="s">
        <v>1445</v>
      </c>
      <c r="P111" t="s">
        <v>1587</v>
      </c>
      <c r="Q111" t="s">
        <v>1467</v>
      </c>
      <c r="R111" t="s">
        <v>694</v>
      </c>
      <c r="S111" t="s">
        <v>69</v>
      </c>
      <c r="T111" t="s">
        <v>1589</v>
      </c>
    </row>
    <row r="112" spans="1:20" hidden="1">
      <c r="A112" s="1" t="s">
        <v>1580</v>
      </c>
      <c r="B112" s="1" t="s">
        <v>1581</v>
      </c>
      <c r="C112">
        <v>2009</v>
      </c>
      <c r="D112" t="s">
        <v>44</v>
      </c>
      <c r="E112" s="40">
        <v>45896</v>
      </c>
      <c r="F112" s="40" t="s">
        <v>62</v>
      </c>
      <c r="G112" s="40" t="s">
        <v>1451</v>
      </c>
      <c r="H112">
        <v>1949</v>
      </c>
      <c r="I112">
        <v>2005</v>
      </c>
      <c r="J112">
        <f t="shared" ref="J112:J121" si="10">I112-H112+1</f>
        <v>57</v>
      </c>
      <c r="K112" t="s">
        <v>145</v>
      </c>
      <c r="L112" t="s">
        <v>1447</v>
      </c>
      <c r="M112" t="s">
        <v>654</v>
      </c>
      <c r="N112" t="s">
        <v>1586</v>
      </c>
      <c r="O112" t="s">
        <v>1446</v>
      </c>
      <c r="P112" t="s">
        <v>1587</v>
      </c>
      <c r="Q112" s="4" t="s">
        <v>1468</v>
      </c>
      <c r="R112" t="s">
        <v>694</v>
      </c>
      <c r="S112" t="s">
        <v>69</v>
      </c>
      <c r="T112" t="s">
        <v>1591</v>
      </c>
    </row>
    <row r="113" spans="1:20" hidden="1">
      <c r="A113" s="1" t="s">
        <v>1580</v>
      </c>
      <c r="B113" s="1" t="s">
        <v>1581</v>
      </c>
      <c r="C113">
        <v>2009</v>
      </c>
      <c r="D113" t="s">
        <v>44</v>
      </c>
      <c r="E113" s="40">
        <v>45896</v>
      </c>
      <c r="F113" s="40" t="s">
        <v>62</v>
      </c>
      <c r="G113" s="40" t="s">
        <v>1451</v>
      </c>
      <c r="H113">
        <v>1949</v>
      </c>
      <c r="I113">
        <v>2005</v>
      </c>
      <c r="J113">
        <f t="shared" si="10"/>
        <v>57</v>
      </c>
      <c r="K113" t="s">
        <v>145</v>
      </c>
      <c r="L113" t="s">
        <v>1465</v>
      </c>
      <c r="M113" t="s">
        <v>1191</v>
      </c>
      <c r="N113" t="s">
        <v>208</v>
      </c>
      <c r="O113" t="s">
        <v>1445</v>
      </c>
      <c r="P113" t="s">
        <v>1587</v>
      </c>
      <c r="Q113" t="s">
        <v>1467</v>
      </c>
      <c r="R113" t="s">
        <v>694</v>
      </c>
      <c r="S113" t="s">
        <v>69</v>
      </c>
      <c r="T113" t="s">
        <v>1592</v>
      </c>
    </row>
    <row r="114" spans="1:20" hidden="1">
      <c r="A114" s="1" t="s">
        <v>1580</v>
      </c>
      <c r="B114" s="1" t="s">
        <v>1581</v>
      </c>
      <c r="C114">
        <v>2009</v>
      </c>
      <c r="D114" t="s">
        <v>44</v>
      </c>
      <c r="E114" s="40">
        <v>45896</v>
      </c>
      <c r="F114" s="40" t="s">
        <v>62</v>
      </c>
      <c r="G114" s="40" t="s">
        <v>1451</v>
      </c>
      <c r="H114">
        <v>1949</v>
      </c>
      <c r="I114">
        <v>2005</v>
      </c>
      <c r="J114">
        <f t="shared" si="10"/>
        <v>57</v>
      </c>
      <c r="K114" t="s">
        <v>145</v>
      </c>
      <c r="L114" t="s">
        <v>1465</v>
      </c>
      <c r="M114" t="s">
        <v>1584</v>
      </c>
      <c r="N114" t="s">
        <v>1584</v>
      </c>
      <c r="O114" t="s">
        <v>1445</v>
      </c>
      <c r="P114" t="s">
        <v>1587</v>
      </c>
      <c r="Q114" t="s">
        <v>1468</v>
      </c>
      <c r="R114" t="s">
        <v>41</v>
      </c>
      <c r="S114" t="s">
        <v>69</v>
      </c>
      <c r="T114" t="s">
        <v>1590</v>
      </c>
    </row>
    <row r="115" spans="1:20" hidden="1">
      <c r="A115" s="1" t="s">
        <v>1580</v>
      </c>
      <c r="B115" s="1" t="s">
        <v>1581</v>
      </c>
      <c r="C115">
        <v>2009</v>
      </c>
      <c r="D115" t="s">
        <v>44</v>
      </c>
      <c r="E115" s="40">
        <v>45896</v>
      </c>
      <c r="F115" s="40" t="s">
        <v>62</v>
      </c>
      <c r="G115" s="40" t="s">
        <v>1451</v>
      </c>
      <c r="H115">
        <v>1949</v>
      </c>
      <c r="I115">
        <v>2005</v>
      </c>
      <c r="J115">
        <f t="shared" si="10"/>
        <v>57</v>
      </c>
      <c r="K115" t="s">
        <v>145</v>
      </c>
      <c r="L115" t="s">
        <v>1444</v>
      </c>
      <c r="M115" t="s">
        <v>1585</v>
      </c>
      <c r="N115" t="s">
        <v>1585</v>
      </c>
      <c r="O115" t="s">
        <v>1445</v>
      </c>
      <c r="P115" t="s">
        <v>1587</v>
      </c>
      <c r="Q115" t="s">
        <v>1467</v>
      </c>
      <c r="R115" t="s">
        <v>694</v>
      </c>
      <c r="S115" t="s">
        <v>69</v>
      </c>
      <c r="T115" t="s">
        <v>1589</v>
      </c>
    </row>
    <row r="116" spans="1:20" hidden="1">
      <c r="A116" s="1" t="s">
        <v>1580</v>
      </c>
      <c r="B116" s="1" t="s">
        <v>1581</v>
      </c>
      <c r="C116">
        <v>2009</v>
      </c>
      <c r="D116" t="s">
        <v>44</v>
      </c>
      <c r="E116" s="40">
        <v>45897</v>
      </c>
      <c r="F116" s="40" t="s">
        <v>62</v>
      </c>
      <c r="G116" s="40" t="s">
        <v>1451</v>
      </c>
      <c r="H116">
        <v>1949</v>
      </c>
      <c r="I116">
        <v>2005</v>
      </c>
      <c r="J116">
        <f t="shared" si="10"/>
        <v>57</v>
      </c>
      <c r="K116" t="s">
        <v>145</v>
      </c>
      <c r="L116" t="s">
        <v>1582</v>
      </c>
      <c r="M116" t="s">
        <v>40</v>
      </c>
      <c r="N116" t="s">
        <v>40</v>
      </c>
      <c r="O116" s="4" t="s">
        <v>40</v>
      </c>
      <c r="P116" s="4" t="s">
        <v>1588</v>
      </c>
      <c r="Q116" s="4" t="s">
        <v>1467</v>
      </c>
      <c r="R116" s="4" t="s">
        <v>694</v>
      </c>
      <c r="S116" t="s">
        <v>69</v>
      </c>
      <c r="T116" t="s">
        <v>1589</v>
      </c>
    </row>
    <row r="117" spans="1:20" hidden="1">
      <c r="A117" s="1" t="s">
        <v>1594</v>
      </c>
      <c r="B117" s="1" t="s">
        <v>1593</v>
      </c>
      <c r="C117">
        <v>2010</v>
      </c>
      <c r="D117" t="s">
        <v>42</v>
      </c>
      <c r="E117" s="40">
        <v>45897</v>
      </c>
      <c r="F117" s="40" t="s">
        <v>880</v>
      </c>
      <c r="G117" s="40" t="s">
        <v>1451</v>
      </c>
      <c r="H117">
        <v>1958</v>
      </c>
      <c r="I117">
        <v>2002</v>
      </c>
      <c r="J117">
        <f t="shared" si="10"/>
        <v>45</v>
      </c>
      <c r="K117" t="s">
        <v>145</v>
      </c>
      <c r="L117" t="s">
        <v>1444</v>
      </c>
      <c r="M117" t="s">
        <v>1014</v>
      </c>
      <c r="N117" t="s">
        <v>65</v>
      </c>
      <c r="O117" t="s">
        <v>1446</v>
      </c>
      <c r="P117" t="s">
        <v>1587</v>
      </c>
      <c r="Q117" t="s">
        <v>1468</v>
      </c>
      <c r="R117" t="s">
        <v>694</v>
      </c>
      <c r="S117" t="s">
        <v>69</v>
      </c>
      <c r="T117" t="s">
        <v>1595</v>
      </c>
    </row>
    <row r="118" spans="1:20" hidden="1">
      <c r="A118" s="1" t="s">
        <v>1598</v>
      </c>
      <c r="B118" s="1" t="s">
        <v>1599</v>
      </c>
      <c r="C118">
        <v>2024</v>
      </c>
      <c r="D118" t="s">
        <v>42</v>
      </c>
      <c r="E118" s="40">
        <v>45897</v>
      </c>
      <c r="F118" s="40" t="s">
        <v>1600</v>
      </c>
      <c r="G118" s="40" t="s">
        <v>1455</v>
      </c>
      <c r="H118">
        <v>1995</v>
      </c>
      <c r="I118">
        <v>2015</v>
      </c>
      <c r="J118">
        <f t="shared" si="10"/>
        <v>21</v>
      </c>
      <c r="K118" t="s">
        <v>1442</v>
      </c>
      <c r="L118" t="s">
        <v>152</v>
      </c>
      <c r="M118" t="s">
        <v>40</v>
      </c>
      <c r="N118">
        <v>2</v>
      </c>
      <c r="O118" t="s">
        <v>40</v>
      </c>
      <c r="P118" t="s">
        <v>1601</v>
      </c>
      <c r="Q118" t="s">
        <v>1467</v>
      </c>
      <c r="R118" t="s">
        <v>694</v>
      </c>
      <c r="S118" t="s">
        <v>69</v>
      </c>
      <c r="T118" t="s">
        <v>1602</v>
      </c>
    </row>
    <row r="119" spans="1:20" hidden="1">
      <c r="A119" s="1" t="s">
        <v>1598</v>
      </c>
      <c r="B119" s="1" t="s">
        <v>1599</v>
      </c>
      <c r="C119">
        <v>2024</v>
      </c>
      <c r="D119" t="s">
        <v>42</v>
      </c>
      <c r="E119" s="40">
        <v>45897</v>
      </c>
      <c r="F119" s="40" t="s">
        <v>1600</v>
      </c>
      <c r="G119" s="40" t="s">
        <v>1455</v>
      </c>
      <c r="H119">
        <v>1995</v>
      </c>
      <c r="I119">
        <v>2015</v>
      </c>
      <c r="J119">
        <f t="shared" si="10"/>
        <v>21</v>
      </c>
      <c r="K119" t="s">
        <v>1442</v>
      </c>
      <c r="L119" t="s">
        <v>1444</v>
      </c>
      <c r="M119" t="s">
        <v>40</v>
      </c>
      <c r="N119">
        <v>2</v>
      </c>
      <c r="O119" t="s">
        <v>40</v>
      </c>
      <c r="P119" t="s">
        <v>1601</v>
      </c>
      <c r="Q119" t="s">
        <v>1467</v>
      </c>
      <c r="R119" t="s">
        <v>694</v>
      </c>
      <c r="S119" t="s">
        <v>69</v>
      </c>
      <c r="T119" t="s">
        <v>1603</v>
      </c>
    </row>
    <row r="120" spans="1:20" hidden="1">
      <c r="A120" s="1" t="s">
        <v>1598</v>
      </c>
      <c r="B120" s="1" t="s">
        <v>1599</v>
      </c>
      <c r="C120">
        <v>2024</v>
      </c>
      <c r="D120" t="s">
        <v>42</v>
      </c>
      <c r="E120" s="40">
        <v>45897</v>
      </c>
      <c r="F120" s="40" t="s">
        <v>1600</v>
      </c>
      <c r="G120" s="40" t="s">
        <v>1455</v>
      </c>
      <c r="H120">
        <v>1995</v>
      </c>
      <c r="I120">
        <v>2015</v>
      </c>
      <c r="J120">
        <f t="shared" si="10"/>
        <v>21</v>
      </c>
      <c r="K120" t="s">
        <v>145</v>
      </c>
      <c r="L120" t="s">
        <v>152</v>
      </c>
      <c r="M120" t="s">
        <v>217</v>
      </c>
      <c r="N120" t="s">
        <v>217</v>
      </c>
      <c r="O120" t="s">
        <v>1446</v>
      </c>
      <c r="P120" t="s">
        <v>1601</v>
      </c>
      <c r="Q120" t="s">
        <v>1468</v>
      </c>
      <c r="R120" t="s">
        <v>694</v>
      </c>
      <c r="S120" t="s">
        <v>69</v>
      </c>
      <c r="T120" t="s">
        <v>1603</v>
      </c>
    </row>
    <row r="121" spans="1:20" hidden="1">
      <c r="A121" s="1" t="s">
        <v>1598</v>
      </c>
      <c r="B121" s="1" t="s">
        <v>1599</v>
      </c>
      <c r="C121">
        <v>2024</v>
      </c>
      <c r="D121" t="s">
        <v>42</v>
      </c>
      <c r="E121" s="40">
        <v>45897</v>
      </c>
      <c r="F121" s="40" t="s">
        <v>1600</v>
      </c>
      <c r="G121" s="40" t="s">
        <v>1455</v>
      </c>
      <c r="H121">
        <v>1995</v>
      </c>
      <c r="I121">
        <v>2015</v>
      </c>
      <c r="J121">
        <f t="shared" si="10"/>
        <v>21</v>
      </c>
      <c r="K121" t="s">
        <v>145</v>
      </c>
      <c r="L121" t="s">
        <v>152</v>
      </c>
      <c r="M121" t="s">
        <v>1348</v>
      </c>
      <c r="N121" t="s">
        <v>1348</v>
      </c>
      <c r="O121" t="s">
        <v>1445</v>
      </c>
      <c r="P121" t="s">
        <v>1601</v>
      </c>
      <c r="Q121" t="s">
        <v>1467</v>
      </c>
      <c r="R121" t="s">
        <v>694</v>
      </c>
      <c r="S121" t="s">
        <v>69</v>
      </c>
      <c r="T121" t="s">
        <v>1603</v>
      </c>
    </row>
    <row r="122" spans="1:20" hidden="1">
      <c r="A122" s="1" t="s">
        <v>1598</v>
      </c>
      <c r="B122" s="1" t="s">
        <v>1599</v>
      </c>
      <c r="C122">
        <v>2024</v>
      </c>
      <c r="D122" t="s">
        <v>42</v>
      </c>
      <c r="E122" s="40">
        <v>45897</v>
      </c>
      <c r="F122" s="40" t="s">
        <v>1600</v>
      </c>
      <c r="G122" s="40" t="s">
        <v>1455</v>
      </c>
      <c r="H122">
        <v>1995</v>
      </c>
      <c r="I122">
        <v>2015</v>
      </c>
      <c r="J122">
        <f t="shared" ref="J122:J124" si="11">I122-H122+1</f>
        <v>21</v>
      </c>
      <c r="K122" t="s">
        <v>145</v>
      </c>
      <c r="L122" t="s">
        <v>1444</v>
      </c>
      <c r="M122" t="s">
        <v>36</v>
      </c>
      <c r="N122" t="s">
        <v>181</v>
      </c>
      <c r="O122" t="s">
        <v>1446</v>
      </c>
      <c r="P122" t="s">
        <v>1601</v>
      </c>
      <c r="Q122" t="s">
        <v>1468</v>
      </c>
      <c r="R122" t="s">
        <v>694</v>
      </c>
      <c r="S122" t="s">
        <v>69</v>
      </c>
      <c r="T122" t="s">
        <v>1603</v>
      </c>
    </row>
    <row r="123" spans="1:20" hidden="1">
      <c r="A123" s="1" t="s">
        <v>1598</v>
      </c>
      <c r="B123" s="1" t="s">
        <v>1599</v>
      </c>
      <c r="C123">
        <v>2024</v>
      </c>
      <c r="D123" t="s">
        <v>42</v>
      </c>
      <c r="E123" s="40">
        <v>45897</v>
      </c>
      <c r="F123" s="40" t="s">
        <v>1600</v>
      </c>
      <c r="G123" s="40" t="s">
        <v>1455</v>
      </c>
      <c r="H123">
        <v>1995</v>
      </c>
      <c r="I123">
        <v>2015</v>
      </c>
      <c r="J123">
        <f t="shared" si="11"/>
        <v>21</v>
      </c>
      <c r="K123" t="s">
        <v>145</v>
      </c>
      <c r="L123" t="s">
        <v>1444</v>
      </c>
      <c r="M123" t="s">
        <v>98</v>
      </c>
      <c r="N123" t="s">
        <v>98</v>
      </c>
      <c r="O123" t="s">
        <v>1445</v>
      </c>
      <c r="P123" t="s">
        <v>1601</v>
      </c>
      <c r="Q123" t="s">
        <v>1467</v>
      </c>
      <c r="R123" t="s">
        <v>694</v>
      </c>
      <c r="S123" t="s">
        <v>69</v>
      </c>
      <c r="T123" t="s">
        <v>1603</v>
      </c>
    </row>
    <row r="124" spans="1:20" hidden="1">
      <c r="A124" s="1" t="s">
        <v>1604</v>
      </c>
      <c r="B124" s="1" t="s">
        <v>1605</v>
      </c>
      <c r="C124">
        <v>2008</v>
      </c>
      <c r="D124" t="s">
        <v>44</v>
      </c>
      <c r="E124" s="40">
        <v>45897</v>
      </c>
      <c r="F124" s="40" t="s">
        <v>62</v>
      </c>
      <c r="G124" s="40" t="s">
        <v>1451</v>
      </c>
      <c r="H124">
        <v>1958</v>
      </c>
      <c r="I124">
        <v>2005</v>
      </c>
      <c r="J124">
        <f t="shared" si="11"/>
        <v>48</v>
      </c>
      <c r="K124" t="s">
        <v>145</v>
      </c>
      <c r="L124" t="s">
        <v>1465</v>
      </c>
      <c r="M124" t="s">
        <v>1191</v>
      </c>
      <c r="N124" t="s">
        <v>1191</v>
      </c>
      <c r="P124" t="s">
        <v>1617</v>
      </c>
      <c r="Q124" t="s">
        <v>1467</v>
      </c>
      <c r="R124" t="s">
        <v>694</v>
      </c>
      <c r="S124" t="s">
        <v>69</v>
      </c>
      <c r="T124" t="s">
        <v>1607</v>
      </c>
    </row>
    <row r="125" spans="1:20" hidden="1">
      <c r="A125" s="1" t="s">
        <v>1604</v>
      </c>
      <c r="B125" s="1" t="s">
        <v>1605</v>
      </c>
      <c r="C125">
        <v>2008</v>
      </c>
      <c r="D125" t="s">
        <v>44</v>
      </c>
      <c r="E125" s="40">
        <v>45897</v>
      </c>
      <c r="F125" s="40" t="s">
        <v>62</v>
      </c>
      <c r="G125" s="40" t="s">
        <v>1451</v>
      </c>
      <c r="H125">
        <v>1958</v>
      </c>
      <c r="I125">
        <v>2005</v>
      </c>
      <c r="J125">
        <f t="shared" ref="J125:J127" si="12">I125-H125+1</f>
        <v>48</v>
      </c>
      <c r="K125" t="s">
        <v>145</v>
      </c>
      <c r="L125" t="s">
        <v>1465</v>
      </c>
      <c r="M125" t="s">
        <v>1583</v>
      </c>
      <c r="N125" t="s">
        <v>1583</v>
      </c>
      <c r="P125" t="s">
        <v>1617</v>
      </c>
      <c r="Q125" t="s">
        <v>1467</v>
      </c>
      <c r="R125" t="s">
        <v>694</v>
      </c>
      <c r="S125" t="s">
        <v>69</v>
      </c>
      <c r="T125" t="s">
        <v>1608</v>
      </c>
    </row>
    <row r="126" spans="1:20" hidden="1">
      <c r="A126" s="1" t="s">
        <v>1604</v>
      </c>
      <c r="B126" s="1" t="s">
        <v>1605</v>
      </c>
      <c r="C126">
        <v>2008</v>
      </c>
      <c r="D126" t="s">
        <v>44</v>
      </c>
      <c r="E126" s="40">
        <v>45897</v>
      </c>
      <c r="F126" s="40" t="s">
        <v>62</v>
      </c>
      <c r="G126" s="40" t="s">
        <v>1451</v>
      </c>
      <c r="H126">
        <v>1958</v>
      </c>
      <c r="I126">
        <v>2005</v>
      </c>
      <c r="J126">
        <f t="shared" si="12"/>
        <v>48</v>
      </c>
      <c r="K126" t="s">
        <v>145</v>
      </c>
      <c r="L126" t="s">
        <v>1465</v>
      </c>
      <c r="M126" t="s">
        <v>1584</v>
      </c>
      <c r="N126" t="s">
        <v>1584</v>
      </c>
      <c r="P126" t="s">
        <v>1617</v>
      </c>
      <c r="Q126" t="s">
        <v>1468</v>
      </c>
      <c r="R126" t="s">
        <v>41</v>
      </c>
      <c r="S126" t="s">
        <v>69</v>
      </c>
      <c r="T126" t="s">
        <v>1609</v>
      </c>
    </row>
    <row r="127" spans="1:20" hidden="1">
      <c r="A127" s="1" t="s">
        <v>1604</v>
      </c>
      <c r="B127" s="1" t="s">
        <v>1605</v>
      </c>
      <c r="C127">
        <v>2008</v>
      </c>
      <c r="D127" t="s">
        <v>44</v>
      </c>
      <c r="E127" s="40">
        <v>45897</v>
      </c>
      <c r="F127" s="40" t="s">
        <v>62</v>
      </c>
      <c r="G127" s="40" t="s">
        <v>1451</v>
      </c>
      <c r="H127">
        <v>1958</v>
      </c>
      <c r="I127">
        <v>2005</v>
      </c>
      <c r="J127">
        <f t="shared" si="12"/>
        <v>48</v>
      </c>
      <c r="K127" t="s">
        <v>145</v>
      </c>
      <c r="L127" t="s">
        <v>1465</v>
      </c>
      <c r="M127" t="s">
        <v>1606</v>
      </c>
      <c r="N127" t="s">
        <v>1618</v>
      </c>
      <c r="P127" t="s">
        <v>1617</v>
      </c>
      <c r="Q127" t="s">
        <v>223</v>
      </c>
      <c r="R127" t="s">
        <v>41</v>
      </c>
      <c r="S127" t="s">
        <v>69</v>
      </c>
      <c r="T127" t="s">
        <v>1610</v>
      </c>
    </row>
    <row r="128" spans="1:20" hidden="1">
      <c r="A128" s="1" t="s">
        <v>1604</v>
      </c>
      <c r="B128" s="1" t="s">
        <v>1614</v>
      </c>
      <c r="C128">
        <v>2009</v>
      </c>
      <c r="D128" t="s">
        <v>44</v>
      </c>
      <c r="E128" s="40">
        <v>45898</v>
      </c>
      <c r="F128" s="40" t="s">
        <v>62</v>
      </c>
      <c r="G128" s="40" t="s">
        <v>1451</v>
      </c>
      <c r="H128">
        <v>1958</v>
      </c>
      <c r="I128">
        <v>2005</v>
      </c>
      <c r="J128">
        <f t="shared" ref="J128" si="13">I128-H128+1</f>
        <v>48</v>
      </c>
      <c r="K128" t="s">
        <v>145</v>
      </c>
      <c r="L128" t="s">
        <v>1465</v>
      </c>
      <c r="M128" t="s">
        <v>1619</v>
      </c>
      <c r="N128" t="s">
        <v>1615</v>
      </c>
      <c r="P128" t="s">
        <v>1617</v>
      </c>
      <c r="Q128" t="s">
        <v>223</v>
      </c>
      <c r="R128" t="s">
        <v>41</v>
      </c>
      <c r="S128" t="s">
        <v>69</v>
      </c>
      <c r="T128" t="s">
        <v>1616</v>
      </c>
    </row>
    <row r="129" spans="1:20" hidden="1">
      <c r="A129" s="1" t="s">
        <v>1604</v>
      </c>
      <c r="B129" s="1" t="s">
        <v>1605</v>
      </c>
      <c r="C129">
        <v>2008</v>
      </c>
      <c r="D129" t="s">
        <v>44</v>
      </c>
      <c r="E129" s="40">
        <v>45897</v>
      </c>
      <c r="F129" s="40" t="s">
        <v>62</v>
      </c>
      <c r="G129" s="40" t="s">
        <v>1451</v>
      </c>
      <c r="H129">
        <v>1958</v>
      </c>
      <c r="I129">
        <v>2005</v>
      </c>
      <c r="J129">
        <f t="shared" ref="J129" si="14">I129-H129+1</f>
        <v>48</v>
      </c>
      <c r="K129" t="s">
        <v>145</v>
      </c>
      <c r="L129" t="s">
        <v>152</v>
      </c>
      <c r="M129" t="s">
        <v>1588</v>
      </c>
      <c r="N129" t="s">
        <v>1588</v>
      </c>
      <c r="P129" t="s">
        <v>1617</v>
      </c>
      <c r="Q129" t="s">
        <v>1467</v>
      </c>
      <c r="R129" t="s">
        <v>694</v>
      </c>
      <c r="S129" t="s">
        <v>69</v>
      </c>
      <c r="T129" t="s">
        <v>1611</v>
      </c>
    </row>
    <row r="130" spans="1:20" hidden="1">
      <c r="A130" s="1" t="s">
        <v>1604</v>
      </c>
      <c r="B130" s="1" t="s">
        <v>1605</v>
      </c>
      <c r="C130">
        <v>2008</v>
      </c>
      <c r="D130" t="s">
        <v>44</v>
      </c>
      <c r="E130" s="40">
        <v>45897</v>
      </c>
      <c r="F130" s="40" t="s">
        <v>62</v>
      </c>
      <c r="G130" s="40" t="s">
        <v>1451</v>
      </c>
      <c r="H130">
        <v>1958</v>
      </c>
      <c r="I130">
        <v>2005</v>
      </c>
      <c r="J130">
        <f t="shared" ref="J130:J132" si="15">I130-H130+1</f>
        <v>48</v>
      </c>
      <c r="K130" t="s">
        <v>145</v>
      </c>
      <c r="L130" t="s">
        <v>152</v>
      </c>
      <c r="M130" t="s">
        <v>217</v>
      </c>
      <c r="N130" t="s">
        <v>217</v>
      </c>
      <c r="P130" t="s">
        <v>1617</v>
      </c>
      <c r="Q130" t="s">
        <v>223</v>
      </c>
      <c r="R130" t="s">
        <v>41</v>
      </c>
      <c r="S130" t="s">
        <v>69</v>
      </c>
      <c r="T130" t="s">
        <v>1612</v>
      </c>
    </row>
    <row r="131" spans="1:20" hidden="1">
      <c r="A131" s="1" t="s">
        <v>1604</v>
      </c>
      <c r="B131" s="1" t="s">
        <v>1605</v>
      </c>
      <c r="C131">
        <v>2008</v>
      </c>
      <c r="D131" t="s">
        <v>44</v>
      </c>
      <c r="E131" s="40">
        <v>45897</v>
      </c>
      <c r="F131" s="40" t="s">
        <v>62</v>
      </c>
      <c r="G131" s="40" t="s">
        <v>1451</v>
      </c>
      <c r="H131">
        <v>1958</v>
      </c>
      <c r="I131">
        <v>2005</v>
      </c>
      <c r="J131">
        <f t="shared" si="15"/>
        <v>48</v>
      </c>
      <c r="K131" t="s">
        <v>145</v>
      </c>
      <c r="L131" t="s">
        <v>152</v>
      </c>
      <c r="M131" t="s">
        <v>1348</v>
      </c>
      <c r="N131" t="s">
        <v>1348</v>
      </c>
      <c r="P131" t="s">
        <v>1617</v>
      </c>
      <c r="Q131" t="s">
        <v>223</v>
      </c>
      <c r="R131" t="s">
        <v>41</v>
      </c>
      <c r="S131" t="s">
        <v>69</v>
      </c>
      <c r="T131" t="s">
        <v>1613</v>
      </c>
    </row>
    <row r="132" spans="1:20">
      <c r="A132" s="1" t="s">
        <v>1620</v>
      </c>
      <c r="B132" s="1" t="s">
        <v>1621</v>
      </c>
      <c r="C132">
        <v>2009</v>
      </c>
      <c r="D132" t="s">
        <v>44</v>
      </c>
      <c r="E132" s="40">
        <v>45897</v>
      </c>
      <c r="F132" s="40" t="s">
        <v>787</v>
      </c>
      <c r="G132" s="40" t="s">
        <v>1451</v>
      </c>
      <c r="H132">
        <v>1951</v>
      </c>
      <c r="I132">
        <v>1998</v>
      </c>
      <c r="J132">
        <f t="shared" si="15"/>
        <v>48</v>
      </c>
      <c r="K132" t="s">
        <v>145</v>
      </c>
      <c r="L132" t="s">
        <v>1465</v>
      </c>
      <c r="M132" t="s">
        <v>788</v>
      </c>
      <c r="N132" t="s">
        <v>967</v>
      </c>
      <c r="O132" t="s">
        <v>1638</v>
      </c>
      <c r="P132" t="s">
        <v>1641</v>
      </c>
      <c r="Q132" t="s">
        <v>1467</v>
      </c>
      <c r="R132" t="s">
        <v>41</v>
      </c>
      <c r="S132" t="s">
        <v>69</v>
      </c>
      <c r="T132" t="s">
        <v>1643</v>
      </c>
    </row>
    <row r="133" spans="1:20">
      <c r="A133" s="1" t="s">
        <v>1620</v>
      </c>
      <c r="B133" s="1" t="s">
        <v>1621</v>
      </c>
      <c r="C133">
        <v>2009</v>
      </c>
      <c r="D133" t="s">
        <v>44</v>
      </c>
      <c r="E133" s="40">
        <v>45897</v>
      </c>
      <c r="F133" s="40" t="s">
        <v>787</v>
      </c>
      <c r="G133" s="40" t="s">
        <v>1451</v>
      </c>
      <c r="H133">
        <v>1951</v>
      </c>
      <c r="I133">
        <v>1998</v>
      </c>
      <c r="J133">
        <f t="shared" ref="J133:J166" si="16">I133-H133+1</f>
        <v>48</v>
      </c>
      <c r="K133" t="s">
        <v>145</v>
      </c>
      <c r="L133" t="s">
        <v>1465</v>
      </c>
      <c r="M133" t="s">
        <v>788</v>
      </c>
      <c r="N133" t="s">
        <v>971</v>
      </c>
      <c r="O133" t="s">
        <v>1638</v>
      </c>
      <c r="P133" t="s">
        <v>1641</v>
      </c>
      <c r="Q133" t="s">
        <v>1467</v>
      </c>
      <c r="R133" t="s">
        <v>41</v>
      </c>
      <c r="S133" t="s">
        <v>69</v>
      </c>
      <c r="T133" t="s">
        <v>1643</v>
      </c>
    </row>
    <row r="134" spans="1:20">
      <c r="A134" s="1" t="s">
        <v>1620</v>
      </c>
      <c r="B134" s="1" t="s">
        <v>1621</v>
      </c>
      <c r="C134">
        <v>2009</v>
      </c>
      <c r="D134" t="s">
        <v>44</v>
      </c>
      <c r="E134" s="40">
        <v>45897</v>
      </c>
      <c r="F134" s="40" t="s">
        <v>787</v>
      </c>
      <c r="G134" s="40" t="s">
        <v>1451</v>
      </c>
      <c r="H134">
        <v>1951</v>
      </c>
      <c r="I134">
        <v>1998</v>
      </c>
      <c r="J134">
        <f t="shared" si="16"/>
        <v>48</v>
      </c>
      <c r="K134" t="s">
        <v>145</v>
      </c>
      <c r="L134" t="s">
        <v>1465</v>
      </c>
      <c r="M134" t="s">
        <v>788</v>
      </c>
      <c r="N134" t="s">
        <v>288</v>
      </c>
      <c r="O134" t="s">
        <v>1638</v>
      </c>
      <c r="P134" t="s">
        <v>1641</v>
      </c>
      <c r="Q134" t="s">
        <v>1467</v>
      </c>
      <c r="R134" t="s">
        <v>41</v>
      </c>
      <c r="S134" t="s">
        <v>69</v>
      </c>
      <c r="T134" t="s">
        <v>1643</v>
      </c>
    </row>
    <row r="135" spans="1:20">
      <c r="A135" s="1" t="s">
        <v>1620</v>
      </c>
      <c r="B135" s="1" t="s">
        <v>1621</v>
      </c>
      <c r="C135">
        <v>2009</v>
      </c>
      <c r="D135" t="s">
        <v>44</v>
      </c>
      <c r="E135" s="40">
        <v>45897</v>
      </c>
      <c r="F135" s="40" t="s">
        <v>787</v>
      </c>
      <c r="G135" s="40" t="s">
        <v>1451</v>
      </c>
      <c r="H135">
        <v>1951</v>
      </c>
      <c r="I135">
        <v>1998</v>
      </c>
      <c r="J135">
        <f t="shared" si="16"/>
        <v>48</v>
      </c>
      <c r="K135" t="s">
        <v>145</v>
      </c>
      <c r="L135" t="s">
        <v>1465</v>
      </c>
      <c r="M135" t="s">
        <v>788</v>
      </c>
      <c r="N135" t="s">
        <v>299</v>
      </c>
      <c r="O135" s="4" t="s">
        <v>1639</v>
      </c>
      <c r="P135" s="4" t="s">
        <v>1641</v>
      </c>
      <c r="Q135" s="4" t="s">
        <v>1467</v>
      </c>
      <c r="R135" s="4" t="s">
        <v>1642</v>
      </c>
      <c r="S135" t="s">
        <v>69</v>
      </c>
      <c r="T135" t="s">
        <v>1643</v>
      </c>
    </row>
    <row r="136" spans="1:20">
      <c r="A136" s="1" t="s">
        <v>1620</v>
      </c>
      <c r="B136" s="1" t="s">
        <v>1621</v>
      </c>
      <c r="C136">
        <v>2009</v>
      </c>
      <c r="D136" t="s">
        <v>44</v>
      </c>
      <c r="E136" s="40">
        <v>45897</v>
      </c>
      <c r="F136" s="40" t="s">
        <v>787</v>
      </c>
      <c r="G136" s="40" t="s">
        <v>1451</v>
      </c>
      <c r="H136">
        <v>1951</v>
      </c>
      <c r="I136">
        <v>1998</v>
      </c>
      <c r="J136">
        <f t="shared" si="16"/>
        <v>48</v>
      </c>
      <c r="K136" t="s">
        <v>145</v>
      </c>
      <c r="L136" t="s">
        <v>1465</v>
      </c>
      <c r="M136" t="s">
        <v>788</v>
      </c>
      <c r="N136" t="s">
        <v>295</v>
      </c>
      <c r="O136" t="s">
        <v>1638</v>
      </c>
      <c r="P136" t="s">
        <v>1641</v>
      </c>
      <c r="Q136" t="s">
        <v>1467</v>
      </c>
      <c r="R136" t="s">
        <v>41</v>
      </c>
      <c r="S136" t="s">
        <v>69</v>
      </c>
      <c r="T136" t="s">
        <v>1643</v>
      </c>
    </row>
    <row r="137" spans="1:20">
      <c r="A137" s="1" t="s">
        <v>1620</v>
      </c>
      <c r="B137" s="1" t="s">
        <v>1621</v>
      </c>
      <c r="C137">
        <v>2009</v>
      </c>
      <c r="D137" t="s">
        <v>44</v>
      </c>
      <c r="E137" s="40">
        <v>45897</v>
      </c>
      <c r="F137" s="40" t="s">
        <v>787</v>
      </c>
      <c r="G137" s="40" t="s">
        <v>1451</v>
      </c>
      <c r="H137">
        <v>1951</v>
      </c>
      <c r="I137">
        <v>1998</v>
      </c>
      <c r="J137">
        <f t="shared" si="16"/>
        <v>48</v>
      </c>
      <c r="K137" t="s">
        <v>145</v>
      </c>
      <c r="L137" t="s">
        <v>1465</v>
      </c>
      <c r="M137" t="s">
        <v>788</v>
      </c>
      <c r="N137" t="s">
        <v>1622</v>
      </c>
      <c r="O137" t="s">
        <v>1640</v>
      </c>
      <c r="P137" t="s">
        <v>1641</v>
      </c>
      <c r="Q137" t="s">
        <v>1467</v>
      </c>
      <c r="R137" t="s">
        <v>694</v>
      </c>
      <c r="S137" t="s">
        <v>69</v>
      </c>
      <c r="T137" t="s">
        <v>1643</v>
      </c>
    </row>
    <row r="138" spans="1:20">
      <c r="A138" s="1" t="s">
        <v>1620</v>
      </c>
      <c r="B138" s="1" t="s">
        <v>1621</v>
      </c>
      <c r="C138">
        <v>2009</v>
      </c>
      <c r="D138" t="s">
        <v>44</v>
      </c>
      <c r="E138" s="40">
        <v>45897</v>
      </c>
      <c r="F138" s="40" t="s">
        <v>787</v>
      </c>
      <c r="G138" s="40" t="s">
        <v>1451</v>
      </c>
      <c r="H138">
        <v>1951</v>
      </c>
      <c r="I138">
        <v>1998</v>
      </c>
      <c r="J138">
        <f t="shared" si="16"/>
        <v>48</v>
      </c>
      <c r="K138" t="s">
        <v>145</v>
      </c>
      <c r="L138" t="s">
        <v>1465</v>
      </c>
      <c r="M138" t="s">
        <v>788</v>
      </c>
      <c r="N138" t="s">
        <v>1623</v>
      </c>
      <c r="O138" t="s">
        <v>1640</v>
      </c>
      <c r="P138" t="s">
        <v>1641</v>
      </c>
      <c r="Q138" t="s">
        <v>1468</v>
      </c>
      <c r="R138" t="s">
        <v>41</v>
      </c>
      <c r="S138" t="s">
        <v>69</v>
      </c>
      <c r="T138" t="s">
        <v>1643</v>
      </c>
    </row>
    <row r="139" spans="1:20">
      <c r="A139" s="1" t="s">
        <v>1620</v>
      </c>
      <c r="B139" s="1" t="s">
        <v>1621</v>
      </c>
      <c r="C139">
        <v>2009</v>
      </c>
      <c r="D139" t="s">
        <v>44</v>
      </c>
      <c r="E139" s="40">
        <v>45897</v>
      </c>
      <c r="F139" s="40" t="s">
        <v>787</v>
      </c>
      <c r="G139" s="40" t="s">
        <v>1451</v>
      </c>
      <c r="H139">
        <v>1951</v>
      </c>
      <c r="I139">
        <v>1998</v>
      </c>
      <c r="J139">
        <f t="shared" si="16"/>
        <v>48</v>
      </c>
      <c r="K139" t="s">
        <v>145</v>
      </c>
      <c r="L139" t="s">
        <v>1465</v>
      </c>
      <c r="M139" t="s">
        <v>788</v>
      </c>
      <c r="N139" t="s">
        <v>1624</v>
      </c>
      <c r="O139" t="s">
        <v>1638</v>
      </c>
      <c r="P139" t="s">
        <v>1641</v>
      </c>
      <c r="Q139" t="s">
        <v>1467</v>
      </c>
      <c r="R139" t="s">
        <v>41</v>
      </c>
      <c r="S139" t="s">
        <v>69</v>
      </c>
      <c r="T139" t="s">
        <v>1643</v>
      </c>
    </row>
    <row r="140" spans="1:20">
      <c r="A140" s="1" t="s">
        <v>1620</v>
      </c>
      <c r="B140" s="1" t="s">
        <v>1621</v>
      </c>
      <c r="C140">
        <v>2009</v>
      </c>
      <c r="D140" t="s">
        <v>44</v>
      </c>
      <c r="E140" s="40">
        <v>45897</v>
      </c>
      <c r="F140" s="40" t="s">
        <v>787</v>
      </c>
      <c r="G140" s="40" t="s">
        <v>1451</v>
      </c>
      <c r="H140">
        <v>1951</v>
      </c>
      <c r="I140">
        <v>1998</v>
      </c>
      <c r="J140">
        <f t="shared" si="16"/>
        <v>48</v>
      </c>
      <c r="K140" t="s">
        <v>145</v>
      </c>
      <c r="L140" t="s">
        <v>1465</v>
      </c>
      <c r="M140" t="s">
        <v>788</v>
      </c>
      <c r="N140" t="s">
        <v>973</v>
      </c>
      <c r="O140" t="s">
        <v>1640</v>
      </c>
      <c r="P140" t="s">
        <v>1641</v>
      </c>
      <c r="Q140" t="s">
        <v>1467</v>
      </c>
      <c r="R140" t="s">
        <v>694</v>
      </c>
      <c r="S140" t="s">
        <v>69</v>
      </c>
      <c r="T140" t="s">
        <v>1643</v>
      </c>
    </row>
    <row r="141" spans="1:20">
      <c r="A141" s="1" t="s">
        <v>1620</v>
      </c>
      <c r="B141" s="38" t="s">
        <v>1621</v>
      </c>
      <c r="C141">
        <v>2009</v>
      </c>
      <c r="D141" t="s">
        <v>44</v>
      </c>
      <c r="E141" s="40">
        <v>45897</v>
      </c>
      <c r="F141" s="40" t="s">
        <v>787</v>
      </c>
      <c r="G141" s="40" t="s">
        <v>1451</v>
      </c>
      <c r="H141">
        <v>1951</v>
      </c>
      <c r="I141">
        <v>1998</v>
      </c>
      <c r="J141">
        <f t="shared" si="16"/>
        <v>48</v>
      </c>
      <c r="K141" t="s">
        <v>145</v>
      </c>
      <c r="L141" t="s">
        <v>1465</v>
      </c>
      <c r="M141" t="s">
        <v>788</v>
      </c>
      <c r="N141" t="s">
        <v>1625</v>
      </c>
      <c r="O141" t="s">
        <v>1640</v>
      </c>
      <c r="P141" t="s">
        <v>1641</v>
      </c>
      <c r="Q141" t="s">
        <v>1467</v>
      </c>
      <c r="R141" t="s">
        <v>694</v>
      </c>
      <c r="S141" t="s">
        <v>69</v>
      </c>
      <c r="T141" t="s">
        <v>1643</v>
      </c>
    </row>
    <row r="142" spans="1:20">
      <c r="A142" s="1" t="s">
        <v>1620</v>
      </c>
      <c r="B142" s="1" t="s">
        <v>1621</v>
      </c>
      <c r="C142">
        <v>2009</v>
      </c>
      <c r="D142" t="s">
        <v>44</v>
      </c>
      <c r="E142" s="40">
        <v>45897</v>
      </c>
      <c r="F142" s="40" t="s">
        <v>787</v>
      </c>
      <c r="G142" s="40" t="s">
        <v>1451</v>
      </c>
      <c r="H142">
        <v>1951</v>
      </c>
      <c r="I142">
        <v>1998</v>
      </c>
      <c r="J142">
        <f t="shared" si="16"/>
        <v>48</v>
      </c>
      <c r="K142" t="s">
        <v>145</v>
      </c>
      <c r="L142" t="s">
        <v>1465</v>
      </c>
      <c r="M142" t="s">
        <v>788</v>
      </c>
      <c r="N142" t="s">
        <v>296</v>
      </c>
      <c r="O142" t="s">
        <v>1639</v>
      </c>
      <c r="P142" t="s">
        <v>1641</v>
      </c>
      <c r="Q142" t="s">
        <v>1467</v>
      </c>
      <c r="R142" t="s">
        <v>1642</v>
      </c>
      <c r="S142" t="s">
        <v>69</v>
      </c>
      <c r="T142" t="s">
        <v>1643</v>
      </c>
    </row>
    <row r="143" spans="1:20">
      <c r="A143" s="1" t="s">
        <v>1620</v>
      </c>
      <c r="B143" s="1" t="s">
        <v>1621</v>
      </c>
      <c r="C143">
        <v>2009</v>
      </c>
      <c r="D143" t="s">
        <v>44</v>
      </c>
      <c r="E143" s="40">
        <v>45897</v>
      </c>
      <c r="F143" s="40" t="s">
        <v>787</v>
      </c>
      <c r="G143" s="40" t="s">
        <v>1451</v>
      </c>
      <c r="H143">
        <v>1951</v>
      </c>
      <c r="I143">
        <v>1998</v>
      </c>
      <c r="J143">
        <f t="shared" si="16"/>
        <v>48</v>
      </c>
      <c r="K143" t="s">
        <v>145</v>
      </c>
      <c r="L143" t="s">
        <v>1465</v>
      </c>
      <c r="M143" t="s">
        <v>788</v>
      </c>
      <c r="N143" t="s">
        <v>799</v>
      </c>
      <c r="O143" t="s">
        <v>1638</v>
      </c>
      <c r="P143" t="s">
        <v>1641</v>
      </c>
      <c r="Q143" t="s">
        <v>1467</v>
      </c>
      <c r="R143" t="s">
        <v>41</v>
      </c>
      <c r="S143" t="s">
        <v>69</v>
      </c>
      <c r="T143" t="s">
        <v>1643</v>
      </c>
    </row>
    <row r="144" spans="1:20">
      <c r="A144" s="1" t="s">
        <v>1620</v>
      </c>
      <c r="B144" s="1" t="s">
        <v>1621</v>
      </c>
      <c r="C144">
        <v>2009</v>
      </c>
      <c r="D144" t="s">
        <v>44</v>
      </c>
      <c r="E144" s="40">
        <v>45897</v>
      </c>
      <c r="F144" s="40" t="s">
        <v>787</v>
      </c>
      <c r="G144" s="40" t="s">
        <v>1451</v>
      </c>
      <c r="H144">
        <v>1951</v>
      </c>
      <c r="I144">
        <v>1998</v>
      </c>
      <c r="J144">
        <f t="shared" si="16"/>
        <v>48</v>
      </c>
      <c r="K144" t="s">
        <v>145</v>
      </c>
      <c r="L144" t="s">
        <v>1465</v>
      </c>
      <c r="M144" t="s">
        <v>788</v>
      </c>
      <c r="N144" t="s">
        <v>1626</v>
      </c>
      <c r="O144" t="s">
        <v>1640</v>
      </c>
      <c r="P144" t="s">
        <v>1641</v>
      </c>
      <c r="Q144" t="s">
        <v>1468</v>
      </c>
      <c r="R144" t="s">
        <v>41</v>
      </c>
      <c r="S144" t="s">
        <v>69</v>
      </c>
      <c r="T144" t="s">
        <v>1643</v>
      </c>
    </row>
    <row r="145" spans="1:20">
      <c r="A145" s="1" t="s">
        <v>1620</v>
      </c>
      <c r="B145" s="1" t="s">
        <v>1621</v>
      </c>
      <c r="C145">
        <v>2009</v>
      </c>
      <c r="D145" t="s">
        <v>44</v>
      </c>
      <c r="E145" s="40">
        <v>45897</v>
      </c>
      <c r="F145" s="40" t="s">
        <v>787</v>
      </c>
      <c r="G145" s="40" t="s">
        <v>1451</v>
      </c>
      <c r="H145">
        <v>1951</v>
      </c>
      <c r="I145">
        <v>1998</v>
      </c>
      <c r="J145">
        <f t="shared" si="16"/>
        <v>48</v>
      </c>
      <c r="K145" t="s">
        <v>145</v>
      </c>
      <c r="L145" t="s">
        <v>1465</v>
      </c>
      <c r="M145" t="s">
        <v>788</v>
      </c>
      <c r="N145" t="s">
        <v>1627</v>
      </c>
      <c r="O145" t="s">
        <v>1638</v>
      </c>
      <c r="P145" t="s">
        <v>1641</v>
      </c>
      <c r="Q145" t="s">
        <v>1467</v>
      </c>
      <c r="R145" t="s">
        <v>41</v>
      </c>
      <c r="S145" t="s">
        <v>69</v>
      </c>
      <c r="T145" t="s">
        <v>1643</v>
      </c>
    </row>
    <row r="146" spans="1:20">
      <c r="A146" s="1" t="s">
        <v>1620</v>
      </c>
      <c r="B146" s="1" t="s">
        <v>1621</v>
      </c>
      <c r="C146">
        <v>2009</v>
      </c>
      <c r="D146" t="s">
        <v>44</v>
      </c>
      <c r="E146" s="40">
        <v>45897</v>
      </c>
      <c r="F146" s="40" t="s">
        <v>787</v>
      </c>
      <c r="G146" s="40" t="s">
        <v>1451</v>
      </c>
      <c r="H146">
        <v>1951</v>
      </c>
      <c r="I146">
        <v>1998</v>
      </c>
      <c r="J146">
        <f t="shared" si="16"/>
        <v>48</v>
      </c>
      <c r="K146" t="s">
        <v>145</v>
      </c>
      <c r="L146" t="s">
        <v>1465</v>
      </c>
      <c r="M146" t="s">
        <v>788</v>
      </c>
      <c r="N146" t="s">
        <v>1628</v>
      </c>
      <c r="O146" t="s">
        <v>40</v>
      </c>
      <c r="P146" t="s">
        <v>1641</v>
      </c>
      <c r="Q146" t="s">
        <v>1467</v>
      </c>
      <c r="R146" t="s">
        <v>1642</v>
      </c>
      <c r="S146" t="s">
        <v>69</v>
      </c>
      <c r="T146" t="s">
        <v>1643</v>
      </c>
    </row>
    <row r="147" spans="1:20">
      <c r="A147" s="1" t="s">
        <v>1620</v>
      </c>
      <c r="B147" s="1" t="s">
        <v>1621</v>
      </c>
      <c r="C147">
        <v>2009</v>
      </c>
      <c r="D147" t="s">
        <v>44</v>
      </c>
      <c r="E147" s="40">
        <v>45897</v>
      </c>
      <c r="F147" s="40" t="s">
        <v>787</v>
      </c>
      <c r="G147" s="40" t="s">
        <v>1451</v>
      </c>
      <c r="H147">
        <v>1951</v>
      </c>
      <c r="I147">
        <v>1998</v>
      </c>
      <c r="J147">
        <f t="shared" si="16"/>
        <v>48</v>
      </c>
      <c r="K147" t="s">
        <v>145</v>
      </c>
      <c r="L147" t="s">
        <v>1465</v>
      </c>
      <c r="M147" t="s">
        <v>788</v>
      </c>
      <c r="N147" t="s">
        <v>1629</v>
      </c>
      <c r="O147" t="s">
        <v>1640</v>
      </c>
      <c r="P147" t="s">
        <v>1641</v>
      </c>
      <c r="Q147" t="s">
        <v>1467</v>
      </c>
      <c r="R147" t="s">
        <v>694</v>
      </c>
      <c r="S147" t="s">
        <v>69</v>
      </c>
      <c r="T147" t="s">
        <v>1643</v>
      </c>
    </row>
    <row r="148" spans="1:20">
      <c r="A148" s="1" t="s">
        <v>1620</v>
      </c>
      <c r="B148" s="1" t="s">
        <v>1621</v>
      </c>
      <c r="C148">
        <v>2009</v>
      </c>
      <c r="D148" t="s">
        <v>44</v>
      </c>
      <c r="E148" s="40">
        <v>45897</v>
      </c>
      <c r="F148" s="40" t="s">
        <v>787</v>
      </c>
      <c r="G148" s="40" t="s">
        <v>1451</v>
      </c>
      <c r="H148">
        <v>1951</v>
      </c>
      <c r="I148">
        <v>1998</v>
      </c>
      <c r="J148">
        <f t="shared" si="16"/>
        <v>48</v>
      </c>
      <c r="K148" t="s">
        <v>145</v>
      </c>
      <c r="L148" t="s">
        <v>1465</v>
      </c>
      <c r="M148" t="s">
        <v>788</v>
      </c>
      <c r="N148" t="s">
        <v>1630</v>
      </c>
      <c r="O148" t="s">
        <v>1639</v>
      </c>
      <c r="P148" t="s">
        <v>1641</v>
      </c>
      <c r="Q148" t="s">
        <v>1467</v>
      </c>
      <c r="R148" t="s">
        <v>1642</v>
      </c>
      <c r="S148" t="s">
        <v>69</v>
      </c>
      <c r="T148" t="s">
        <v>1643</v>
      </c>
    </row>
    <row r="149" spans="1:20">
      <c r="A149" s="1" t="s">
        <v>1620</v>
      </c>
      <c r="B149" s="1" t="s">
        <v>1621</v>
      </c>
      <c r="C149">
        <v>2009</v>
      </c>
      <c r="D149" t="s">
        <v>44</v>
      </c>
      <c r="E149" s="40">
        <v>45897</v>
      </c>
      <c r="F149" s="40" t="s">
        <v>787</v>
      </c>
      <c r="G149" s="40" t="s">
        <v>1451</v>
      </c>
      <c r="H149">
        <v>1951</v>
      </c>
      <c r="I149">
        <v>1998</v>
      </c>
      <c r="J149">
        <f t="shared" si="16"/>
        <v>48</v>
      </c>
      <c r="K149" t="s">
        <v>145</v>
      </c>
      <c r="L149" t="s">
        <v>1465</v>
      </c>
      <c r="M149" t="s">
        <v>788</v>
      </c>
      <c r="N149" t="s">
        <v>989</v>
      </c>
      <c r="O149" t="s">
        <v>1638</v>
      </c>
      <c r="P149" t="s">
        <v>1641</v>
      </c>
      <c r="Q149" t="s">
        <v>1467</v>
      </c>
      <c r="R149" t="s">
        <v>41</v>
      </c>
      <c r="S149" t="s">
        <v>69</v>
      </c>
      <c r="T149" t="s">
        <v>1643</v>
      </c>
    </row>
    <row r="150" spans="1:20">
      <c r="A150" s="1" t="s">
        <v>1620</v>
      </c>
      <c r="B150" s="1" t="s">
        <v>1621</v>
      </c>
      <c r="C150">
        <v>2009</v>
      </c>
      <c r="D150" t="s">
        <v>44</v>
      </c>
      <c r="E150" s="40">
        <v>45897</v>
      </c>
      <c r="F150" s="40" t="s">
        <v>787</v>
      </c>
      <c r="G150" s="40" t="s">
        <v>1451</v>
      </c>
      <c r="H150">
        <v>1951</v>
      </c>
      <c r="I150">
        <v>1998</v>
      </c>
      <c r="J150">
        <f t="shared" si="16"/>
        <v>48</v>
      </c>
      <c r="K150" t="s">
        <v>145</v>
      </c>
      <c r="L150" t="s">
        <v>1465</v>
      </c>
      <c r="M150" t="s">
        <v>788</v>
      </c>
      <c r="N150" t="s">
        <v>990</v>
      </c>
      <c r="O150" t="s">
        <v>1639</v>
      </c>
      <c r="P150" t="s">
        <v>1641</v>
      </c>
      <c r="Q150" t="s">
        <v>1467</v>
      </c>
      <c r="R150" t="s">
        <v>1642</v>
      </c>
      <c r="S150" t="s">
        <v>69</v>
      </c>
      <c r="T150" t="s">
        <v>1643</v>
      </c>
    </row>
    <row r="151" spans="1:20">
      <c r="A151" s="1" t="s">
        <v>1620</v>
      </c>
      <c r="B151" s="1" t="s">
        <v>1621</v>
      </c>
      <c r="C151">
        <v>2009</v>
      </c>
      <c r="D151" t="s">
        <v>44</v>
      </c>
      <c r="E151" s="40">
        <v>45897</v>
      </c>
      <c r="F151" s="40" t="s">
        <v>787</v>
      </c>
      <c r="G151" s="40" t="s">
        <v>1451</v>
      </c>
      <c r="H151">
        <v>1951</v>
      </c>
      <c r="I151">
        <v>1998</v>
      </c>
      <c r="J151">
        <f t="shared" si="16"/>
        <v>48</v>
      </c>
      <c r="K151" t="s">
        <v>145</v>
      </c>
      <c r="L151" t="s">
        <v>1465</v>
      </c>
      <c r="M151" t="s">
        <v>788</v>
      </c>
      <c r="N151" t="s">
        <v>991</v>
      </c>
      <c r="O151" t="s">
        <v>1639</v>
      </c>
      <c r="P151" t="s">
        <v>1641</v>
      </c>
      <c r="Q151" t="s">
        <v>1467</v>
      </c>
      <c r="R151" t="s">
        <v>1642</v>
      </c>
      <c r="S151" t="s">
        <v>69</v>
      </c>
      <c r="T151" t="s">
        <v>1643</v>
      </c>
    </row>
    <row r="152" spans="1:20">
      <c r="A152" s="1" t="s">
        <v>1620</v>
      </c>
      <c r="B152" s="1" t="s">
        <v>1621</v>
      </c>
      <c r="C152">
        <v>2009</v>
      </c>
      <c r="D152" t="s">
        <v>44</v>
      </c>
      <c r="E152" s="40">
        <v>45897</v>
      </c>
      <c r="F152" s="40" t="s">
        <v>787</v>
      </c>
      <c r="G152" s="40" t="s">
        <v>1451</v>
      </c>
      <c r="H152">
        <v>1951</v>
      </c>
      <c r="I152">
        <v>1998</v>
      </c>
      <c r="J152">
        <f t="shared" si="16"/>
        <v>48</v>
      </c>
      <c r="K152" t="s">
        <v>145</v>
      </c>
      <c r="L152" t="s">
        <v>1465</v>
      </c>
      <c r="M152" t="s">
        <v>788</v>
      </c>
      <c r="N152" t="s">
        <v>1631</v>
      </c>
      <c r="O152" t="s">
        <v>1639</v>
      </c>
      <c r="P152" t="s">
        <v>1641</v>
      </c>
      <c r="Q152" t="s">
        <v>1467</v>
      </c>
      <c r="R152" t="s">
        <v>1642</v>
      </c>
      <c r="S152" t="s">
        <v>69</v>
      </c>
      <c r="T152" t="s">
        <v>1643</v>
      </c>
    </row>
    <row r="153" spans="1:20">
      <c r="A153" s="1" t="s">
        <v>1620</v>
      </c>
      <c r="B153" s="1" t="s">
        <v>1621</v>
      </c>
      <c r="C153">
        <v>2009</v>
      </c>
      <c r="D153" t="s">
        <v>44</v>
      </c>
      <c r="E153" s="40">
        <v>45897</v>
      </c>
      <c r="F153" s="40" t="s">
        <v>787</v>
      </c>
      <c r="G153" s="40" t="s">
        <v>1451</v>
      </c>
      <c r="H153">
        <v>1951</v>
      </c>
      <c r="I153">
        <v>1998</v>
      </c>
      <c r="J153">
        <f t="shared" si="16"/>
        <v>48</v>
      </c>
      <c r="K153" t="s">
        <v>145</v>
      </c>
      <c r="L153" t="s">
        <v>1465</v>
      </c>
      <c r="M153" t="s">
        <v>788</v>
      </c>
      <c r="N153" t="s">
        <v>1632</v>
      </c>
      <c r="O153" t="s">
        <v>1639</v>
      </c>
      <c r="P153" t="s">
        <v>1641</v>
      </c>
      <c r="Q153" t="s">
        <v>1467</v>
      </c>
      <c r="R153" t="s">
        <v>1642</v>
      </c>
      <c r="S153" t="s">
        <v>69</v>
      </c>
      <c r="T153" t="s">
        <v>1643</v>
      </c>
    </row>
    <row r="154" spans="1:20">
      <c r="A154" s="1" t="s">
        <v>1620</v>
      </c>
      <c r="B154" s="1" t="s">
        <v>1621</v>
      </c>
      <c r="C154">
        <v>2009</v>
      </c>
      <c r="D154" t="s">
        <v>44</v>
      </c>
      <c r="E154" s="40">
        <v>45897</v>
      </c>
      <c r="F154" s="40" t="s">
        <v>787</v>
      </c>
      <c r="G154" s="40" t="s">
        <v>1451</v>
      </c>
      <c r="H154">
        <v>1951</v>
      </c>
      <c r="I154">
        <v>1998</v>
      </c>
      <c r="J154">
        <f t="shared" si="16"/>
        <v>48</v>
      </c>
      <c r="K154" t="s">
        <v>145</v>
      </c>
      <c r="L154" t="s">
        <v>1465</v>
      </c>
      <c r="M154" t="s">
        <v>788</v>
      </c>
      <c r="N154" t="s">
        <v>303</v>
      </c>
      <c r="O154" t="s">
        <v>1638</v>
      </c>
      <c r="P154" t="s">
        <v>1641</v>
      </c>
      <c r="Q154" t="s">
        <v>1467</v>
      </c>
      <c r="R154" t="s">
        <v>41</v>
      </c>
      <c r="S154" t="s">
        <v>69</v>
      </c>
      <c r="T154" t="s">
        <v>1643</v>
      </c>
    </row>
    <row r="155" spans="1:20">
      <c r="A155" s="1" t="s">
        <v>1620</v>
      </c>
      <c r="B155" s="1" t="s">
        <v>1621</v>
      </c>
      <c r="C155">
        <v>2009</v>
      </c>
      <c r="D155" t="s">
        <v>44</v>
      </c>
      <c r="E155" s="40">
        <v>45897</v>
      </c>
      <c r="F155" s="40" t="s">
        <v>787</v>
      </c>
      <c r="G155" s="40" t="s">
        <v>1451</v>
      </c>
      <c r="H155">
        <v>1951</v>
      </c>
      <c r="I155">
        <v>1998</v>
      </c>
      <c r="J155">
        <f t="shared" si="16"/>
        <v>48</v>
      </c>
      <c r="K155" t="s">
        <v>145</v>
      </c>
      <c r="L155" t="s">
        <v>1465</v>
      </c>
      <c r="M155" t="s">
        <v>788</v>
      </c>
      <c r="N155" t="s">
        <v>1633</v>
      </c>
      <c r="O155" t="s">
        <v>1639</v>
      </c>
      <c r="P155" t="s">
        <v>1641</v>
      </c>
      <c r="Q155" t="s">
        <v>1467</v>
      </c>
      <c r="R155" t="s">
        <v>1642</v>
      </c>
      <c r="S155" t="s">
        <v>69</v>
      </c>
      <c r="T155" t="s">
        <v>1643</v>
      </c>
    </row>
    <row r="156" spans="1:20">
      <c r="A156" s="1" t="s">
        <v>1620</v>
      </c>
      <c r="B156" s="1" t="s">
        <v>1621</v>
      </c>
      <c r="C156">
        <v>2009</v>
      </c>
      <c r="D156" t="s">
        <v>44</v>
      </c>
      <c r="E156" s="40">
        <v>45897</v>
      </c>
      <c r="F156" s="40" t="s">
        <v>787</v>
      </c>
      <c r="G156" s="40" t="s">
        <v>1451</v>
      </c>
      <c r="H156">
        <v>1951</v>
      </c>
      <c r="I156">
        <v>1998</v>
      </c>
      <c r="J156">
        <f t="shared" si="16"/>
        <v>48</v>
      </c>
      <c r="K156" t="s">
        <v>145</v>
      </c>
      <c r="L156" t="s">
        <v>1465</v>
      </c>
      <c r="M156" t="s">
        <v>788</v>
      </c>
      <c r="N156" t="s">
        <v>1634</v>
      </c>
      <c r="O156" t="s">
        <v>1640</v>
      </c>
      <c r="P156" t="s">
        <v>1641</v>
      </c>
      <c r="Q156" t="s">
        <v>1467</v>
      </c>
      <c r="R156" t="s">
        <v>694</v>
      </c>
      <c r="S156" t="s">
        <v>69</v>
      </c>
      <c r="T156" t="s">
        <v>1643</v>
      </c>
    </row>
    <row r="157" spans="1:20">
      <c r="A157" s="1" t="s">
        <v>1620</v>
      </c>
      <c r="B157" s="1" t="s">
        <v>1621</v>
      </c>
      <c r="C157">
        <v>2009</v>
      </c>
      <c r="D157" t="s">
        <v>44</v>
      </c>
      <c r="E157" s="40">
        <v>45897</v>
      </c>
      <c r="F157" s="40" t="s">
        <v>787</v>
      </c>
      <c r="G157" s="40" t="s">
        <v>1451</v>
      </c>
      <c r="H157">
        <v>1951</v>
      </c>
      <c r="I157">
        <v>1998</v>
      </c>
      <c r="J157">
        <f t="shared" si="16"/>
        <v>48</v>
      </c>
      <c r="K157" t="s">
        <v>145</v>
      </c>
      <c r="L157" t="s">
        <v>1465</v>
      </c>
      <c r="M157" t="s">
        <v>788</v>
      </c>
      <c r="N157" t="s">
        <v>1635</v>
      </c>
      <c r="O157" t="s">
        <v>1639</v>
      </c>
      <c r="P157" t="s">
        <v>1641</v>
      </c>
      <c r="Q157" t="s">
        <v>1467</v>
      </c>
      <c r="R157" t="s">
        <v>1642</v>
      </c>
      <c r="S157" t="s">
        <v>69</v>
      </c>
      <c r="T157" t="s">
        <v>1643</v>
      </c>
    </row>
    <row r="158" spans="1:20">
      <c r="A158" s="1" t="s">
        <v>1620</v>
      </c>
      <c r="B158" s="1" t="s">
        <v>1621</v>
      </c>
      <c r="C158">
        <v>2009</v>
      </c>
      <c r="D158" t="s">
        <v>44</v>
      </c>
      <c r="E158" s="40">
        <v>45897</v>
      </c>
      <c r="F158" s="40" t="s">
        <v>787</v>
      </c>
      <c r="G158" s="40" t="s">
        <v>1451</v>
      </c>
      <c r="H158">
        <v>1951</v>
      </c>
      <c r="I158">
        <v>1998</v>
      </c>
      <c r="J158">
        <f t="shared" si="16"/>
        <v>48</v>
      </c>
      <c r="K158" t="s">
        <v>145</v>
      </c>
      <c r="L158" t="s">
        <v>1465</v>
      </c>
      <c r="M158" t="s">
        <v>788</v>
      </c>
      <c r="N158" t="s">
        <v>304</v>
      </c>
      <c r="O158" t="s">
        <v>1638</v>
      </c>
      <c r="P158" t="s">
        <v>1641</v>
      </c>
      <c r="Q158" t="s">
        <v>1468</v>
      </c>
      <c r="R158" t="s">
        <v>694</v>
      </c>
      <c r="S158" t="s">
        <v>69</v>
      </c>
      <c r="T158" t="s">
        <v>1643</v>
      </c>
    </row>
    <row r="159" spans="1:20">
      <c r="A159" s="1" t="s">
        <v>1620</v>
      </c>
      <c r="B159" s="1" t="s">
        <v>1621</v>
      </c>
      <c r="C159">
        <v>2009</v>
      </c>
      <c r="D159" t="s">
        <v>44</v>
      </c>
      <c r="E159" s="40">
        <v>45897</v>
      </c>
      <c r="F159" s="40" t="s">
        <v>787</v>
      </c>
      <c r="G159" s="40" t="s">
        <v>1451</v>
      </c>
      <c r="H159">
        <v>1951</v>
      </c>
      <c r="I159">
        <v>1998</v>
      </c>
      <c r="J159">
        <f t="shared" si="16"/>
        <v>48</v>
      </c>
      <c r="K159" t="s">
        <v>145</v>
      </c>
      <c r="L159" t="s">
        <v>1465</v>
      </c>
      <c r="M159" t="s">
        <v>788</v>
      </c>
      <c r="N159" t="s">
        <v>1636</v>
      </c>
      <c r="O159" t="s">
        <v>1639</v>
      </c>
      <c r="P159" t="s">
        <v>1641</v>
      </c>
      <c r="Q159" t="s">
        <v>1467</v>
      </c>
      <c r="R159" t="s">
        <v>1642</v>
      </c>
      <c r="S159" t="s">
        <v>69</v>
      </c>
      <c r="T159" t="s">
        <v>1643</v>
      </c>
    </row>
    <row r="160" spans="1:20">
      <c r="A160" s="1" t="s">
        <v>1620</v>
      </c>
      <c r="B160" s="1" t="s">
        <v>1621</v>
      </c>
      <c r="C160">
        <v>2009</v>
      </c>
      <c r="D160" t="s">
        <v>44</v>
      </c>
      <c r="E160" s="40">
        <v>45897</v>
      </c>
      <c r="F160" s="40" t="s">
        <v>787</v>
      </c>
      <c r="G160" s="40" t="s">
        <v>1451</v>
      </c>
      <c r="H160">
        <v>1951</v>
      </c>
      <c r="I160">
        <v>1998</v>
      </c>
      <c r="J160">
        <f t="shared" si="16"/>
        <v>48</v>
      </c>
      <c r="K160" t="s">
        <v>145</v>
      </c>
      <c r="L160" t="s">
        <v>1465</v>
      </c>
      <c r="M160" t="s">
        <v>788</v>
      </c>
      <c r="N160" t="s">
        <v>297</v>
      </c>
      <c r="O160" t="s">
        <v>1640</v>
      </c>
      <c r="P160" t="s">
        <v>1641</v>
      </c>
      <c r="Q160" t="s">
        <v>1467</v>
      </c>
      <c r="R160" t="s">
        <v>694</v>
      </c>
      <c r="S160" t="s">
        <v>69</v>
      </c>
      <c r="T160" t="s">
        <v>1643</v>
      </c>
    </row>
    <row r="161" spans="1:20">
      <c r="A161" s="1" t="s">
        <v>1620</v>
      </c>
      <c r="B161" s="1" t="s">
        <v>1621</v>
      </c>
      <c r="C161">
        <v>2009</v>
      </c>
      <c r="D161" t="s">
        <v>44</v>
      </c>
      <c r="E161" s="40">
        <v>45897</v>
      </c>
      <c r="F161" s="40" t="s">
        <v>787</v>
      </c>
      <c r="G161" s="40" t="s">
        <v>1451</v>
      </c>
      <c r="H161">
        <v>1951</v>
      </c>
      <c r="I161">
        <v>1998</v>
      </c>
      <c r="J161">
        <f t="shared" si="16"/>
        <v>48</v>
      </c>
      <c r="K161" t="s">
        <v>145</v>
      </c>
      <c r="L161" t="s">
        <v>1465</v>
      </c>
      <c r="M161" t="s">
        <v>788</v>
      </c>
      <c r="N161" t="s">
        <v>305</v>
      </c>
      <c r="O161" t="s">
        <v>1638</v>
      </c>
      <c r="P161" t="s">
        <v>1641</v>
      </c>
      <c r="Q161" t="s">
        <v>1467</v>
      </c>
      <c r="R161" t="s">
        <v>41</v>
      </c>
      <c r="S161" t="s">
        <v>69</v>
      </c>
      <c r="T161" t="s">
        <v>1643</v>
      </c>
    </row>
    <row r="162" spans="1:20">
      <c r="A162" s="1" t="s">
        <v>1620</v>
      </c>
      <c r="B162" s="1" t="s">
        <v>1621</v>
      </c>
      <c r="C162">
        <v>2009</v>
      </c>
      <c r="D162" t="s">
        <v>44</v>
      </c>
      <c r="E162" s="40">
        <v>45897</v>
      </c>
      <c r="F162" s="40" t="s">
        <v>787</v>
      </c>
      <c r="G162" s="40" t="s">
        <v>1451</v>
      </c>
      <c r="H162">
        <v>1951</v>
      </c>
      <c r="I162">
        <v>1998</v>
      </c>
      <c r="J162">
        <f t="shared" si="16"/>
        <v>48</v>
      </c>
      <c r="K162" t="s">
        <v>145</v>
      </c>
      <c r="L162" t="s">
        <v>1465</v>
      </c>
      <c r="M162" t="s">
        <v>788</v>
      </c>
      <c r="N162" t="s">
        <v>1637</v>
      </c>
      <c r="O162" t="s">
        <v>1638</v>
      </c>
      <c r="P162" t="s">
        <v>1641</v>
      </c>
      <c r="Q162" t="s">
        <v>1467</v>
      </c>
      <c r="R162" t="s">
        <v>41</v>
      </c>
      <c r="S162" t="s">
        <v>69</v>
      </c>
      <c r="T162" t="s">
        <v>1643</v>
      </c>
    </row>
    <row r="163" spans="1:20">
      <c r="A163" s="1" t="s">
        <v>1620</v>
      </c>
      <c r="B163" s="1" t="s">
        <v>1621</v>
      </c>
      <c r="C163">
        <v>2009</v>
      </c>
      <c r="D163" t="s">
        <v>44</v>
      </c>
      <c r="E163" s="40">
        <v>45897</v>
      </c>
      <c r="F163" s="40" t="s">
        <v>787</v>
      </c>
      <c r="G163" s="40" t="s">
        <v>1451</v>
      </c>
      <c r="H163">
        <v>1951</v>
      </c>
      <c r="I163">
        <v>1998</v>
      </c>
      <c r="J163">
        <f t="shared" si="16"/>
        <v>48</v>
      </c>
      <c r="K163" t="s">
        <v>145</v>
      </c>
      <c r="L163" t="s">
        <v>1465</v>
      </c>
      <c r="M163" t="s">
        <v>788</v>
      </c>
      <c r="N163" t="s">
        <v>306</v>
      </c>
      <c r="O163" t="s">
        <v>1638</v>
      </c>
      <c r="P163" t="s">
        <v>1641</v>
      </c>
      <c r="Q163" t="s">
        <v>1468</v>
      </c>
      <c r="R163" t="s">
        <v>694</v>
      </c>
      <c r="S163" t="s">
        <v>69</v>
      </c>
      <c r="T163" t="s">
        <v>1643</v>
      </c>
    </row>
    <row r="164" spans="1:20">
      <c r="A164" s="1" t="s">
        <v>1620</v>
      </c>
      <c r="B164" s="1" t="s">
        <v>1621</v>
      </c>
      <c r="C164">
        <v>2009</v>
      </c>
      <c r="D164" t="s">
        <v>44</v>
      </c>
      <c r="E164" s="40">
        <v>45897</v>
      </c>
      <c r="F164" s="40" t="s">
        <v>787</v>
      </c>
      <c r="G164" s="40" t="s">
        <v>1451</v>
      </c>
      <c r="H164">
        <v>1951</v>
      </c>
      <c r="I164">
        <v>1998</v>
      </c>
      <c r="J164">
        <f t="shared" si="16"/>
        <v>48</v>
      </c>
      <c r="K164" t="s">
        <v>145</v>
      </c>
      <c r="L164" t="s">
        <v>1465</v>
      </c>
      <c r="M164" t="s">
        <v>788</v>
      </c>
      <c r="N164" t="s">
        <v>307</v>
      </c>
      <c r="O164" t="s">
        <v>1640</v>
      </c>
      <c r="P164" t="s">
        <v>1641</v>
      </c>
      <c r="Q164" t="s">
        <v>1467</v>
      </c>
      <c r="R164" t="s">
        <v>694</v>
      </c>
      <c r="S164" t="s">
        <v>69</v>
      </c>
      <c r="T164" t="s">
        <v>1643</v>
      </c>
    </row>
    <row r="165" spans="1:20">
      <c r="A165" s="1" t="s">
        <v>1620</v>
      </c>
      <c r="B165" s="1" t="s">
        <v>1621</v>
      </c>
      <c r="C165">
        <v>2009</v>
      </c>
      <c r="D165" t="s">
        <v>44</v>
      </c>
      <c r="E165" s="40">
        <v>45897</v>
      </c>
      <c r="F165" s="40" t="s">
        <v>787</v>
      </c>
      <c r="G165" s="40" t="s">
        <v>1451</v>
      </c>
      <c r="H165">
        <v>1951</v>
      </c>
      <c r="I165">
        <v>1998</v>
      </c>
      <c r="J165">
        <f t="shared" si="16"/>
        <v>48</v>
      </c>
      <c r="K165" t="s">
        <v>145</v>
      </c>
      <c r="L165" t="s">
        <v>1465</v>
      </c>
      <c r="M165" t="s">
        <v>788</v>
      </c>
      <c r="N165" t="s">
        <v>294</v>
      </c>
      <c r="O165" t="s">
        <v>1640</v>
      </c>
      <c r="P165" t="s">
        <v>1641</v>
      </c>
      <c r="Q165" t="s">
        <v>1467</v>
      </c>
      <c r="R165" t="s">
        <v>694</v>
      </c>
      <c r="S165" t="s">
        <v>69</v>
      </c>
      <c r="T165" t="s">
        <v>1643</v>
      </c>
    </row>
    <row r="166" spans="1:20" hidden="1">
      <c r="A166" s="1" t="s">
        <v>1644</v>
      </c>
      <c r="B166" s="1" t="s">
        <v>1645</v>
      </c>
      <c r="C166">
        <v>2008</v>
      </c>
      <c r="D166" t="s">
        <v>42</v>
      </c>
      <c r="E166" s="40">
        <v>45897</v>
      </c>
      <c r="F166" s="40" t="s">
        <v>880</v>
      </c>
      <c r="G166" s="40" t="s">
        <v>1451</v>
      </c>
      <c r="H166">
        <v>1946</v>
      </c>
      <c r="I166">
        <v>2005</v>
      </c>
      <c r="J166">
        <f t="shared" si="16"/>
        <v>60</v>
      </c>
      <c r="K166" t="s">
        <v>145</v>
      </c>
      <c r="L166" t="s">
        <v>1444</v>
      </c>
      <c r="M166" t="s">
        <v>1585</v>
      </c>
      <c r="N166" t="s">
        <v>1646</v>
      </c>
      <c r="P166" t="s">
        <v>1650</v>
      </c>
      <c r="Q166" t="s">
        <v>1467</v>
      </c>
      <c r="R166" t="s">
        <v>694</v>
      </c>
      <c r="S166" t="s">
        <v>69</v>
      </c>
      <c r="T166" t="s">
        <v>1648</v>
      </c>
    </row>
    <row r="167" spans="1:20" hidden="1">
      <c r="A167" s="1" t="s">
        <v>1644</v>
      </c>
      <c r="B167" s="1" t="s">
        <v>1645</v>
      </c>
      <c r="C167">
        <v>2008</v>
      </c>
      <c r="D167" t="s">
        <v>42</v>
      </c>
      <c r="E167" s="40">
        <v>45897</v>
      </c>
      <c r="F167" s="40" t="s">
        <v>880</v>
      </c>
      <c r="G167" s="40" t="s">
        <v>1451</v>
      </c>
      <c r="H167">
        <v>1946</v>
      </c>
      <c r="I167">
        <v>2005</v>
      </c>
      <c r="J167">
        <f t="shared" ref="J167:J168" si="17">I167-H167+1</f>
        <v>60</v>
      </c>
      <c r="K167" t="s">
        <v>145</v>
      </c>
      <c r="L167" t="s">
        <v>1444</v>
      </c>
      <c r="M167" t="s">
        <v>1585</v>
      </c>
      <c r="N167" t="s">
        <v>1647</v>
      </c>
      <c r="P167" t="s">
        <v>1650</v>
      </c>
      <c r="Q167" t="s">
        <v>223</v>
      </c>
      <c r="R167" t="s">
        <v>1642</v>
      </c>
      <c r="S167" t="s">
        <v>69</v>
      </c>
      <c r="T167" t="s">
        <v>1649</v>
      </c>
    </row>
    <row r="168" spans="1:20" hidden="1">
      <c r="A168" s="1" t="s">
        <v>1651</v>
      </c>
      <c r="B168" s="38" t="s">
        <v>1652</v>
      </c>
      <c r="C168">
        <v>2009</v>
      </c>
      <c r="D168" t="s">
        <v>42</v>
      </c>
      <c r="E168" s="40">
        <v>45897</v>
      </c>
      <c r="F168" s="40" t="s">
        <v>62</v>
      </c>
      <c r="G168" s="40" t="s">
        <v>1451</v>
      </c>
      <c r="H168">
        <v>1965</v>
      </c>
      <c r="I168">
        <v>2004</v>
      </c>
      <c r="J168">
        <f t="shared" si="17"/>
        <v>40</v>
      </c>
      <c r="K168" t="s">
        <v>145</v>
      </c>
      <c r="L168" t="s">
        <v>1465</v>
      </c>
      <c r="M168" t="s">
        <v>1583</v>
      </c>
      <c r="N168" t="s">
        <v>1338</v>
      </c>
      <c r="P168" t="s">
        <v>1653</v>
      </c>
      <c r="Q168" t="s">
        <v>1467</v>
      </c>
      <c r="R168" t="s">
        <v>694</v>
      </c>
      <c r="S168" t="s">
        <v>69</v>
      </c>
      <c r="T168" t="s">
        <v>1659</v>
      </c>
    </row>
    <row r="169" spans="1:20" hidden="1">
      <c r="A169" s="1" t="s">
        <v>1651</v>
      </c>
      <c r="B169" s="38" t="s">
        <v>1652</v>
      </c>
      <c r="C169">
        <v>2009</v>
      </c>
      <c r="D169" t="s">
        <v>42</v>
      </c>
      <c r="E169" s="40">
        <v>45897</v>
      </c>
      <c r="F169" s="40" t="s">
        <v>62</v>
      </c>
      <c r="G169" s="40" t="s">
        <v>1451</v>
      </c>
      <c r="H169">
        <v>1965</v>
      </c>
      <c r="I169">
        <v>2004</v>
      </c>
      <c r="J169">
        <f t="shared" ref="J169:J174" si="18">I169-H169+1</f>
        <v>40</v>
      </c>
      <c r="K169" t="s">
        <v>145</v>
      </c>
      <c r="L169" t="s">
        <v>1465</v>
      </c>
      <c r="M169" t="s">
        <v>1191</v>
      </c>
      <c r="N169" t="s">
        <v>855</v>
      </c>
      <c r="P169" t="s">
        <v>1653</v>
      </c>
      <c r="Q169" t="s">
        <v>1467</v>
      </c>
      <c r="R169" t="s">
        <v>694</v>
      </c>
      <c r="S169" t="s">
        <v>69</v>
      </c>
      <c r="T169" t="s">
        <v>1659</v>
      </c>
    </row>
    <row r="170" spans="1:20" hidden="1">
      <c r="A170" s="1" t="s">
        <v>1651</v>
      </c>
      <c r="B170" s="38" t="s">
        <v>1652</v>
      </c>
      <c r="C170">
        <v>2009</v>
      </c>
      <c r="D170" t="s">
        <v>42</v>
      </c>
      <c r="E170" s="40">
        <v>45897</v>
      </c>
      <c r="F170" s="40" t="s">
        <v>62</v>
      </c>
      <c r="G170" s="40" t="s">
        <v>1451</v>
      </c>
      <c r="H170">
        <v>1965</v>
      </c>
      <c r="I170">
        <v>2004</v>
      </c>
      <c r="J170">
        <f t="shared" si="18"/>
        <v>40</v>
      </c>
      <c r="K170" t="s">
        <v>145</v>
      </c>
      <c r="L170" t="s">
        <v>1465</v>
      </c>
      <c r="M170" t="s">
        <v>1584</v>
      </c>
      <c r="N170" t="s">
        <v>1319</v>
      </c>
      <c r="P170" t="s">
        <v>1653</v>
      </c>
      <c r="Q170" t="s">
        <v>1468</v>
      </c>
      <c r="R170" t="s">
        <v>694</v>
      </c>
      <c r="S170" t="s">
        <v>69</v>
      </c>
      <c r="T170" t="s">
        <v>1659</v>
      </c>
    </row>
    <row r="171" spans="1:20" hidden="1">
      <c r="A171" s="1" t="s">
        <v>1651</v>
      </c>
      <c r="B171" s="38" t="s">
        <v>1652</v>
      </c>
      <c r="C171">
        <v>2009</v>
      </c>
      <c r="D171" t="s">
        <v>42</v>
      </c>
      <c r="E171" s="40">
        <v>45897</v>
      </c>
      <c r="F171" s="40" t="s">
        <v>62</v>
      </c>
      <c r="G171" s="40" t="s">
        <v>1451</v>
      </c>
      <c r="H171">
        <v>1965</v>
      </c>
      <c r="I171">
        <v>2004</v>
      </c>
      <c r="J171">
        <f t="shared" si="18"/>
        <v>40</v>
      </c>
      <c r="K171" t="s">
        <v>145</v>
      </c>
      <c r="L171" t="s">
        <v>1444</v>
      </c>
      <c r="M171" t="s">
        <v>654</v>
      </c>
      <c r="N171" t="s">
        <v>1655</v>
      </c>
      <c r="O171" t="s">
        <v>1445</v>
      </c>
      <c r="P171" t="s">
        <v>1653</v>
      </c>
      <c r="Q171" t="s">
        <v>1467</v>
      </c>
      <c r="R171" t="s">
        <v>1642</v>
      </c>
      <c r="S171" t="s">
        <v>69</v>
      </c>
      <c r="T171" t="s">
        <v>1660</v>
      </c>
    </row>
    <row r="172" spans="1:20" hidden="1">
      <c r="A172" s="1" t="s">
        <v>1651</v>
      </c>
      <c r="B172" s="38" t="s">
        <v>1652</v>
      </c>
      <c r="C172">
        <v>2009</v>
      </c>
      <c r="D172" t="s">
        <v>42</v>
      </c>
      <c r="E172" s="40">
        <v>45897</v>
      </c>
      <c r="F172" s="40" t="s">
        <v>62</v>
      </c>
      <c r="G172" s="40" t="s">
        <v>1451</v>
      </c>
      <c r="H172">
        <v>1965</v>
      </c>
      <c r="I172">
        <v>2004</v>
      </c>
      <c r="J172">
        <f t="shared" si="18"/>
        <v>40</v>
      </c>
      <c r="K172" t="s">
        <v>145</v>
      </c>
      <c r="L172" t="s">
        <v>1444</v>
      </c>
      <c r="M172" t="s">
        <v>1014</v>
      </c>
      <c r="N172" t="s">
        <v>65</v>
      </c>
      <c r="O172" t="s">
        <v>1446</v>
      </c>
      <c r="P172" t="s">
        <v>1653</v>
      </c>
      <c r="Q172" t="s">
        <v>1468</v>
      </c>
      <c r="R172" t="s">
        <v>694</v>
      </c>
      <c r="S172" t="s">
        <v>69</v>
      </c>
      <c r="T172" t="s">
        <v>1659</v>
      </c>
    </row>
    <row r="173" spans="1:20" hidden="1">
      <c r="A173" s="1" t="s">
        <v>1651</v>
      </c>
      <c r="B173" s="38" t="s">
        <v>1652</v>
      </c>
      <c r="C173">
        <v>2009</v>
      </c>
      <c r="D173" t="s">
        <v>42</v>
      </c>
      <c r="E173" s="40">
        <v>45897</v>
      </c>
      <c r="F173" s="40" t="s">
        <v>62</v>
      </c>
      <c r="G173" s="40" t="s">
        <v>1451</v>
      </c>
      <c r="H173">
        <v>1965</v>
      </c>
      <c r="I173">
        <v>2004</v>
      </c>
      <c r="J173">
        <f t="shared" si="18"/>
        <v>40</v>
      </c>
      <c r="K173" t="s">
        <v>145</v>
      </c>
      <c r="L173" t="s">
        <v>1444</v>
      </c>
      <c r="M173" t="s">
        <v>1014</v>
      </c>
      <c r="N173" t="s">
        <v>111</v>
      </c>
      <c r="O173" t="s">
        <v>1446</v>
      </c>
      <c r="P173" t="s">
        <v>1653</v>
      </c>
      <c r="Q173" t="s">
        <v>1468</v>
      </c>
      <c r="R173" t="s">
        <v>694</v>
      </c>
      <c r="S173" t="s">
        <v>69</v>
      </c>
      <c r="T173" t="s">
        <v>1659</v>
      </c>
    </row>
    <row r="174" spans="1:20" hidden="1">
      <c r="A174" s="1" t="s">
        <v>1651</v>
      </c>
      <c r="B174" s="38" t="s">
        <v>1652</v>
      </c>
      <c r="C174">
        <v>2009</v>
      </c>
      <c r="D174" t="s">
        <v>42</v>
      </c>
      <c r="E174" s="40">
        <v>45897</v>
      </c>
      <c r="F174" s="40" t="s">
        <v>62</v>
      </c>
      <c r="G174" s="40" t="s">
        <v>1451</v>
      </c>
      <c r="H174">
        <v>1965</v>
      </c>
      <c r="I174">
        <v>2004</v>
      </c>
      <c r="J174">
        <f t="shared" si="18"/>
        <v>40</v>
      </c>
      <c r="K174" t="s">
        <v>145</v>
      </c>
      <c r="L174" t="s">
        <v>1654</v>
      </c>
      <c r="M174" t="s">
        <v>1585</v>
      </c>
      <c r="N174" t="s">
        <v>1656</v>
      </c>
      <c r="O174" t="s">
        <v>1657</v>
      </c>
      <c r="P174" t="s">
        <v>1653</v>
      </c>
      <c r="Q174" t="s">
        <v>1468</v>
      </c>
      <c r="R174" t="s">
        <v>41</v>
      </c>
      <c r="S174" t="s">
        <v>69</v>
      </c>
      <c r="T174" t="s">
        <v>1659</v>
      </c>
    </row>
    <row r="175" spans="1:20" hidden="1">
      <c r="A175" s="1" t="s">
        <v>1651</v>
      </c>
      <c r="B175" s="38" t="s">
        <v>1658</v>
      </c>
      <c r="C175">
        <v>2010</v>
      </c>
      <c r="D175" t="s">
        <v>42</v>
      </c>
      <c r="E175" s="40">
        <v>45898</v>
      </c>
      <c r="F175" s="40" t="s">
        <v>62</v>
      </c>
      <c r="G175" s="40" t="s">
        <v>1451</v>
      </c>
      <c r="H175">
        <v>1965</v>
      </c>
      <c r="I175">
        <v>2004</v>
      </c>
      <c r="J175">
        <f t="shared" ref="J175" si="19">I175-H175+1</f>
        <v>40</v>
      </c>
      <c r="K175" t="s">
        <v>145</v>
      </c>
      <c r="L175" t="s">
        <v>152</v>
      </c>
      <c r="M175" t="s">
        <v>1588</v>
      </c>
      <c r="N175" t="s">
        <v>40</v>
      </c>
      <c r="O175" t="s">
        <v>1657</v>
      </c>
      <c r="P175" t="s">
        <v>1653</v>
      </c>
      <c r="Q175" t="s">
        <v>1467</v>
      </c>
      <c r="R175" t="s">
        <v>694</v>
      </c>
      <c r="S175" t="s">
        <v>69</v>
      </c>
      <c r="T175" t="s">
        <v>1659</v>
      </c>
    </row>
    <row r="176" spans="1:20" hidden="1">
      <c r="A176" s="1" t="s">
        <v>1651</v>
      </c>
      <c r="B176" s="38" t="s">
        <v>1658</v>
      </c>
      <c r="C176">
        <v>2010</v>
      </c>
      <c r="D176" t="s">
        <v>42</v>
      </c>
      <c r="E176" s="40">
        <v>45898</v>
      </c>
      <c r="F176" s="40" t="s">
        <v>62</v>
      </c>
      <c r="G176" s="40" t="s">
        <v>1451</v>
      </c>
      <c r="H176">
        <v>1965</v>
      </c>
      <c r="I176">
        <v>2004</v>
      </c>
      <c r="J176">
        <f t="shared" ref="J176" si="20">I176-H176+1</f>
        <v>40</v>
      </c>
      <c r="K176" t="s">
        <v>1442</v>
      </c>
      <c r="L176" t="s">
        <v>1654</v>
      </c>
      <c r="M176">
        <v>35</v>
      </c>
      <c r="N176" t="s">
        <v>40</v>
      </c>
      <c r="O176" t="s">
        <v>1661</v>
      </c>
      <c r="P176" t="s">
        <v>1653</v>
      </c>
      <c r="Q176" t="s">
        <v>1467</v>
      </c>
      <c r="R176" t="s">
        <v>694</v>
      </c>
      <c r="S176" t="s">
        <v>69</v>
      </c>
      <c r="T176" t="s">
        <v>1662</v>
      </c>
    </row>
    <row r="177" spans="1:20" s="4" customFormat="1" hidden="1">
      <c r="A177" s="2" t="s">
        <v>717</v>
      </c>
      <c r="B177" s="2" t="s">
        <v>718</v>
      </c>
      <c r="C177" s="4">
        <v>2020</v>
      </c>
      <c r="D177" t="s">
        <v>42</v>
      </c>
      <c r="E177" s="45">
        <v>45898</v>
      </c>
      <c r="F177" s="45" t="s">
        <v>1664</v>
      </c>
      <c r="G177" s="45" t="s">
        <v>1455</v>
      </c>
      <c r="I177" s="4">
        <v>2010</v>
      </c>
    </row>
    <row r="178" spans="1:20" s="4" customFormat="1" hidden="1">
      <c r="A178" s="2" t="s">
        <v>717</v>
      </c>
      <c r="B178" s="2" t="s">
        <v>718</v>
      </c>
      <c r="C178" s="4">
        <v>2020</v>
      </c>
      <c r="D178" t="s">
        <v>42</v>
      </c>
      <c r="E178" s="45">
        <v>45898</v>
      </c>
      <c r="F178" s="45" t="s">
        <v>1665</v>
      </c>
      <c r="G178" s="45" t="s">
        <v>1455</v>
      </c>
      <c r="I178" s="4">
        <v>2011</v>
      </c>
    </row>
    <row r="179" spans="1:20" s="4" customFormat="1" hidden="1">
      <c r="A179" s="2" t="s">
        <v>717</v>
      </c>
      <c r="B179" s="2" t="s">
        <v>718</v>
      </c>
      <c r="C179" s="4">
        <v>2020</v>
      </c>
      <c r="D179" t="s">
        <v>42</v>
      </c>
      <c r="E179" s="45">
        <v>45898</v>
      </c>
      <c r="F179" s="45" t="s">
        <v>1666</v>
      </c>
      <c r="G179" s="45" t="s">
        <v>1668</v>
      </c>
      <c r="I179" s="4">
        <v>2012</v>
      </c>
    </row>
    <row r="180" spans="1:20" s="4" customFormat="1" hidden="1">
      <c r="A180" s="2" t="s">
        <v>717</v>
      </c>
      <c r="B180" s="2" t="s">
        <v>718</v>
      </c>
      <c r="C180" s="4">
        <v>2020</v>
      </c>
      <c r="D180" t="s">
        <v>42</v>
      </c>
      <c r="E180" s="45">
        <v>45898</v>
      </c>
      <c r="F180" s="45" t="s">
        <v>1667</v>
      </c>
      <c r="G180" s="45" t="s">
        <v>1668</v>
      </c>
      <c r="I180" s="4">
        <v>2013</v>
      </c>
    </row>
    <row r="181" spans="1:20" hidden="1">
      <c r="A181" s="1" t="s">
        <v>1670</v>
      </c>
      <c r="B181" s="1" t="s">
        <v>1669</v>
      </c>
      <c r="C181" s="4">
        <v>2022</v>
      </c>
      <c r="D181" t="s">
        <v>42</v>
      </c>
      <c r="E181" s="45">
        <v>45898</v>
      </c>
      <c r="F181" s="40" t="s">
        <v>62</v>
      </c>
      <c r="G181" s="40" t="s">
        <v>1451</v>
      </c>
      <c r="H181">
        <v>1985</v>
      </c>
      <c r="I181">
        <v>2015</v>
      </c>
      <c r="J181">
        <f t="shared" ref="J181" si="21">I181-H181+1</f>
        <v>31</v>
      </c>
      <c r="K181" t="s">
        <v>145</v>
      </c>
      <c r="L181" t="s">
        <v>1444</v>
      </c>
      <c r="M181" t="s">
        <v>1014</v>
      </c>
      <c r="N181" t="s">
        <v>181</v>
      </c>
      <c r="P181" t="s">
        <v>1650</v>
      </c>
      <c r="Q181" t="s">
        <v>1468</v>
      </c>
      <c r="R181" t="s">
        <v>694</v>
      </c>
      <c r="S181" t="s">
        <v>69</v>
      </c>
      <c r="T181" t="s">
        <v>1674</v>
      </c>
    </row>
    <row r="182" spans="1:20" hidden="1">
      <c r="A182" s="1" t="s">
        <v>1671</v>
      </c>
      <c r="B182" s="1" t="s">
        <v>1669</v>
      </c>
      <c r="C182" s="4">
        <v>2022</v>
      </c>
      <c r="D182" t="s">
        <v>42</v>
      </c>
      <c r="E182" s="45">
        <v>45898</v>
      </c>
      <c r="F182" s="40" t="s">
        <v>62</v>
      </c>
      <c r="G182" s="40" t="s">
        <v>1451</v>
      </c>
      <c r="H182">
        <v>1985</v>
      </c>
      <c r="I182">
        <v>2015</v>
      </c>
      <c r="J182">
        <f t="shared" ref="J182:J187" si="22">I182-H182+1</f>
        <v>31</v>
      </c>
      <c r="K182" t="s">
        <v>1442</v>
      </c>
      <c r="L182" t="s">
        <v>152</v>
      </c>
      <c r="M182">
        <v>2</v>
      </c>
      <c r="N182" t="s">
        <v>40</v>
      </c>
      <c r="O182" t="s">
        <v>1673</v>
      </c>
      <c r="P182" t="s">
        <v>1650</v>
      </c>
      <c r="Q182" t="s">
        <v>1467</v>
      </c>
      <c r="R182" t="s">
        <v>694</v>
      </c>
      <c r="S182" t="s">
        <v>69</v>
      </c>
      <c r="T182" t="s">
        <v>1672</v>
      </c>
    </row>
    <row r="183" spans="1:20" hidden="1">
      <c r="A183" s="1" t="s">
        <v>1676</v>
      </c>
      <c r="B183" s="1" t="s">
        <v>1677</v>
      </c>
      <c r="C183">
        <v>2020</v>
      </c>
      <c r="D183" t="s">
        <v>42</v>
      </c>
      <c r="E183" s="40">
        <v>45898</v>
      </c>
      <c r="F183" s="40" t="s">
        <v>1678</v>
      </c>
      <c r="G183" s="40" t="s">
        <v>1451</v>
      </c>
      <c r="H183">
        <v>1957</v>
      </c>
      <c r="I183">
        <v>2012</v>
      </c>
      <c r="J183">
        <f t="shared" si="22"/>
        <v>56</v>
      </c>
      <c r="K183" t="s">
        <v>1442</v>
      </c>
      <c r="L183" t="s">
        <v>151</v>
      </c>
      <c r="M183" t="s">
        <v>40</v>
      </c>
      <c r="N183">
        <v>3</v>
      </c>
      <c r="O183" t="s">
        <v>1661</v>
      </c>
      <c r="P183" t="s">
        <v>1679</v>
      </c>
      <c r="Q183" t="s">
        <v>1467</v>
      </c>
      <c r="R183" t="s">
        <v>694</v>
      </c>
      <c r="S183" t="s">
        <v>1475</v>
      </c>
      <c r="T183" t="s">
        <v>1680</v>
      </c>
    </row>
    <row r="184" spans="1:20" hidden="1">
      <c r="A184" s="1" t="s">
        <v>1682</v>
      </c>
      <c r="B184" s="47" t="s">
        <v>1681</v>
      </c>
      <c r="C184">
        <v>2006</v>
      </c>
      <c r="D184" t="s">
        <v>42</v>
      </c>
      <c r="E184" s="40">
        <v>45898</v>
      </c>
      <c r="F184" s="40" t="s">
        <v>204</v>
      </c>
      <c r="G184" s="40" t="s">
        <v>1451</v>
      </c>
      <c r="H184">
        <v>1950</v>
      </c>
      <c r="I184">
        <v>2005</v>
      </c>
      <c r="J184">
        <f t="shared" si="22"/>
        <v>56</v>
      </c>
      <c r="K184" t="s">
        <v>145</v>
      </c>
      <c r="L184" t="s">
        <v>1465</v>
      </c>
      <c r="M184" t="s">
        <v>788</v>
      </c>
      <c r="N184" t="s">
        <v>1683</v>
      </c>
      <c r="O184" t="s">
        <v>1445</v>
      </c>
      <c r="P184" t="s">
        <v>1684</v>
      </c>
      <c r="Q184" t="s">
        <v>1467</v>
      </c>
      <c r="R184" t="s">
        <v>694</v>
      </c>
      <c r="S184" t="s">
        <v>69</v>
      </c>
      <c r="T184" t="s">
        <v>1685</v>
      </c>
    </row>
    <row r="185" spans="1:20" hidden="1">
      <c r="A185" s="1" t="s">
        <v>1682</v>
      </c>
      <c r="B185" s="47" t="s">
        <v>1681</v>
      </c>
      <c r="C185">
        <v>2006</v>
      </c>
      <c r="D185" t="s">
        <v>42</v>
      </c>
      <c r="E185" s="40">
        <v>45898</v>
      </c>
      <c r="F185" s="40" t="s">
        <v>204</v>
      </c>
      <c r="G185" s="40" t="s">
        <v>1451</v>
      </c>
      <c r="H185">
        <v>1950</v>
      </c>
      <c r="I185">
        <v>2005</v>
      </c>
      <c r="J185">
        <f t="shared" ref="J185:J186" si="23">I185-H185+1</f>
        <v>56</v>
      </c>
      <c r="K185" t="s">
        <v>145</v>
      </c>
      <c r="L185" t="s">
        <v>1654</v>
      </c>
      <c r="M185" t="s">
        <v>654</v>
      </c>
      <c r="N185" t="s">
        <v>181</v>
      </c>
      <c r="P185" t="s">
        <v>1684</v>
      </c>
      <c r="Q185" t="s">
        <v>1468</v>
      </c>
      <c r="R185" t="s">
        <v>694</v>
      </c>
      <c r="S185" t="s">
        <v>69</v>
      </c>
      <c r="T185" t="s">
        <v>1686</v>
      </c>
    </row>
    <row r="186" spans="1:20" hidden="1">
      <c r="A186" s="1" t="s">
        <v>1682</v>
      </c>
      <c r="B186" s="47" t="s">
        <v>1681</v>
      </c>
      <c r="C186">
        <v>2006</v>
      </c>
      <c r="D186" t="s">
        <v>42</v>
      </c>
      <c r="E186" s="40">
        <v>45898</v>
      </c>
      <c r="F186" s="40" t="s">
        <v>204</v>
      </c>
      <c r="G186" s="40" t="s">
        <v>1451</v>
      </c>
      <c r="H186">
        <v>1950</v>
      </c>
      <c r="I186">
        <v>2005</v>
      </c>
      <c r="J186">
        <f t="shared" si="23"/>
        <v>56</v>
      </c>
      <c r="K186" t="s">
        <v>145</v>
      </c>
      <c r="L186" t="s">
        <v>152</v>
      </c>
      <c r="M186" t="s">
        <v>1588</v>
      </c>
      <c r="N186" t="s">
        <v>40</v>
      </c>
      <c r="P186" t="s">
        <v>1684</v>
      </c>
      <c r="Q186" t="s">
        <v>1467</v>
      </c>
      <c r="R186" t="s">
        <v>694</v>
      </c>
      <c r="S186" t="s">
        <v>69</v>
      </c>
      <c r="T186" t="s">
        <v>1686</v>
      </c>
    </row>
    <row r="187" spans="1:20" hidden="1">
      <c r="A187" s="1" t="s">
        <v>1687</v>
      </c>
      <c r="B187" s="1" t="s">
        <v>1688</v>
      </c>
      <c r="C187">
        <v>2005</v>
      </c>
      <c r="D187" t="s">
        <v>44</v>
      </c>
      <c r="E187" s="40">
        <v>45898</v>
      </c>
      <c r="F187" s="40" t="s">
        <v>1689</v>
      </c>
      <c r="G187" s="40" t="s">
        <v>1451</v>
      </c>
      <c r="H187">
        <v>1951</v>
      </c>
      <c r="I187">
        <v>1998</v>
      </c>
      <c r="J187">
        <f t="shared" si="22"/>
        <v>48</v>
      </c>
      <c r="K187" t="s">
        <v>145</v>
      </c>
      <c r="L187" t="s">
        <v>1465</v>
      </c>
      <c r="M187" t="s">
        <v>788</v>
      </c>
      <c r="N187" t="s">
        <v>967</v>
      </c>
      <c r="O187" t="s">
        <v>1705</v>
      </c>
      <c r="P187" t="s">
        <v>1726</v>
      </c>
      <c r="Q187" t="s">
        <v>1467</v>
      </c>
      <c r="R187" t="s">
        <v>41</v>
      </c>
      <c r="S187" t="s">
        <v>69</v>
      </c>
      <c r="T187" t="s">
        <v>1727</v>
      </c>
    </row>
    <row r="188" spans="1:20" hidden="1">
      <c r="A188" s="1" t="s">
        <v>1687</v>
      </c>
      <c r="B188" s="1" t="s">
        <v>1688</v>
      </c>
      <c r="C188">
        <v>2005</v>
      </c>
      <c r="D188" t="s">
        <v>44</v>
      </c>
      <c r="E188" s="40">
        <v>45898</v>
      </c>
      <c r="F188" s="40" t="s">
        <v>1689</v>
      </c>
      <c r="G188" s="40" t="s">
        <v>1451</v>
      </c>
      <c r="H188">
        <v>1951</v>
      </c>
      <c r="I188">
        <v>1998</v>
      </c>
      <c r="J188">
        <f t="shared" ref="J188:J249" si="24">I188-H188+1</f>
        <v>48</v>
      </c>
      <c r="K188" t="s">
        <v>145</v>
      </c>
      <c r="L188" t="s">
        <v>1465</v>
      </c>
      <c r="M188" t="s">
        <v>788</v>
      </c>
      <c r="N188" t="s">
        <v>1690</v>
      </c>
      <c r="O188" t="s">
        <v>1705</v>
      </c>
      <c r="P188" t="s">
        <v>1726</v>
      </c>
      <c r="Q188" t="s">
        <v>1467</v>
      </c>
      <c r="R188" t="s">
        <v>41</v>
      </c>
      <c r="S188" t="s">
        <v>69</v>
      </c>
      <c r="T188" t="s">
        <v>1727</v>
      </c>
    </row>
    <row r="189" spans="1:20" hidden="1">
      <c r="A189" s="1" t="s">
        <v>1687</v>
      </c>
      <c r="B189" s="1" t="s">
        <v>1688</v>
      </c>
      <c r="C189">
        <v>2005</v>
      </c>
      <c r="D189" t="s">
        <v>44</v>
      </c>
      <c r="E189" s="40">
        <v>45898</v>
      </c>
      <c r="F189" s="40" t="s">
        <v>1689</v>
      </c>
      <c r="G189" s="40" t="s">
        <v>1451</v>
      </c>
      <c r="H189">
        <v>1951</v>
      </c>
      <c r="I189">
        <v>1998</v>
      </c>
      <c r="J189">
        <f t="shared" si="24"/>
        <v>48</v>
      </c>
      <c r="K189" t="s">
        <v>145</v>
      </c>
      <c r="L189" t="s">
        <v>1465</v>
      </c>
      <c r="M189" t="s">
        <v>788</v>
      </c>
      <c r="N189" t="s">
        <v>288</v>
      </c>
      <c r="O189" t="s">
        <v>1705</v>
      </c>
      <c r="P189" t="s">
        <v>1726</v>
      </c>
      <c r="Q189" t="s">
        <v>1467</v>
      </c>
      <c r="R189" t="s">
        <v>41</v>
      </c>
      <c r="S189" t="s">
        <v>69</v>
      </c>
      <c r="T189" t="s">
        <v>1727</v>
      </c>
    </row>
    <row r="190" spans="1:20" hidden="1">
      <c r="A190" s="1" t="s">
        <v>1687</v>
      </c>
      <c r="B190" s="1" t="s">
        <v>1688</v>
      </c>
      <c r="C190">
        <v>2005</v>
      </c>
      <c r="D190" t="s">
        <v>44</v>
      </c>
      <c r="E190" s="40">
        <v>45898</v>
      </c>
      <c r="F190" s="40" t="s">
        <v>1689</v>
      </c>
      <c r="G190" s="40" t="s">
        <v>1451</v>
      </c>
      <c r="H190">
        <v>1951</v>
      </c>
      <c r="I190">
        <v>1998</v>
      </c>
      <c r="J190">
        <f t="shared" si="24"/>
        <v>48</v>
      </c>
      <c r="K190" t="s">
        <v>145</v>
      </c>
      <c r="L190" t="s">
        <v>1465</v>
      </c>
      <c r="M190" t="s">
        <v>788</v>
      </c>
      <c r="N190" t="s">
        <v>289</v>
      </c>
      <c r="O190" t="s">
        <v>1706</v>
      </c>
      <c r="P190" t="s">
        <v>1726</v>
      </c>
      <c r="Q190" t="s">
        <v>1467</v>
      </c>
      <c r="R190" t="s">
        <v>41</v>
      </c>
      <c r="S190" t="s">
        <v>69</v>
      </c>
      <c r="T190" t="s">
        <v>1727</v>
      </c>
    </row>
    <row r="191" spans="1:20" hidden="1">
      <c r="A191" s="1" t="s">
        <v>1687</v>
      </c>
      <c r="B191" s="1" t="s">
        <v>1688</v>
      </c>
      <c r="C191">
        <v>2005</v>
      </c>
      <c r="D191" t="s">
        <v>44</v>
      </c>
      <c r="E191" s="40">
        <v>45898</v>
      </c>
      <c r="F191" s="40" t="s">
        <v>1689</v>
      </c>
      <c r="G191" s="40" t="s">
        <v>1451</v>
      </c>
      <c r="H191">
        <v>1951</v>
      </c>
      <c r="I191">
        <v>1998</v>
      </c>
      <c r="J191">
        <f t="shared" si="24"/>
        <v>48</v>
      </c>
      <c r="K191" t="s">
        <v>145</v>
      </c>
      <c r="L191" t="s">
        <v>1465</v>
      </c>
      <c r="M191" t="s">
        <v>788</v>
      </c>
      <c r="N191" t="s">
        <v>299</v>
      </c>
      <c r="O191" t="s">
        <v>1707</v>
      </c>
      <c r="P191" t="s">
        <v>1726</v>
      </c>
      <c r="Q191" t="s">
        <v>1467</v>
      </c>
      <c r="R191" t="s">
        <v>694</v>
      </c>
      <c r="S191" t="s">
        <v>69</v>
      </c>
      <c r="T191" t="s">
        <v>1727</v>
      </c>
    </row>
    <row r="192" spans="1:20" hidden="1">
      <c r="A192" s="1" t="s">
        <v>1687</v>
      </c>
      <c r="B192" s="1" t="s">
        <v>1688</v>
      </c>
      <c r="C192">
        <v>2005</v>
      </c>
      <c r="D192" t="s">
        <v>44</v>
      </c>
      <c r="E192" s="40">
        <v>45898</v>
      </c>
      <c r="F192" s="40" t="s">
        <v>1689</v>
      </c>
      <c r="G192" s="40" t="s">
        <v>1451</v>
      </c>
      <c r="H192">
        <v>1951</v>
      </c>
      <c r="I192">
        <v>1998</v>
      </c>
      <c r="J192">
        <f t="shared" si="24"/>
        <v>48</v>
      </c>
      <c r="K192" t="s">
        <v>145</v>
      </c>
      <c r="L192" t="s">
        <v>1465</v>
      </c>
      <c r="M192" t="s">
        <v>788</v>
      </c>
      <c r="N192" t="s">
        <v>295</v>
      </c>
      <c r="O192" t="s">
        <v>1705</v>
      </c>
      <c r="P192" t="s">
        <v>1726</v>
      </c>
      <c r="Q192" t="s">
        <v>1467</v>
      </c>
      <c r="R192" t="s">
        <v>41</v>
      </c>
      <c r="S192" t="s">
        <v>69</v>
      </c>
      <c r="T192" t="s">
        <v>1727</v>
      </c>
    </row>
    <row r="193" spans="1:20" hidden="1">
      <c r="A193" s="1" t="s">
        <v>1687</v>
      </c>
      <c r="B193" s="1" t="s">
        <v>1688</v>
      </c>
      <c r="C193">
        <v>2005</v>
      </c>
      <c r="D193" t="s">
        <v>44</v>
      </c>
      <c r="E193" s="40">
        <v>45898</v>
      </c>
      <c r="F193" s="40" t="s">
        <v>1689</v>
      </c>
      <c r="G193" s="40" t="s">
        <v>1451</v>
      </c>
      <c r="H193">
        <v>1951</v>
      </c>
      <c r="I193">
        <v>1998</v>
      </c>
      <c r="J193">
        <f t="shared" si="24"/>
        <v>48</v>
      </c>
      <c r="K193" t="s">
        <v>145</v>
      </c>
      <c r="L193" t="s">
        <v>1465</v>
      </c>
      <c r="M193" t="s">
        <v>788</v>
      </c>
      <c r="N193" t="s">
        <v>1622</v>
      </c>
      <c r="O193" t="s">
        <v>1708</v>
      </c>
      <c r="P193" t="s">
        <v>1726</v>
      </c>
      <c r="Q193" t="s">
        <v>1467</v>
      </c>
      <c r="R193" t="s">
        <v>694</v>
      </c>
      <c r="S193" t="s">
        <v>69</v>
      </c>
      <c r="T193" t="s">
        <v>1727</v>
      </c>
    </row>
    <row r="194" spans="1:20" hidden="1">
      <c r="A194" s="1" t="s">
        <v>1687</v>
      </c>
      <c r="B194" s="1" t="s">
        <v>1688</v>
      </c>
      <c r="C194">
        <v>2005</v>
      </c>
      <c r="D194" t="s">
        <v>44</v>
      </c>
      <c r="E194" s="40">
        <v>45898</v>
      </c>
      <c r="F194" s="40" t="s">
        <v>1689</v>
      </c>
      <c r="G194" s="40" t="s">
        <v>1451</v>
      </c>
      <c r="H194">
        <v>1951</v>
      </c>
      <c r="I194">
        <v>1998</v>
      </c>
      <c r="J194">
        <f t="shared" si="24"/>
        <v>48</v>
      </c>
      <c r="K194" t="s">
        <v>145</v>
      </c>
      <c r="L194" t="s">
        <v>1465</v>
      </c>
      <c r="M194" t="s">
        <v>788</v>
      </c>
      <c r="N194" t="s">
        <v>1691</v>
      </c>
      <c r="O194" t="s">
        <v>1709</v>
      </c>
      <c r="P194" t="s">
        <v>1726</v>
      </c>
      <c r="Q194" t="s">
        <v>1467</v>
      </c>
      <c r="R194" t="s">
        <v>1642</v>
      </c>
      <c r="S194" t="s">
        <v>69</v>
      </c>
      <c r="T194" t="s">
        <v>1727</v>
      </c>
    </row>
    <row r="195" spans="1:20" hidden="1">
      <c r="A195" s="1" t="s">
        <v>1687</v>
      </c>
      <c r="B195" s="1" t="s">
        <v>1688</v>
      </c>
      <c r="C195">
        <v>2005</v>
      </c>
      <c r="D195" t="s">
        <v>44</v>
      </c>
      <c r="E195" s="40">
        <v>45898</v>
      </c>
      <c r="F195" s="40" t="s">
        <v>1689</v>
      </c>
      <c r="G195" s="40" t="s">
        <v>1451</v>
      </c>
      <c r="H195">
        <v>1951</v>
      </c>
      <c r="I195">
        <v>1998</v>
      </c>
      <c r="J195">
        <f t="shared" si="24"/>
        <v>48</v>
      </c>
      <c r="K195" t="s">
        <v>145</v>
      </c>
      <c r="L195" t="s">
        <v>1465</v>
      </c>
      <c r="M195" t="s">
        <v>788</v>
      </c>
      <c r="N195" t="s">
        <v>1624</v>
      </c>
      <c r="O195" t="s">
        <v>1705</v>
      </c>
      <c r="P195" t="s">
        <v>1726</v>
      </c>
      <c r="Q195" t="s">
        <v>1468</v>
      </c>
      <c r="R195" t="s">
        <v>694</v>
      </c>
      <c r="S195" t="s">
        <v>69</v>
      </c>
      <c r="T195" t="s">
        <v>1727</v>
      </c>
    </row>
    <row r="196" spans="1:20" hidden="1">
      <c r="A196" s="1" t="s">
        <v>1687</v>
      </c>
      <c r="B196" s="1" t="s">
        <v>1688</v>
      </c>
      <c r="C196">
        <v>2005</v>
      </c>
      <c r="D196" t="s">
        <v>44</v>
      </c>
      <c r="E196" s="40">
        <v>45898</v>
      </c>
      <c r="F196" s="40" t="s">
        <v>1689</v>
      </c>
      <c r="G196" s="40" t="s">
        <v>1451</v>
      </c>
      <c r="H196">
        <v>1951</v>
      </c>
      <c r="I196">
        <v>1998</v>
      </c>
      <c r="J196">
        <f t="shared" si="24"/>
        <v>48</v>
      </c>
      <c r="K196" t="s">
        <v>145</v>
      </c>
      <c r="L196" t="s">
        <v>1465</v>
      </c>
      <c r="M196" t="s">
        <v>788</v>
      </c>
      <c r="N196" t="s">
        <v>973</v>
      </c>
      <c r="O196" t="s">
        <v>1708</v>
      </c>
      <c r="P196" t="s">
        <v>1726</v>
      </c>
      <c r="Q196" t="s">
        <v>1467</v>
      </c>
      <c r="R196" t="s">
        <v>694</v>
      </c>
      <c r="S196" t="s">
        <v>69</v>
      </c>
      <c r="T196" t="s">
        <v>1727</v>
      </c>
    </row>
    <row r="197" spans="1:20" hidden="1">
      <c r="A197" s="1" t="s">
        <v>1687</v>
      </c>
      <c r="B197" s="1" t="s">
        <v>1688</v>
      </c>
      <c r="C197">
        <v>2005</v>
      </c>
      <c r="D197" t="s">
        <v>44</v>
      </c>
      <c r="E197" s="40">
        <v>45898</v>
      </c>
      <c r="F197" s="40" t="s">
        <v>1689</v>
      </c>
      <c r="G197" s="40" t="s">
        <v>1451</v>
      </c>
      <c r="H197">
        <v>1951</v>
      </c>
      <c r="I197">
        <v>1998</v>
      </c>
      <c r="J197">
        <f t="shared" si="24"/>
        <v>48</v>
      </c>
      <c r="K197" t="s">
        <v>145</v>
      </c>
      <c r="L197" t="s">
        <v>1465</v>
      </c>
      <c r="M197" t="s">
        <v>788</v>
      </c>
      <c r="N197" t="s">
        <v>1625</v>
      </c>
      <c r="O197" t="s">
        <v>1710</v>
      </c>
      <c r="P197" t="s">
        <v>1726</v>
      </c>
      <c r="Q197" t="s">
        <v>1467</v>
      </c>
      <c r="R197" t="s">
        <v>694</v>
      </c>
      <c r="S197" t="s">
        <v>69</v>
      </c>
      <c r="T197" t="s">
        <v>1727</v>
      </c>
    </row>
    <row r="198" spans="1:20" hidden="1">
      <c r="A198" s="1" t="s">
        <v>1687</v>
      </c>
      <c r="B198" s="1" t="s">
        <v>1688</v>
      </c>
      <c r="C198">
        <v>2005</v>
      </c>
      <c r="D198" t="s">
        <v>44</v>
      </c>
      <c r="E198" s="40">
        <v>45898</v>
      </c>
      <c r="F198" s="40" t="s">
        <v>1689</v>
      </c>
      <c r="G198" s="40" t="s">
        <v>1451</v>
      </c>
      <c r="H198">
        <v>1951</v>
      </c>
      <c r="I198">
        <v>1998</v>
      </c>
      <c r="J198">
        <f t="shared" si="24"/>
        <v>48</v>
      </c>
      <c r="K198" t="s">
        <v>145</v>
      </c>
      <c r="L198" t="s">
        <v>1465</v>
      </c>
      <c r="M198" t="s">
        <v>788</v>
      </c>
      <c r="N198" t="s">
        <v>296</v>
      </c>
      <c r="O198" t="s">
        <v>1707</v>
      </c>
      <c r="P198" t="s">
        <v>1726</v>
      </c>
      <c r="Q198" t="s">
        <v>1467</v>
      </c>
      <c r="R198" t="s">
        <v>694</v>
      </c>
      <c r="S198" t="s">
        <v>69</v>
      </c>
      <c r="T198" t="s">
        <v>1727</v>
      </c>
    </row>
    <row r="199" spans="1:20" hidden="1">
      <c r="A199" s="1" t="s">
        <v>1687</v>
      </c>
      <c r="B199" s="1" t="s">
        <v>1688</v>
      </c>
      <c r="C199">
        <v>2005</v>
      </c>
      <c r="D199" t="s">
        <v>44</v>
      </c>
      <c r="E199" s="40">
        <v>45898</v>
      </c>
      <c r="F199" s="40" t="s">
        <v>1689</v>
      </c>
      <c r="G199" s="40" t="s">
        <v>1451</v>
      </c>
      <c r="H199">
        <v>1951</v>
      </c>
      <c r="I199">
        <v>1998</v>
      </c>
      <c r="J199">
        <f t="shared" si="24"/>
        <v>48</v>
      </c>
      <c r="K199" t="s">
        <v>145</v>
      </c>
      <c r="L199" t="s">
        <v>1465</v>
      </c>
      <c r="M199" t="s">
        <v>788</v>
      </c>
      <c r="N199" t="s">
        <v>1692</v>
      </c>
      <c r="O199" t="s">
        <v>1709</v>
      </c>
      <c r="P199" t="s">
        <v>1726</v>
      </c>
      <c r="Q199" t="s">
        <v>1467</v>
      </c>
      <c r="R199" t="s">
        <v>1642</v>
      </c>
      <c r="S199" t="s">
        <v>69</v>
      </c>
      <c r="T199" t="s">
        <v>1727</v>
      </c>
    </row>
    <row r="200" spans="1:20" hidden="1">
      <c r="A200" s="1" t="s">
        <v>1687</v>
      </c>
      <c r="B200" s="1" t="s">
        <v>1688</v>
      </c>
      <c r="C200">
        <v>2005</v>
      </c>
      <c r="D200" t="s">
        <v>44</v>
      </c>
      <c r="E200" s="40">
        <v>45898</v>
      </c>
      <c r="F200" s="40" t="s">
        <v>1689</v>
      </c>
      <c r="G200" s="40" t="s">
        <v>1451</v>
      </c>
      <c r="H200">
        <v>1951</v>
      </c>
      <c r="I200">
        <v>1998</v>
      </c>
      <c r="J200">
        <f t="shared" si="24"/>
        <v>48</v>
      </c>
      <c r="K200" t="s">
        <v>145</v>
      </c>
      <c r="L200" t="s">
        <v>1465</v>
      </c>
      <c r="M200" t="s">
        <v>788</v>
      </c>
      <c r="N200" t="s">
        <v>1693</v>
      </c>
      <c r="O200" t="s">
        <v>1705</v>
      </c>
      <c r="P200" t="s">
        <v>1726</v>
      </c>
      <c r="Q200" t="s">
        <v>1467</v>
      </c>
      <c r="R200" t="s">
        <v>41</v>
      </c>
      <c r="S200" t="s">
        <v>69</v>
      </c>
      <c r="T200" t="s">
        <v>1727</v>
      </c>
    </row>
    <row r="201" spans="1:20" hidden="1">
      <c r="A201" s="1" t="s">
        <v>1687</v>
      </c>
      <c r="B201" s="1" t="s">
        <v>1688</v>
      </c>
      <c r="C201">
        <v>2005</v>
      </c>
      <c r="D201" t="s">
        <v>44</v>
      </c>
      <c r="E201" s="40">
        <v>45898</v>
      </c>
      <c r="F201" s="40" t="s">
        <v>1689</v>
      </c>
      <c r="G201" s="40" t="s">
        <v>1451</v>
      </c>
      <c r="H201">
        <v>1951</v>
      </c>
      <c r="I201">
        <v>1998</v>
      </c>
      <c r="J201">
        <f t="shared" si="24"/>
        <v>48</v>
      </c>
      <c r="K201" t="s">
        <v>145</v>
      </c>
      <c r="L201" t="s">
        <v>1465</v>
      </c>
      <c r="M201" t="s">
        <v>788</v>
      </c>
      <c r="N201" t="s">
        <v>1628</v>
      </c>
      <c r="O201" t="s">
        <v>1711</v>
      </c>
      <c r="P201" t="s">
        <v>1726</v>
      </c>
      <c r="Q201" t="s">
        <v>1467</v>
      </c>
      <c r="R201" t="s">
        <v>1642</v>
      </c>
      <c r="S201" t="s">
        <v>69</v>
      </c>
      <c r="T201" t="s">
        <v>1727</v>
      </c>
    </row>
    <row r="202" spans="1:20" hidden="1">
      <c r="A202" s="1" t="s">
        <v>1687</v>
      </c>
      <c r="B202" s="1" t="s">
        <v>1688</v>
      </c>
      <c r="C202">
        <v>2005</v>
      </c>
      <c r="D202" t="s">
        <v>44</v>
      </c>
      <c r="E202" s="40">
        <v>45898</v>
      </c>
      <c r="F202" s="40" t="s">
        <v>1689</v>
      </c>
      <c r="G202" s="40" t="s">
        <v>1451</v>
      </c>
      <c r="H202">
        <v>1951</v>
      </c>
      <c r="I202">
        <v>1998</v>
      </c>
      <c r="J202">
        <f t="shared" si="24"/>
        <v>48</v>
      </c>
      <c r="K202" t="s">
        <v>145</v>
      </c>
      <c r="L202" t="s">
        <v>1465</v>
      </c>
      <c r="M202" t="s">
        <v>788</v>
      </c>
      <c r="N202" t="s">
        <v>1629</v>
      </c>
      <c r="O202" t="s">
        <v>1708</v>
      </c>
      <c r="P202" t="s">
        <v>1726</v>
      </c>
      <c r="Q202" t="s">
        <v>1467</v>
      </c>
      <c r="R202" t="s">
        <v>694</v>
      </c>
      <c r="S202" t="s">
        <v>69</v>
      </c>
      <c r="T202" t="s">
        <v>1727</v>
      </c>
    </row>
    <row r="203" spans="1:20" hidden="1">
      <c r="A203" s="1" t="s">
        <v>1687</v>
      </c>
      <c r="B203" s="1" t="s">
        <v>1688</v>
      </c>
      <c r="C203">
        <v>2005</v>
      </c>
      <c r="D203" t="s">
        <v>44</v>
      </c>
      <c r="E203" s="40">
        <v>45898</v>
      </c>
      <c r="F203" s="40" t="s">
        <v>1689</v>
      </c>
      <c r="G203" s="40" t="s">
        <v>1451</v>
      </c>
      <c r="H203">
        <v>1951</v>
      </c>
      <c r="I203">
        <v>1998</v>
      </c>
      <c r="J203">
        <f t="shared" si="24"/>
        <v>48</v>
      </c>
      <c r="K203" t="s">
        <v>145</v>
      </c>
      <c r="L203" t="s">
        <v>1465</v>
      </c>
      <c r="M203" t="s">
        <v>788</v>
      </c>
      <c r="N203" t="s">
        <v>1694</v>
      </c>
      <c r="O203" t="s">
        <v>1712</v>
      </c>
      <c r="P203" t="s">
        <v>1726</v>
      </c>
      <c r="Q203" t="s">
        <v>1467</v>
      </c>
      <c r="R203" t="s">
        <v>1642</v>
      </c>
      <c r="S203" t="s">
        <v>69</v>
      </c>
      <c r="T203" t="s">
        <v>1727</v>
      </c>
    </row>
    <row r="204" spans="1:20" hidden="1">
      <c r="A204" s="1" t="s">
        <v>1687</v>
      </c>
      <c r="B204" s="1" t="s">
        <v>1688</v>
      </c>
      <c r="C204">
        <v>2005</v>
      </c>
      <c r="D204" t="s">
        <v>44</v>
      </c>
      <c r="E204" s="40">
        <v>45898</v>
      </c>
      <c r="F204" s="40" t="s">
        <v>1689</v>
      </c>
      <c r="G204" s="40" t="s">
        <v>1451</v>
      </c>
      <c r="H204">
        <v>1951</v>
      </c>
      <c r="I204">
        <v>1998</v>
      </c>
      <c r="J204">
        <f t="shared" si="24"/>
        <v>48</v>
      </c>
      <c r="K204" t="s">
        <v>145</v>
      </c>
      <c r="L204" t="s">
        <v>1465</v>
      </c>
      <c r="M204" t="s">
        <v>788</v>
      </c>
      <c r="N204" t="s">
        <v>989</v>
      </c>
      <c r="O204" t="s">
        <v>1705</v>
      </c>
      <c r="P204" t="s">
        <v>1726</v>
      </c>
      <c r="Q204" t="s">
        <v>1467</v>
      </c>
      <c r="R204" t="s">
        <v>41</v>
      </c>
      <c r="S204" t="s">
        <v>69</v>
      </c>
      <c r="T204" t="s">
        <v>1727</v>
      </c>
    </row>
    <row r="205" spans="1:20" hidden="1">
      <c r="A205" s="1" t="s">
        <v>1687</v>
      </c>
      <c r="B205" s="1" t="s">
        <v>1688</v>
      </c>
      <c r="C205">
        <v>2005</v>
      </c>
      <c r="D205" t="s">
        <v>44</v>
      </c>
      <c r="E205" s="40">
        <v>45898</v>
      </c>
      <c r="F205" s="40" t="s">
        <v>1689</v>
      </c>
      <c r="G205" s="40" t="s">
        <v>1451</v>
      </c>
      <c r="H205">
        <v>1951</v>
      </c>
      <c r="I205">
        <v>1998</v>
      </c>
      <c r="J205">
        <f t="shared" si="24"/>
        <v>48</v>
      </c>
      <c r="K205" t="s">
        <v>145</v>
      </c>
      <c r="L205" t="s">
        <v>1465</v>
      </c>
      <c r="M205" t="s">
        <v>788</v>
      </c>
      <c r="N205" t="s">
        <v>990</v>
      </c>
      <c r="O205" t="s">
        <v>1707</v>
      </c>
      <c r="P205" t="s">
        <v>1726</v>
      </c>
      <c r="Q205" t="s">
        <v>1467</v>
      </c>
      <c r="R205" t="s">
        <v>694</v>
      </c>
      <c r="S205" t="s">
        <v>69</v>
      </c>
      <c r="T205" t="s">
        <v>1727</v>
      </c>
    </row>
    <row r="206" spans="1:20" hidden="1">
      <c r="A206" s="1" t="s">
        <v>1687</v>
      </c>
      <c r="B206" s="1" t="s">
        <v>1688</v>
      </c>
      <c r="C206">
        <v>2005</v>
      </c>
      <c r="D206" t="s">
        <v>44</v>
      </c>
      <c r="E206" s="40">
        <v>45898</v>
      </c>
      <c r="F206" s="40" t="s">
        <v>1689</v>
      </c>
      <c r="G206" s="40" t="s">
        <v>1451</v>
      </c>
      <c r="H206">
        <v>1951</v>
      </c>
      <c r="I206">
        <v>1998</v>
      </c>
      <c r="J206">
        <f t="shared" si="24"/>
        <v>48</v>
      </c>
      <c r="K206" t="s">
        <v>145</v>
      </c>
      <c r="L206" t="s">
        <v>1465</v>
      </c>
      <c r="M206" t="s">
        <v>788</v>
      </c>
      <c r="N206" t="s">
        <v>991</v>
      </c>
      <c r="O206" t="s">
        <v>1707</v>
      </c>
      <c r="P206" t="s">
        <v>1726</v>
      </c>
      <c r="Q206" t="s">
        <v>1467</v>
      </c>
      <c r="R206" t="s">
        <v>694</v>
      </c>
      <c r="S206" t="s">
        <v>69</v>
      </c>
      <c r="T206" t="s">
        <v>1727</v>
      </c>
    </row>
    <row r="207" spans="1:20" hidden="1">
      <c r="A207" s="1" t="s">
        <v>1687</v>
      </c>
      <c r="B207" s="1" t="s">
        <v>1688</v>
      </c>
      <c r="C207">
        <v>2005</v>
      </c>
      <c r="D207" t="s">
        <v>44</v>
      </c>
      <c r="E207" s="40">
        <v>45898</v>
      </c>
      <c r="F207" s="40" t="s">
        <v>1689</v>
      </c>
      <c r="G207" s="40" t="s">
        <v>1451</v>
      </c>
      <c r="H207">
        <v>1951</v>
      </c>
      <c r="I207">
        <v>1998</v>
      </c>
      <c r="J207">
        <f t="shared" si="24"/>
        <v>48</v>
      </c>
      <c r="K207" t="s">
        <v>145</v>
      </c>
      <c r="L207" t="s">
        <v>1465</v>
      </c>
      <c r="M207" t="s">
        <v>788</v>
      </c>
      <c r="N207" t="s">
        <v>1695</v>
      </c>
      <c r="O207" t="s">
        <v>1709</v>
      </c>
      <c r="P207" t="s">
        <v>1726</v>
      </c>
      <c r="Q207" t="s">
        <v>1467</v>
      </c>
      <c r="R207" t="s">
        <v>1642</v>
      </c>
      <c r="S207" t="s">
        <v>69</v>
      </c>
      <c r="T207" t="s">
        <v>1727</v>
      </c>
    </row>
    <row r="208" spans="1:20" hidden="1">
      <c r="A208" s="1" t="s">
        <v>1687</v>
      </c>
      <c r="B208" s="1" t="s">
        <v>1688</v>
      </c>
      <c r="C208">
        <v>2005</v>
      </c>
      <c r="D208" t="s">
        <v>44</v>
      </c>
      <c r="E208" s="40">
        <v>45898</v>
      </c>
      <c r="F208" s="40" t="s">
        <v>1689</v>
      </c>
      <c r="G208" s="40" t="s">
        <v>1451</v>
      </c>
      <c r="H208">
        <v>1951</v>
      </c>
      <c r="I208">
        <v>1998</v>
      </c>
      <c r="J208">
        <f t="shared" si="24"/>
        <v>48</v>
      </c>
      <c r="K208" t="s">
        <v>145</v>
      </c>
      <c r="L208" t="s">
        <v>1465</v>
      </c>
      <c r="M208" t="s">
        <v>788</v>
      </c>
      <c r="N208" t="s">
        <v>1696</v>
      </c>
      <c r="O208" t="s">
        <v>1713</v>
      </c>
      <c r="P208" t="s">
        <v>1726</v>
      </c>
      <c r="Q208" t="s">
        <v>1467</v>
      </c>
      <c r="R208" t="s">
        <v>1642</v>
      </c>
      <c r="S208" t="s">
        <v>69</v>
      </c>
      <c r="T208" t="s">
        <v>1727</v>
      </c>
    </row>
    <row r="209" spans="1:20" hidden="1">
      <c r="A209" s="1" t="s">
        <v>1687</v>
      </c>
      <c r="B209" s="1" t="s">
        <v>1688</v>
      </c>
      <c r="C209">
        <v>2005</v>
      </c>
      <c r="D209" t="s">
        <v>44</v>
      </c>
      <c r="E209" s="40">
        <v>45898</v>
      </c>
      <c r="F209" s="40" t="s">
        <v>1689</v>
      </c>
      <c r="G209" s="40" t="s">
        <v>1451</v>
      </c>
      <c r="H209">
        <v>1951</v>
      </c>
      <c r="I209">
        <v>1998</v>
      </c>
      <c r="J209">
        <f t="shared" si="24"/>
        <v>48</v>
      </c>
      <c r="K209" t="s">
        <v>145</v>
      </c>
      <c r="L209" t="s">
        <v>1465</v>
      </c>
      <c r="M209" t="s">
        <v>788</v>
      </c>
      <c r="N209" t="s">
        <v>303</v>
      </c>
      <c r="O209" t="s">
        <v>1705</v>
      </c>
      <c r="P209" t="s">
        <v>1726</v>
      </c>
      <c r="Q209" t="s">
        <v>1467</v>
      </c>
      <c r="R209" t="s">
        <v>41</v>
      </c>
      <c r="S209" t="s">
        <v>69</v>
      </c>
      <c r="T209" t="s">
        <v>1727</v>
      </c>
    </row>
    <row r="210" spans="1:20" hidden="1">
      <c r="A210" s="1" t="s">
        <v>1687</v>
      </c>
      <c r="B210" s="1" t="s">
        <v>1688</v>
      </c>
      <c r="C210">
        <v>2005</v>
      </c>
      <c r="D210" t="s">
        <v>44</v>
      </c>
      <c r="E210" s="40">
        <v>45898</v>
      </c>
      <c r="F210" s="40" t="s">
        <v>1689</v>
      </c>
      <c r="G210" s="40" t="s">
        <v>1451</v>
      </c>
      <c r="H210">
        <v>1951</v>
      </c>
      <c r="I210">
        <v>1998</v>
      </c>
      <c r="J210">
        <f t="shared" si="24"/>
        <v>48</v>
      </c>
      <c r="K210" t="s">
        <v>145</v>
      </c>
      <c r="L210" t="s">
        <v>1465</v>
      </c>
      <c r="M210" t="s">
        <v>788</v>
      </c>
      <c r="N210" t="s">
        <v>1633</v>
      </c>
      <c r="O210" t="s">
        <v>1714</v>
      </c>
      <c r="P210" t="s">
        <v>1726</v>
      </c>
      <c r="Q210" t="s">
        <v>1467</v>
      </c>
      <c r="R210" t="s">
        <v>1642</v>
      </c>
      <c r="S210" t="s">
        <v>69</v>
      </c>
      <c r="T210" t="s">
        <v>1727</v>
      </c>
    </row>
    <row r="211" spans="1:20" hidden="1">
      <c r="A211" s="1" t="s">
        <v>1687</v>
      </c>
      <c r="B211" s="1" t="s">
        <v>1688</v>
      </c>
      <c r="C211">
        <v>2005</v>
      </c>
      <c r="D211" t="s">
        <v>44</v>
      </c>
      <c r="E211" s="40">
        <v>45898</v>
      </c>
      <c r="F211" s="40" t="s">
        <v>1689</v>
      </c>
      <c r="G211" s="40" t="s">
        <v>1451</v>
      </c>
      <c r="H211">
        <v>1951</v>
      </c>
      <c r="I211">
        <v>1998</v>
      </c>
      <c r="J211">
        <f t="shared" si="24"/>
        <v>48</v>
      </c>
      <c r="K211" t="s">
        <v>145</v>
      </c>
      <c r="L211" t="s">
        <v>1465</v>
      </c>
      <c r="M211" t="s">
        <v>788</v>
      </c>
      <c r="N211" t="s">
        <v>1634</v>
      </c>
      <c r="O211" t="s">
        <v>1715</v>
      </c>
      <c r="P211" t="s">
        <v>1726</v>
      </c>
      <c r="Q211" t="s">
        <v>1467</v>
      </c>
      <c r="R211" t="s">
        <v>694</v>
      </c>
      <c r="S211" t="s">
        <v>69</v>
      </c>
      <c r="T211" t="s">
        <v>1727</v>
      </c>
    </row>
    <row r="212" spans="1:20" hidden="1">
      <c r="A212" s="1" t="s">
        <v>1687</v>
      </c>
      <c r="B212" s="1" t="s">
        <v>1688</v>
      </c>
      <c r="C212">
        <v>2005</v>
      </c>
      <c r="D212" t="s">
        <v>44</v>
      </c>
      <c r="E212" s="40">
        <v>45898</v>
      </c>
      <c r="F212" s="40" t="s">
        <v>1689</v>
      </c>
      <c r="G212" s="40" t="s">
        <v>1451</v>
      </c>
      <c r="H212">
        <v>1951</v>
      </c>
      <c r="I212">
        <v>1998</v>
      </c>
      <c r="J212">
        <f t="shared" si="24"/>
        <v>48</v>
      </c>
      <c r="K212" t="s">
        <v>145</v>
      </c>
      <c r="L212" t="s">
        <v>1465</v>
      </c>
      <c r="M212" t="s">
        <v>788</v>
      </c>
      <c r="N212" t="s">
        <v>1635</v>
      </c>
      <c r="O212" t="s">
        <v>1709</v>
      </c>
      <c r="P212" t="s">
        <v>1726</v>
      </c>
      <c r="Q212" t="s">
        <v>1467</v>
      </c>
      <c r="R212" t="s">
        <v>1642</v>
      </c>
      <c r="S212" t="s">
        <v>69</v>
      </c>
      <c r="T212" t="s">
        <v>1727</v>
      </c>
    </row>
    <row r="213" spans="1:20" hidden="1">
      <c r="A213" s="1" t="s">
        <v>1687</v>
      </c>
      <c r="B213" s="1" t="s">
        <v>1688</v>
      </c>
      <c r="C213">
        <v>2005</v>
      </c>
      <c r="D213" t="s">
        <v>44</v>
      </c>
      <c r="E213" s="40">
        <v>45898</v>
      </c>
      <c r="F213" s="40" t="s">
        <v>1689</v>
      </c>
      <c r="G213" s="40" t="s">
        <v>1451</v>
      </c>
      <c r="H213">
        <v>1951</v>
      </c>
      <c r="I213">
        <v>1998</v>
      </c>
      <c r="J213">
        <f t="shared" si="24"/>
        <v>48</v>
      </c>
      <c r="K213" t="s">
        <v>145</v>
      </c>
      <c r="L213" t="s">
        <v>1465</v>
      </c>
      <c r="M213" t="s">
        <v>788</v>
      </c>
      <c r="N213" t="s">
        <v>304</v>
      </c>
      <c r="O213" t="s">
        <v>1705</v>
      </c>
      <c r="P213" t="s">
        <v>1726</v>
      </c>
      <c r="Q213" t="s">
        <v>1468</v>
      </c>
      <c r="R213" t="s">
        <v>694</v>
      </c>
      <c r="S213" t="s">
        <v>69</v>
      </c>
      <c r="T213" t="s">
        <v>1727</v>
      </c>
    </row>
    <row r="214" spans="1:20" hidden="1">
      <c r="A214" s="1" t="s">
        <v>1687</v>
      </c>
      <c r="B214" s="1" t="s">
        <v>1688</v>
      </c>
      <c r="C214">
        <v>2005</v>
      </c>
      <c r="D214" t="s">
        <v>44</v>
      </c>
      <c r="E214" s="40">
        <v>45898</v>
      </c>
      <c r="F214" s="40" t="s">
        <v>1689</v>
      </c>
      <c r="G214" s="40" t="s">
        <v>1451</v>
      </c>
      <c r="H214">
        <v>1951</v>
      </c>
      <c r="I214">
        <v>1998</v>
      </c>
      <c r="J214">
        <f t="shared" si="24"/>
        <v>48</v>
      </c>
      <c r="K214" t="s">
        <v>145</v>
      </c>
      <c r="L214" t="s">
        <v>1465</v>
      </c>
      <c r="M214" t="s">
        <v>788</v>
      </c>
      <c r="N214" t="s">
        <v>1697</v>
      </c>
      <c r="O214" t="s">
        <v>1716</v>
      </c>
      <c r="P214" t="s">
        <v>1726</v>
      </c>
      <c r="Q214" t="s">
        <v>1467</v>
      </c>
      <c r="R214" t="s">
        <v>1642</v>
      </c>
      <c r="S214" t="s">
        <v>69</v>
      </c>
      <c r="T214" t="s">
        <v>1727</v>
      </c>
    </row>
    <row r="215" spans="1:20" hidden="1">
      <c r="A215" s="1" t="s">
        <v>1687</v>
      </c>
      <c r="B215" s="1" t="s">
        <v>1688</v>
      </c>
      <c r="C215">
        <v>2005</v>
      </c>
      <c r="D215" t="s">
        <v>44</v>
      </c>
      <c r="E215" s="40">
        <v>45898</v>
      </c>
      <c r="F215" s="40" t="s">
        <v>1689</v>
      </c>
      <c r="G215" s="40" t="s">
        <v>1451</v>
      </c>
      <c r="H215">
        <v>1951</v>
      </c>
      <c r="I215">
        <v>1998</v>
      </c>
      <c r="J215">
        <f t="shared" si="24"/>
        <v>48</v>
      </c>
      <c r="K215" t="s">
        <v>145</v>
      </c>
      <c r="L215" t="s">
        <v>1465</v>
      </c>
      <c r="M215" t="s">
        <v>788</v>
      </c>
      <c r="N215" t="s">
        <v>297</v>
      </c>
      <c r="O215" t="s">
        <v>1715</v>
      </c>
      <c r="P215" t="s">
        <v>1726</v>
      </c>
      <c r="Q215" t="s">
        <v>1467</v>
      </c>
      <c r="R215" t="s">
        <v>694</v>
      </c>
      <c r="S215" t="s">
        <v>69</v>
      </c>
      <c r="T215" t="s">
        <v>1727</v>
      </c>
    </row>
    <row r="216" spans="1:20" hidden="1">
      <c r="A216" s="1" t="s">
        <v>1687</v>
      </c>
      <c r="B216" s="1" t="s">
        <v>1688</v>
      </c>
      <c r="C216">
        <v>2005</v>
      </c>
      <c r="D216" t="s">
        <v>44</v>
      </c>
      <c r="E216" s="40">
        <v>45898</v>
      </c>
      <c r="F216" s="40" t="s">
        <v>1689</v>
      </c>
      <c r="G216" s="40" t="s">
        <v>1451</v>
      </c>
      <c r="H216">
        <v>1951</v>
      </c>
      <c r="I216">
        <v>1998</v>
      </c>
      <c r="J216">
        <f t="shared" si="24"/>
        <v>48</v>
      </c>
      <c r="K216" t="s">
        <v>145</v>
      </c>
      <c r="L216" t="s">
        <v>1465</v>
      </c>
      <c r="M216" t="s">
        <v>788</v>
      </c>
      <c r="N216" t="s">
        <v>305</v>
      </c>
      <c r="O216" t="s">
        <v>1705</v>
      </c>
      <c r="P216" t="s">
        <v>1726</v>
      </c>
      <c r="Q216" t="s">
        <v>1467</v>
      </c>
      <c r="R216" t="s">
        <v>41</v>
      </c>
      <c r="S216" t="s">
        <v>69</v>
      </c>
      <c r="T216" t="s">
        <v>1727</v>
      </c>
    </row>
    <row r="217" spans="1:20" hidden="1">
      <c r="A217" s="1" t="s">
        <v>1687</v>
      </c>
      <c r="B217" s="1" t="s">
        <v>1688</v>
      </c>
      <c r="C217">
        <v>2005</v>
      </c>
      <c r="D217" t="s">
        <v>44</v>
      </c>
      <c r="E217" s="40">
        <v>45898</v>
      </c>
      <c r="F217" s="40" t="s">
        <v>1689</v>
      </c>
      <c r="G217" s="40" t="s">
        <v>1451</v>
      </c>
      <c r="H217">
        <v>1951</v>
      </c>
      <c r="I217">
        <v>1998</v>
      </c>
      <c r="J217">
        <f t="shared" si="24"/>
        <v>48</v>
      </c>
      <c r="K217" t="s">
        <v>145</v>
      </c>
      <c r="L217" t="s">
        <v>1465</v>
      </c>
      <c r="M217" t="s">
        <v>788</v>
      </c>
      <c r="N217" t="s">
        <v>1637</v>
      </c>
      <c r="O217" t="s">
        <v>1705</v>
      </c>
      <c r="P217" t="s">
        <v>1726</v>
      </c>
      <c r="Q217" t="s">
        <v>1467</v>
      </c>
      <c r="R217" t="s">
        <v>41</v>
      </c>
      <c r="S217" t="s">
        <v>69</v>
      </c>
      <c r="T217" t="s">
        <v>1727</v>
      </c>
    </row>
    <row r="218" spans="1:20" hidden="1">
      <c r="A218" s="1" t="s">
        <v>1687</v>
      </c>
      <c r="B218" s="1" t="s">
        <v>1688</v>
      </c>
      <c r="C218">
        <v>2005</v>
      </c>
      <c r="D218" t="s">
        <v>44</v>
      </c>
      <c r="E218" s="40">
        <v>45898</v>
      </c>
      <c r="F218" s="40" t="s">
        <v>1689</v>
      </c>
      <c r="G218" s="40" t="s">
        <v>1451</v>
      </c>
      <c r="H218">
        <v>1951</v>
      </c>
      <c r="I218">
        <v>1998</v>
      </c>
      <c r="J218">
        <f t="shared" si="24"/>
        <v>48</v>
      </c>
      <c r="K218" t="s">
        <v>145</v>
      </c>
      <c r="L218" t="s">
        <v>1465</v>
      </c>
      <c r="M218" t="s">
        <v>788</v>
      </c>
      <c r="N218" t="s">
        <v>306</v>
      </c>
      <c r="O218" t="s">
        <v>1705</v>
      </c>
      <c r="P218" t="s">
        <v>1726</v>
      </c>
      <c r="Q218" t="s">
        <v>1724</v>
      </c>
      <c r="R218" t="s">
        <v>694</v>
      </c>
      <c r="S218" t="s">
        <v>69</v>
      </c>
      <c r="T218" t="s">
        <v>1727</v>
      </c>
    </row>
    <row r="219" spans="1:20" hidden="1">
      <c r="A219" s="1" t="s">
        <v>1687</v>
      </c>
      <c r="B219" s="1" t="s">
        <v>1688</v>
      </c>
      <c r="C219">
        <v>2005</v>
      </c>
      <c r="D219" t="s">
        <v>44</v>
      </c>
      <c r="E219" s="40">
        <v>45898</v>
      </c>
      <c r="F219" s="40" t="s">
        <v>1689</v>
      </c>
      <c r="G219" s="40" t="s">
        <v>1451</v>
      </c>
      <c r="H219">
        <v>1951</v>
      </c>
      <c r="I219">
        <v>1998</v>
      </c>
      <c r="J219">
        <f t="shared" si="24"/>
        <v>48</v>
      </c>
      <c r="K219" t="s">
        <v>145</v>
      </c>
      <c r="L219" t="s">
        <v>1465</v>
      </c>
      <c r="M219" t="s">
        <v>788</v>
      </c>
      <c r="N219" t="s">
        <v>307</v>
      </c>
      <c r="O219" t="s">
        <v>1710</v>
      </c>
      <c r="P219" t="s">
        <v>1726</v>
      </c>
      <c r="Q219" t="s">
        <v>1467</v>
      </c>
      <c r="R219" t="s">
        <v>694</v>
      </c>
      <c r="S219" t="s">
        <v>69</v>
      </c>
      <c r="T219" t="s">
        <v>1727</v>
      </c>
    </row>
    <row r="220" spans="1:20" hidden="1">
      <c r="A220" s="1" t="s">
        <v>1687</v>
      </c>
      <c r="B220" s="1" t="s">
        <v>1688</v>
      </c>
      <c r="C220">
        <v>2005</v>
      </c>
      <c r="D220" t="s">
        <v>44</v>
      </c>
      <c r="E220" s="40">
        <v>45898</v>
      </c>
      <c r="F220" s="40" t="s">
        <v>1689</v>
      </c>
      <c r="G220" s="40" t="s">
        <v>1451</v>
      </c>
      <c r="H220">
        <v>1951</v>
      </c>
      <c r="I220">
        <v>1998</v>
      </c>
      <c r="J220">
        <f t="shared" si="24"/>
        <v>48</v>
      </c>
      <c r="K220" t="s">
        <v>145</v>
      </c>
      <c r="L220" t="s">
        <v>1465</v>
      </c>
      <c r="M220" t="s">
        <v>788</v>
      </c>
      <c r="N220" t="s">
        <v>294</v>
      </c>
      <c r="O220" t="s">
        <v>1715</v>
      </c>
      <c r="P220" t="s">
        <v>1726</v>
      </c>
      <c r="Q220" t="s">
        <v>1467</v>
      </c>
      <c r="R220" t="s">
        <v>694</v>
      </c>
      <c r="S220" t="s">
        <v>69</v>
      </c>
      <c r="T220" t="s">
        <v>1727</v>
      </c>
    </row>
    <row r="221" spans="1:20" hidden="1">
      <c r="A221" s="1" t="s">
        <v>1687</v>
      </c>
      <c r="B221" s="1" t="s">
        <v>1688</v>
      </c>
      <c r="C221">
        <v>2005</v>
      </c>
      <c r="D221" t="s">
        <v>44</v>
      </c>
      <c r="E221" s="40">
        <v>45898</v>
      </c>
      <c r="F221" s="40" t="s">
        <v>1689</v>
      </c>
      <c r="G221" s="40" t="s">
        <v>1451</v>
      </c>
      <c r="H221">
        <v>1951</v>
      </c>
      <c r="I221">
        <v>1998</v>
      </c>
      <c r="J221">
        <f t="shared" si="24"/>
        <v>48</v>
      </c>
      <c r="K221" t="s">
        <v>145</v>
      </c>
      <c r="L221" t="s">
        <v>1465</v>
      </c>
      <c r="M221" t="s">
        <v>788</v>
      </c>
      <c r="N221" t="s">
        <v>284</v>
      </c>
      <c r="O221" t="s">
        <v>1717</v>
      </c>
      <c r="P221" t="s">
        <v>1726</v>
      </c>
      <c r="Q221" t="s">
        <v>1468</v>
      </c>
      <c r="R221" t="s">
        <v>1642</v>
      </c>
      <c r="S221" t="s">
        <v>69</v>
      </c>
      <c r="T221" t="s">
        <v>1727</v>
      </c>
    </row>
    <row r="222" spans="1:20" hidden="1">
      <c r="A222" s="1" t="s">
        <v>1687</v>
      </c>
      <c r="B222" s="1" t="s">
        <v>1688</v>
      </c>
      <c r="C222">
        <v>2005</v>
      </c>
      <c r="D222" t="s">
        <v>44</v>
      </c>
      <c r="E222" s="40">
        <v>45898</v>
      </c>
      <c r="F222" s="40" t="s">
        <v>1689</v>
      </c>
      <c r="G222" s="40" t="s">
        <v>1451</v>
      </c>
      <c r="H222">
        <v>1951</v>
      </c>
      <c r="I222">
        <v>1998</v>
      </c>
      <c r="J222">
        <f t="shared" si="24"/>
        <v>48</v>
      </c>
      <c r="K222" t="s">
        <v>145</v>
      </c>
      <c r="L222" t="s">
        <v>1465</v>
      </c>
      <c r="M222" t="s">
        <v>788</v>
      </c>
      <c r="N222" t="s">
        <v>308</v>
      </c>
      <c r="O222" t="s">
        <v>1718</v>
      </c>
      <c r="P222" t="s">
        <v>1726</v>
      </c>
      <c r="Q222" t="s">
        <v>1467</v>
      </c>
      <c r="R222" t="s">
        <v>41</v>
      </c>
      <c r="S222" t="s">
        <v>69</v>
      </c>
      <c r="T222" t="s">
        <v>1727</v>
      </c>
    </row>
    <row r="223" spans="1:20" hidden="1">
      <c r="A223" s="1" t="s">
        <v>1687</v>
      </c>
      <c r="B223" s="1" t="s">
        <v>1688</v>
      </c>
      <c r="C223">
        <v>2005</v>
      </c>
      <c r="D223" t="s">
        <v>44</v>
      </c>
      <c r="E223" s="40">
        <v>45898</v>
      </c>
      <c r="F223" s="40" t="s">
        <v>1689</v>
      </c>
      <c r="G223" s="40" t="s">
        <v>1451</v>
      </c>
      <c r="H223">
        <v>1951</v>
      </c>
      <c r="I223">
        <v>1998</v>
      </c>
      <c r="J223">
        <f t="shared" si="24"/>
        <v>48</v>
      </c>
      <c r="K223" t="s">
        <v>145</v>
      </c>
      <c r="L223" t="s">
        <v>1465</v>
      </c>
      <c r="M223" t="s">
        <v>788</v>
      </c>
      <c r="N223" t="s">
        <v>286</v>
      </c>
      <c r="O223" t="s">
        <v>1719</v>
      </c>
      <c r="P223" t="s">
        <v>1726</v>
      </c>
      <c r="Q223" t="s">
        <v>1467</v>
      </c>
      <c r="R223" t="s">
        <v>694</v>
      </c>
      <c r="S223" t="s">
        <v>69</v>
      </c>
      <c r="T223" t="s">
        <v>1727</v>
      </c>
    </row>
    <row r="224" spans="1:20" hidden="1">
      <c r="A224" s="1" t="s">
        <v>1687</v>
      </c>
      <c r="B224" s="1" t="s">
        <v>1688</v>
      </c>
      <c r="C224">
        <v>2005</v>
      </c>
      <c r="D224" t="s">
        <v>44</v>
      </c>
      <c r="E224" s="40">
        <v>45898</v>
      </c>
      <c r="F224" s="40" t="s">
        <v>1689</v>
      </c>
      <c r="G224" s="40" t="s">
        <v>1451</v>
      </c>
      <c r="H224">
        <v>1951</v>
      </c>
      <c r="I224">
        <v>1998</v>
      </c>
      <c r="J224">
        <f t="shared" si="24"/>
        <v>48</v>
      </c>
      <c r="K224" t="s">
        <v>145</v>
      </c>
      <c r="L224" t="s">
        <v>1465</v>
      </c>
      <c r="M224" t="s">
        <v>788</v>
      </c>
      <c r="N224" t="s">
        <v>318</v>
      </c>
      <c r="O224" t="s">
        <v>1719</v>
      </c>
      <c r="P224" t="s">
        <v>1726</v>
      </c>
      <c r="Q224" t="s">
        <v>1725</v>
      </c>
      <c r="R224" t="s">
        <v>694</v>
      </c>
      <c r="S224" t="s">
        <v>69</v>
      </c>
      <c r="T224" t="s">
        <v>1727</v>
      </c>
    </row>
    <row r="225" spans="1:20" hidden="1">
      <c r="A225" s="1" t="s">
        <v>1687</v>
      </c>
      <c r="B225" s="1" t="s">
        <v>1688</v>
      </c>
      <c r="C225">
        <v>2005</v>
      </c>
      <c r="D225" t="s">
        <v>44</v>
      </c>
      <c r="E225" s="40">
        <v>45898</v>
      </c>
      <c r="F225" s="40" t="s">
        <v>1689</v>
      </c>
      <c r="G225" s="40" t="s">
        <v>1451</v>
      </c>
      <c r="H225">
        <v>1951</v>
      </c>
      <c r="I225">
        <v>1998</v>
      </c>
      <c r="J225">
        <f t="shared" si="24"/>
        <v>48</v>
      </c>
      <c r="K225" t="s">
        <v>145</v>
      </c>
      <c r="L225" t="s">
        <v>1465</v>
      </c>
      <c r="M225" t="s">
        <v>788</v>
      </c>
      <c r="N225" t="s">
        <v>315</v>
      </c>
      <c r="O225" t="s">
        <v>1717</v>
      </c>
      <c r="P225" t="s">
        <v>1726</v>
      </c>
      <c r="Q225" t="s">
        <v>1468</v>
      </c>
      <c r="R225" t="s">
        <v>1642</v>
      </c>
      <c r="S225" t="s">
        <v>69</v>
      </c>
      <c r="T225" t="s">
        <v>1727</v>
      </c>
    </row>
    <row r="226" spans="1:20" hidden="1">
      <c r="A226" s="1" t="s">
        <v>1687</v>
      </c>
      <c r="B226" s="1" t="s">
        <v>1688</v>
      </c>
      <c r="C226">
        <v>2005</v>
      </c>
      <c r="D226" t="s">
        <v>44</v>
      </c>
      <c r="E226" s="40">
        <v>45898</v>
      </c>
      <c r="F226" s="40" t="s">
        <v>1689</v>
      </c>
      <c r="G226" s="40" t="s">
        <v>1451</v>
      </c>
      <c r="H226">
        <v>1951</v>
      </c>
      <c r="I226">
        <v>1998</v>
      </c>
      <c r="J226">
        <f t="shared" si="24"/>
        <v>48</v>
      </c>
      <c r="K226" t="s">
        <v>145</v>
      </c>
      <c r="L226" t="s">
        <v>1465</v>
      </c>
      <c r="M226" t="s">
        <v>788</v>
      </c>
      <c r="N226" t="s">
        <v>357</v>
      </c>
      <c r="O226" t="s">
        <v>1718</v>
      </c>
      <c r="P226" t="s">
        <v>1726</v>
      </c>
      <c r="Q226" t="s">
        <v>1467</v>
      </c>
      <c r="R226" t="s">
        <v>41</v>
      </c>
      <c r="S226" t="s">
        <v>69</v>
      </c>
      <c r="T226" t="s">
        <v>1727</v>
      </c>
    </row>
    <row r="227" spans="1:20" hidden="1">
      <c r="A227" s="1" t="s">
        <v>1687</v>
      </c>
      <c r="B227" s="1" t="s">
        <v>1688</v>
      </c>
      <c r="C227">
        <v>2005</v>
      </c>
      <c r="D227" t="s">
        <v>44</v>
      </c>
      <c r="E227" s="40">
        <v>45898</v>
      </c>
      <c r="F227" s="40" t="s">
        <v>1689</v>
      </c>
      <c r="G227" s="40" t="s">
        <v>1451</v>
      </c>
      <c r="H227">
        <v>1951</v>
      </c>
      <c r="I227">
        <v>1998</v>
      </c>
      <c r="J227">
        <f t="shared" si="24"/>
        <v>48</v>
      </c>
      <c r="K227" t="s">
        <v>145</v>
      </c>
      <c r="L227" t="s">
        <v>1465</v>
      </c>
      <c r="M227" t="s">
        <v>788</v>
      </c>
      <c r="N227" t="s">
        <v>319</v>
      </c>
      <c r="O227" t="s">
        <v>1718</v>
      </c>
      <c r="P227" t="s">
        <v>1726</v>
      </c>
      <c r="Q227" t="s">
        <v>1468</v>
      </c>
      <c r="R227" t="s">
        <v>694</v>
      </c>
      <c r="S227" t="s">
        <v>69</v>
      </c>
      <c r="T227" t="s">
        <v>1727</v>
      </c>
    </row>
    <row r="228" spans="1:20" hidden="1">
      <c r="A228" s="1" t="s">
        <v>1687</v>
      </c>
      <c r="B228" s="1" t="s">
        <v>1688</v>
      </c>
      <c r="C228">
        <v>2005</v>
      </c>
      <c r="D228" t="s">
        <v>44</v>
      </c>
      <c r="E228" s="40">
        <v>45898</v>
      </c>
      <c r="F228" s="40" t="s">
        <v>1689</v>
      </c>
      <c r="G228" s="40" t="s">
        <v>1451</v>
      </c>
      <c r="H228">
        <v>1951</v>
      </c>
      <c r="I228">
        <v>1998</v>
      </c>
      <c r="J228">
        <f t="shared" si="24"/>
        <v>48</v>
      </c>
      <c r="K228" t="s">
        <v>145</v>
      </c>
      <c r="L228" t="s">
        <v>1465</v>
      </c>
      <c r="M228" t="s">
        <v>788</v>
      </c>
      <c r="N228" t="s">
        <v>290</v>
      </c>
      <c r="O228" t="s">
        <v>1718</v>
      </c>
      <c r="P228" t="s">
        <v>1726</v>
      </c>
      <c r="Q228" t="s">
        <v>1468</v>
      </c>
      <c r="R228" t="s">
        <v>694</v>
      </c>
      <c r="S228" t="s">
        <v>69</v>
      </c>
      <c r="T228" t="s">
        <v>1727</v>
      </c>
    </row>
    <row r="229" spans="1:20" hidden="1">
      <c r="A229" s="1" t="s">
        <v>1687</v>
      </c>
      <c r="B229" s="1" t="s">
        <v>1688</v>
      </c>
      <c r="C229">
        <v>2005</v>
      </c>
      <c r="D229" t="s">
        <v>44</v>
      </c>
      <c r="E229" s="40">
        <v>45898</v>
      </c>
      <c r="F229" s="40" t="s">
        <v>1689</v>
      </c>
      <c r="G229" s="40" t="s">
        <v>1451</v>
      </c>
      <c r="H229">
        <v>1951</v>
      </c>
      <c r="I229">
        <v>1998</v>
      </c>
      <c r="J229">
        <f t="shared" si="24"/>
        <v>48</v>
      </c>
      <c r="K229" t="s">
        <v>145</v>
      </c>
      <c r="L229" t="s">
        <v>1465</v>
      </c>
      <c r="M229" t="s">
        <v>788</v>
      </c>
      <c r="N229" t="s">
        <v>320</v>
      </c>
      <c r="O229" t="s">
        <v>1718</v>
      </c>
      <c r="P229" t="s">
        <v>1726</v>
      </c>
      <c r="Q229" t="s">
        <v>1723</v>
      </c>
      <c r="R229" t="s">
        <v>1642</v>
      </c>
      <c r="S229" t="s">
        <v>69</v>
      </c>
      <c r="T229" t="s">
        <v>1727</v>
      </c>
    </row>
    <row r="230" spans="1:20" hidden="1">
      <c r="A230" s="1" t="s">
        <v>1687</v>
      </c>
      <c r="B230" s="1" t="s">
        <v>1688</v>
      </c>
      <c r="C230">
        <v>2005</v>
      </c>
      <c r="D230" t="s">
        <v>44</v>
      </c>
      <c r="E230" s="40">
        <v>45898</v>
      </c>
      <c r="F230" s="40" t="s">
        <v>1689</v>
      </c>
      <c r="G230" s="40" t="s">
        <v>1451</v>
      </c>
      <c r="H230">
        <v>1951</v>
      </c>
      <c r="I230">
        <v>1998</v>
      </c>
      <c r="J230">
        <f t="shared" si="24"/>
        <v>48</v>
      </c>
      <c r="K230" t="s">
        <v>145</v>
      </c>
      <c r="L230" t="s">
        <v>1465</v>
      </c>
      <c r="M230" t="s">
        <v>788</v>
      </c>
      <c r="N230" t="s">
        <v>358</v>
      </c>
      <c r="O230" t="s">
        <v>1718</v>
      </c>
      <c r="P230" t="s">
        <v>1726</v>
      </c>
      <c r="Q230" t="s">
        <v>1723</v>
      </c>
      <c r="R230" t="s">
        <v>1642</v>
      </c>
      <c r="S230" t="s">
        <v>69</v>
      </c>
      <c r="T230" t="s">
        <v>1727</v>
      </c>
    </row>
    <row r="231" spans="1:20" hidden="1">
      <c r="A231" s="1" t="s">
        <v>1687</v>
      </c>
      <c r="B231" s="1" t="s">
        <v>1688</v>
      </c>
      <c r="C231">
        <v>2005</v>
      </c>
      <c r="D231" t="s">
        <v>44</v>
      </c>
      <c r="E231" s="40">
        <v>45898</v>
      </c>
      <c r="F231" s="40" t="s">
        <v>1689</v>
      </c>
      <c r="G231" s="40" t="s">
        <v>1451</v>
      </c>
      <c r="H231">
        <v>1951</v>
      </c>
      <c r="I231">
        <v>1998</v>
      </c>
      <c r="J231">
        <f t="shared" si="24"/>
        <v>48</v>
      </c>
      <c r="K231" t="s">
        <v>145</v>
      </c>
      <c r="L231" t="s">
        <v>1465</v>
      </c>
      <c r="M231" t="s">
        <v>788</v>
      </c>
      <c r="N231" t="s">
        <v>356</v>
      </c>
      <c r="O231" t="s">
        <v>1718</v>
      </c>
      <c r="P231" t="s">
        <v>1726</v>
      </c>
      <c r="Q231" t="s">
        <v>1467</v>
      </c>
      <c r="R231" t="s">
        <v>41</v>
      </c>
      <c r="S231" t="s">
        <v>69</v>
      </c>
      <c r="T231" t="s">
        <v>1727</v>
      </c>
    </row>
    <row r="232" spans="1:20" hidden="1">
      <c r="A232" s="1" t="s">
        <v>1687</v>
      </c>
      <c r="B232" s="1" t="s">
        <v>1688</v>
      </c>
      <c r="C232">
        <v>2005</v>
      </c>
      <c r="D232" t="s">
        <v>44</v>
      </c>
      <c r="E232" s="40">
        <v>45898</v>
      </c>
      <c r="F232" s="40" t="s">
        <v>1689</v>
      </c>
      <c r="G232" s="40" t="s">
        <v>1451</v>
      </c>
      <c r="H232">
        <v>1951</v>
      </c>
      <c r="I232">
        <v>1998</v>
      </c>
      <c r="J232">
        <f t="shared" si="24"/>
        <v>48</v>
      </c>
      <c r="K232" t="s">
        <v>145</v>
      </c>
      <c r="L232" t="s">
        <v>1465</v>
      </c>
      <c r="M232" t="s">
        <v>788</v>
      </c>
      <c r="N232" t="s">
        <v>1698</v>
      </c>
      <c r="O232" t="s">
        <v>1720</v>
      </c>
      <c r="P232" t="s">
        <v>1726</v>
      </c>
      <c r="Q232" t="s">
        <v>1467</v>
      </c>
      <c r="R232" t="s">
        <v>694</v>
      </c>
      <c r="S232" t="s">
        <v>69</v>
      </c>
      <c r="T232" t="s">
        <v>1727</v>
      </c>
    </row>
    <row r="233" spans="1:20" hidden="1">
      <c r="A233" s="1" t="s">
        <v>1687</v>
      </c>
      <c r="B233" s="1" t="s">
        <v>1688</v>
      </c>
      <c r="C233">
        <v>2005</v>
      </c>
      <c r="D233" t="s">
        <v>44</v>
      </c>
      <c r="E233" s="40">
        <v>45898</v>
      </c>
      <c r="F233" s="40" t="s">
        <v>1689</v>
      </c>
      <c r="G233" s="40" t="s">
        <v>1451</v>
      </c>
      <c r="H233">
        <v>1951</v>
      </c>
      <c r="I233">
        <v>1998</v>
      </c>
      <c r="J233">
        <f t="shared" si="24"/>
        <v>48</v>
      </c>
      <c r="K233" t="s">
        <v>145</v>
      </c>
      <c r="L233" t="s">
        <v>1465</v>
      </c>
      <c r="M233" t="s">
        <v>788</v>
      </c>
      <c r="N233" t="s">
        <v>323</v>
      </c>
      <c r="O233" t="s">
        <v>1720</v>
      </c>
      <c r="P233" t="s">
        <v>1726</v>
      </c>
      <c r="Q233" t="s">
        <v>1467</v>
      </c>
      <c r="R233" t="s">
        <v>694</v>
      </c>
      <c r="S233" t="s">
        <v>69</v>
      </c>
      <c r="T233" t="s">
        <v>1727</v>
      </c>
    </row>
    <row r="234" spans="1:20" hidden="1">
      <c r="A234" s="1" t="s">
        <v>1687</v>
      </c>
      <c r="B234" s="1" t="s">
        <v>1688</v>
      </c>
      <c r="C234">
        <v>2005</v>
      </c>
      <c r="D234" t="s">
        <v>44</v>
      </c>
      <c r="E234" s="40">
        <v>45898</v>
      </c>
      <c r="F234" s="40" t="s">
        <v>1689</v>
      </c>
      <c r="G234" s="40" t="s">
        <v>1451</v>
      </c>
      <c r="H234">
        <v>1951</v>
      </c>
      <c r="I234">
        <v>1998</v>
      </c>
      <c r="J234">
        <f t="shared" si="24"/>
        <v>48</v>
      </c>
      <c r="K234" t="s">
        <v>145</v>
      </c>
      <c r="L234" t="s">
        <v>1465</v>
      </c>
      <c r="M234" t="s">
        <v>788</v>
      </c>
      <c r="N234" t="s">
        <v>325</v>
      </c>
      <c r="O234" t="s">
        <v>1718</v>
      </c>
      <c r="P234" t="s">
        <v>1726</v>
      </c>
      <c r="Q234" t="s">
        <v>1468</v>
      </c>
      <c r="R234" t="s">
        <v>694</v>
      </c>
      <c r="S234" t="s">
        <v>69</v>
      </c>
      <c r="T234" t="s">
        <v>1727</v>
      </c>
    </row>
    <row r="235" spans="1:20" hidden="1">
      <c r="A235" s="1" t="s">
        <v>1687</v>
      </c>
      <c r="B235" s="1" t="s">
        <v>1688</v>
      </c>
      <c r="C235">
        <v>2005</v>
      </c>
      <c r="D235" t="s">
        <v>44</v>
      </c>
      <c r="E235" s="40">
        <v>45898</v>
      </c>
      <c r="F235" s="40" t="s">
        <v>1689</v>
      </c>
      <c r="G235" s="40" t="s">
        <v>1451</v>
      </c>
      <c r="H235">
        <v>1951</v>
      </c>
      <c r="I235">
        <v>1998</v>
      </c>
      <c r="J235">
        <f t="shared" si="24"/>
        <v>48</v>
      </c>
      <c r="K235" t="s">
        <v>145</v>
      </c>
      <c r="L235" t="s">
        <v>1465</v>
      </c>
      <c r="M235" t="s">
        <v>788</v>
      </c>
      <c r="N235" t="s">
        <v>1699</v>
      </c>
      <c r="O235" t="s">
        <v>1720</v>
      </c>
      <c r="P235" t="s">
        <v>1726</v>
      </c>
      <c r="Q235" t="s">
        <v>1467</v>
      </c>
      <c r="R235" t="s">
        <v>694</v>
      </c>
      <c r="S235" t="s">
        <v>69</v>
      </c>
      <c r="T235" t="s">
        <v>1727</v>
      </c>
    </row>
    <row r="236" spans="1:20" hidden="1">
      <c r="A236" s="1" t="s">
        <v>1687</v>
      </c>
      <c r="B236" s="1" t="s">
        <v>1688</v>
      </c>
      <c r="C236">
        <v>2005</v>
      </c>
      <c r="D236" t="s">
        <v>44</v>
      </c>
      <c r="E236" s="40">
        <v>45898</v>
      </c>
      <c r="F236" s="40" t="s">
        <v>1689</v>
      </c>
      <c r="G236" s="40" t="s">
        <v>1451</v>
      </c>
      <c r="H236">
        <v>1951</v>
      </c>
      <c r="I236">
        <v>1998</v>
      </c>
      <c r="J236">
        <f t="shared" si="24"/>
        <v>48</v>
      </c>
      <c r="K236" t="s">
        <v>145</v>
      </c>
      <c r="L236" t="s">
        <v>1465</v>
      </c>
      <c r="M236" t="s">
        <v>788</v>
      </c>
      <c r="N236" t="s">
        <v>367</v>
      </c>
      <c r="O236" t="s">
        <v>1718</v>
      </c>
      <c r="P236" t="s">
        <v>1726</v>
      </c>
      <c r="Q236" t="s">
        <v>1723</v>
      </c>
      <c r="R236" t="s">
        <v>1642</v>
      </c>
      <c r="S236" t="s">
        <v>69</v>
      </c>
      <c r="T236" t="s">
        <v>1727</v>
      </c>
    </row>
    <row r="237" spans="1:20" hidden="1">
      <c r="A237" s="1" t="s">
        <v>1687</v>
      </c>
      <c r="B237" s="1" t="s">
        <v>1688</v>
      </c>
      <c r="C237">
        <v>2005</v>
      </c>
      <c r="D237" t="s">
        <v>44</v>
      </c>
      <c r="E237" s="40">
        <v>45898</v>
      </c>
      <c r="F237" s="40" t="s">
        <v>1689</v>
      </c>
      <c r="G237" s="40" t="s">
        <v>1451</v>
      </c>
      <c r="H237">
        <v>1951</v>
      </c>
      <c r="I237">
        <v>1998</v>
      </c>
      <c r="J237">
        <f t="shared" si="24"/>
        <v>48</v>
      </c>
      <c r="K237" t="s">
        <v>145</v>
      </c>
      <c r="L237" t="s">
        <v>1465</v>
      </c>
      <c r="M237" t="s">
        <v>788</v>
      </c>
      <c r="N237" t="s">
        <v>310</v>
      </c>
      <c r="O237" t="s">
        <v>1718</v>
      </c>
      <c r="P237" t="s">
        <v>1726</v>
      </c>
      <c r="Q237" t="s">
        <v>1468</v>
      </c>
      <c r="R237" t="s">
        <v>694</v>
      </c>
      <c r="S237" t="s">
        <v>69</v>
      </c>
      <c r="T237" t="s">
        <v>1727</v>
      </c>
    </row>
    <row r="238" spans="1:20" hidden="1">
      <c r="A238" s="1" t="s">
        <v>1687</v>
      </c>
      <c r="B238" s="1" t="s">
        <v>1688</v>
      </c>
      <c r="C238">
        <v>2005</v>
      </c>
      <c r="D238" t="s">
        <v>44</v>
      </c>
      <c r="E238" s="40">
        <v>45898</v>
      </c>
      <c r="F238" s="40" t="s">
        <v>1689</v>
      </c>
      <c r="G238" s="40" t="s">
        <v>1451</v>
      </c>
      <c r="H238">
        <v>1951</v>
      </c>
      <c r="I238">
        <v>1998</v>
      </c>
      <c r="J238">
        <f t="shared" si="24"/>
        <v>48</v>
      </c>
      <c r="K238" t="s">
        <v>145</v>
      </c>
      <c r="L238" t="s">
        <v>1465</v>
      </c>
      <c r="M238" t="s">
        <v>788</v>
      </c>
      <c r="N238" t="s">
        <v>314</v>
      </c>
      <c r="O238" t="s">
        <v>1718</v>
      </c>
      <c r="P238" t="s">
        <v>1726</v>
      </c>
      <c r="Q238" t="s">
        <v>1468</v>
      </c>
      <c r="R238" t="s">
        <v>694</v>
      </c>
      <c r="S238" t="s">
        <v>69</v>
      </c>
      <c r="T238" t="s">
        <v>1727</v>
      </c>
    </row>
    <row r="239" spans="1:20" hidden="1">
      <c r="A239" s="1" t="s">
        <v>1687</v>
      </c>
      <c r="B239" s="1" t="s">
        <v>1688</v>
      </c>
      <c r="C239">
        <v>2005</v>
      </c>
      <c r="D239" t="s">
        <v>44</v>
      </c>
      <c r="E239" s="40">
        <v>45898</v>
      </c>
      <c r="F239" s="40" t="s">
        <v>1689</v>
      </c>
      <c r="G239" s="40" t="s">
        <v>1451</v>
      </c>
      <c r="H239">
        <v>1951</v>
      </c>
      <c r="I239">
        <v>1998</v>
      </c>
      <c r="J239">
        <f t="shared" si="24"/>
        <v>48</v>
      </c>
      <c r="K239" t="s">
        <v>145</v>
      </c>
      <c r="L239" t="s">
        <v>1465</v>
      </c>
      <c r="M239" t="s">
        <v>788</v>
      </c>
      <c r="N239" t="s">
        <v>1700</v>
      </c>
      <c r="O239" t="s">
        <v>1721</v>
      </c>
      <c r="P239" t="s">
        <v>1726</v>
      </c>
      <c r="Q239" t="s">
        <v>1467</v>
      </c>
      <c r="R239" t="s">
        <v>41</v>
      </c>
      <c r="S239" t="s">
        <v>69</v>
      </c>
      <c r="T239" t="s">
        <v>1727</v>
      </c>
    </row>
    <row r="240" spans="1:20" hidden="1">
      <c r="A240" s="1" t="s">
        <v>1687</v>
      </c>
      <c r="B240" s="1" t="s">
        <v>1688</v>
      </c>
      <c r="C240">
        <v>2005</v>
      </c>
      <c r="D240" t="s">
        <v>44</v>
      </c>
      <c r="E240" s="40">
        <v>45898</v>
      </c>
      <c r="F240" s="40" t="s">
        <v>1689</v>
      </c>
      <c r="G240" s="40" t="s">
        <v>1451</v>
      </c>
      <c r="H240">
        <v>1951</v>
      </c>
      <c r="I240">
        <v>1998</v>
      </c>
      <c r="J240">
        <f t="shared" si="24"/>
        <v>48</v>
      </c>
      <c r="K240" t="s">
        <v>145</v>
      </c>
      <c r="L240" t="s">
        <v>1465</v>
      </c>
      <c r="M240" t="s">
        <v>788</v>
      </c>
      <c r="N240" t="s">
        <v>1701</v>
      </c>
      <c r="O240" t="s">
        <v>1718</v>
      </c>
      <c r="P240" t="s">
        <v>1726</v>
      </c>
      <c r="Q240" t="s">
        <v>1467</v>
      </c>
      <c r="R240" t="s">
        <v>41</v>
      </c>
      <c r="S240" t="s">
        <v>69</v>
      </c>
      <c r="T240" t="s">
        <v>1727</v>
      </c>
    </row>
    <row r="241" spans="1:20" hidden="1">
      <c r="A241" s="1" t="s">
        <v>1687</v>
      </c>
      <c r="B241" s="1" t="s">
        <v>1688</v>
      </c>
      <c r="C241">
        <v>2005</v>
      </c>
      <c r="D241" t="s">
        <v>44</v>
      </c>
      <c r="E241" s="40">
        <v>45898</v>
      </c>
      <c r="F241" s="40" t="s">
        <v>1689</v>
      </c>
      <c r="G241" s="40" t="s">
        <v>1451</v>
      </c>
      <c r="H241">
        <v>1951</v>
      </c>
      <c r="I241">
        <v>1998</v>
      </c>
      <c r="J241">
        <f t="shared" si="24"/>
        <v>48</v>
      </c>
      <c r="K241" t="s">
        <v>145</v>
      </c>
      <c r="L241" t="s">
        <v>1465</v>
      </c>
      <c r="M241" t="s">
        <v>788</v>
      </c>
      <c r="N241" t="s">
        <v>361</v>
      </c>
      <c r="O241" t="s">
        <v>1720</v>
      </c>
      <c r="P241" t="s">
        <v>1726</v>
      </c>
      <c r="Q241" t="s">
        <v>1467</v>
      </c>
      <c r="R241" t="s">
        <v>41</v>
      </c>
      <c r="S241" t="s">
        <v>69</v>
      </c>
      <c r="T241" t="s">
        <v>1727</v>
      </c>
    </row>
    <row r="242" spans="1:20" hidden="1">
      <c r="A242" s="1" t="s">
        <v>1687</v>
      </c>
      <c r="B242" s="1" t="s">
        <v>1688</v>
      </c>
      <c r="C242">
        <v>2005</v>
      </c>
      <c r="D242" t="s">
        <v>44</v>
      </c>
      <c r="E242" s="40">
        <v>45898</v>
      </c>
      <c r="F242" s="40" t="s">
        <v>1689</v>
      </c>
      <c r="G242" s="40" t="s">
        <v>1451</v>
      </c>
      <c r="H242">
        <v>1951</v>
      </c>
      <c r="I242">
        <v>1998</v>
      </c>
      <c r="J242">
        <f t="shared" si="24"/>
        <v>48</v>
      </c>
      <c r="K242" t="s">
        <v>145</v>
      </c>
      <c r="L242" t="s">
        <v>1465</v>
      </c>
      <c r="M242" t="s">
        <v>788</v>
      </c>
      <c r="N242" t="s">
        <v>1702</v>
      </c>
      <c r="O242" t="s">
        <v>1718</v>
      </c>
      <c r="P242" t="s">
        <v>1726</v>
      </c>
      <c r="Q242" t="s">
        <v>1467</v>
      </c>
      <c r="R242" t="s">
        <v>41</v>
      </c>
      <c r="S242" t="s">
        <v>69</v>
      </c>
      <c r="T242" t="s">
        <v>1727</v>
      </c>
    </row>
    <row r="243" spans="1:20" hidden="1">
      <c r="A243" s="1" t="s">
        <v>1687</v>
      </c>
      <c r="B243" s="1" t="s">
        <v>1688</v>
      </c>
      <c r="C243">
        <v>2005</v>
      </c>
      <c r="D243" t="s">
        <v>44</v>
      </c>
      <c r="E243" s="40">
        <v>45898</v>
      </c>
      <c r="F243" s="40" t="s">
        <v>1689</v>
      </c>
      <c r="G243" s="40" t="s">
        <v>1451</v>
      </c>
      <c r="H243">
        <v>1951</v>
      </c>
      <c r="I243">
        <v>1998</v>
      </c>
      <c r="J243">
        <f t="shared" si="24"/>
        <v>48</v>
      </c>
      <c r="K243" t="s">
        <v>145</v>
      </c>
      <c r="L243" t="s">
        <v>1465</v>
      </c>
      <c r="M243" t="s">
        <v>788</v>
      </c>
      <c r="N243" t="s">
        <v>316</v>
      </c>
      <c r="O243" t="s">
        <v>1722</v>
      </c>
      <c r="P243" t="s">
        <v>1726</v>
      </c>
      <c r="Q243" t="s">
        <v>1467</v>
      </c>
      <c r="R243" t="s">
        <v>694</v>
      </c>
      <c r="S243" t="s">
        <v>69</v>
      </c>
      <c r="T243" t="s">
        <v>1727</v>
      </c>
    </row>
    <row r="244" spans="1:20" hidden="1">
      <c r="A244" s="1" t="s">
        <v>1687</v>
      </c>
      <c r="B244" s="1" t="s">
        <v>1688</v>
      </c>
      <c r="C244">
        <v>2005</v>
      </c>
      <c r="D244" t="s">
        <v>44</v>
      </c>
      <c r="E244" s="40">
        <v>45898</v>
      </c>
      <c r="F244" s="40" t="s">
        <v>1689</v>
      </c>
      <c r="G244" s="40" t="s">
        <v>1451</v>
      </c>
      <c r="H244">
        <v>1951</v>
      </c>
      <c r="I244">
        <v>1998</v>
      </c>
      <c r="J244">
        <f t="shared" si="24"/>
        <v>48</v>
      </c>
      <c r="K244" t="s">
        <v>145</v>
      </c>
      <c r="L244" t="s">
        <v>1465</v>
      </c>
      <c r="M244" t="s">
        <v>788</v>
      </c>
      <c r="N244" t="s">
        <v>354</v>
      </c>
      <c r="O244" t="s">
        <v>1722</v>
      </c>
      <c r="P244" t="s">
        <v>1726</v>
      </c>
      <c r="Q244" t="s">
        <v>1723</v>
      </c>
      <c r="R244" t="s">
        <v>1642</v>
      </c>
      <c r="S244" t="s">
        <v>69</v>
      </c>
      <c r="T244" t="s">
        <v>1727</v>
      </c>
    </row>
    <row r="245" spans="1:20" hidden="1">
      <c r="A245" s="1" t="s">
        <v>1687</v>
      </c>
      <c r="B245" s="1" t="s">
        <v>1688</v>
      </c>
      <c r="C245">
        <v>2005</v>
      </c>
      <c r="D245" t="s">
        <v>44</v>
      </c>
      <c r="E245" s="40">
        <v>45898</v>
      </c>
      <c r="F245" s="40" t="s">
        <v>1689</v>
      </c>
      <c r="G245" s="40" t="s">
        <v>1451</v>
      </c>
      <c r="H245">
        <v>1951</v>
      </c>
      <c r="I245">
        <v>1998</v>
      </c>
      <c r="J245">
        <f t="shared" si="24"/>
        <v>48</v>
      </c>
      <c r="K245" t="s">
        <v>145</v>
      </c>
      <c r="L245" t="s">
        <v>1465</v>
      </c>
      <c r="M245" t="s">
        <v>788</v>
      </c>
      <c r="N245" t="s">
        <v>324</v>
      </c>
      <c r="O245" t="s">
        <v>1718</v>
      </c>
      <c r="P245" t="s">
        <v>1726</v>
      </c>
      <c r="Q245" t="s">
        <v>1467</v>
      </c>
      <c r="R245" t="s">
        <v>41</v>
      </c>
      <c r="S245" t="s">
        <v>69</v>
      </c>
      <c r="T245" t="s">
        <v>1727</v>
      </c>
    </row>
    <row r="246" spans="1:20" hidden="1">
      <c r="A246" s="1" t="s">
        <v>1687</v>
      </c>
      <c r="B246" s="1" t="s">
        <v>1688</v>
      </c>
      <c r="C246">
        <v>2005</v>
      </c>
      <c r="D246" t="s">
        <v>44</v>
      </c>
      <c r="E246" s="40">
        <v>45898</v>
      </c>
      <c r="F246" s="40" t="s">
        <v>1689</v>
      </c>
      <c r="G246" s="40" t="s">
        <v>1451</v>
      </c>
      <c r="H246">
        <v>1951</v>
      </c>
      <c r="I246">
        <v>1998</v>
      </c>
      <c r="J246">
        <f t="shared" si="24"/>
        <v>48</v>
      </c>
      <c r="K246" t="s">
        <v>145</v>
      </c>
      <c r="L246" t="s">
        <v>1465</v>
      </c>
      <c r="M246" t="s">
        <v>788</v>
      </c>
      <c r="N246" t="s">
        <v>326</v>
      </c>
      <c r="O246" t="s">
        <v>1718</v>
      </c>
      <c r="P246" t="s">
        <v>1726</v>
      </c>
      <c r="Q246" t="s">
        <v>1467</v>
      </c>
      <c r="R246" t="s">
        <v>41</v>
      </c>
      <c r="S246" t="s">
        <v>69</v>
      </c>
      <c r="T246" t="s">
        <v>1727</v>
      </c>
    </row>
    <row r="247" spans="1:20" hidden="1">
      <c r="A247" s="1" t="s">
        <v>1687</v>
      </c>
      <c r="B247" s="1" t="s">
        <v>1688</v>
      </c>
      <c r="C247">
        <v>2005</v>
      </c>
      <c r="D247" t="s">
        <v>44</v>
      </c>
      <c r="E247" s="40">
        <v>45898</v>
      </c>
      <c r="F247" s="40" t="s">
        <v>1689</v>
      </c>
      <c r="G247" s="40" t="s">
        <v>1451</v>
      </c>
      <c r="H247">
        <v>1951</v>
      </c>
      <c r="I247">
        <v>1998</v>
      </c>
      <c r="J247">
        <f t="shared" si="24"/>
        <v>48</v>
      </c>
      <c r="K247" t="s">
        <v>145</v>
      </c>
      <c r="L247" t="s">
        <v>1465</v>
      </c>
      <c r="M247" t="s">
        <v>788</v>
      </c>
      <c r="N247" t="s">
        <v>313</v>
      </c>
      <c r="O247" t="s">
        <v>1718</v>
      </c>
      <c r="P247" t="s">
        <v>1726</v>
      </c>
      <c r="Q247" t="s">
        <v>1468</v>
      </c>
      <c r="R247" t="s">
        <v>694</v>
      </c>
      <c r="S247" t="s">
        <v>69</v>
      </c>
      <c r="T247" t="s">
        <v>1727</v>
      </c>
    </row>
    <row r="248" spans="1:20" hidden="1">
      <c r="A248" s="1" t="s">
        <v>1687</v>
      </c>
      <c r="B248" s="1" t="s">
        <v>1688</v>
      </c>
      <c r="C248">
        <v>2005</v>
      </c>
      <c r="D248" t="s">
        <v>44</v>
      </c>
      <c r="E248" s="40">
        <v>45898</v>
      </c>
      <c r="F248" s="40" t="s">
        <v>1689</v>
      </c>
      <c r="G248" s="40" t="s">
        <v>1451</v>
      </c>
      <c r="H248">
        <v>1951</v>
      </c>
      <c r="I248">
        <v>1998</v>
      </c>
      <c r="J248">
        <f t="shared" si="24"/>
        <v>48</v>
      </c>
      <c r="K248" t="s">
        <v>145</v>
      </c>
      <c r="L248" t="s">
        <v>1465</v>
      </c>
      <c r="M248" t="s">
        <v>788</v>
      </c>
      <c r="N248" t="s">
        <v>364</v>
      </c>
      <c r="O248" t="s">
        <v>1719</v>
      </c>
      <c r="P248" t="s">
        <v>1726</v>
      </c>
      <c r="Q248" t="s">
        <v>1468</v>
      </c>
      <c r="R248" t="s">
        <v>694</v>
      </c>
      <c r="S248" t="s">
        <v>69</v>
      </c>
      <c r="T248" t="s">
        <v>1727</v>
      </c>
    </row>
    <row r="249" spans="1:20" hidden="1">
      <c r="A249" s="1" t="s">
        <v>1687</v>
      </c>
      <c r="B249" s="1" t="s">
        <v>1688</v>
      </c>
      <c r="C249">
        <v>2005</v>
      </c>
      <c r="D249" t="s">
        <v>44</v>
      </c>
      <c r="E249" s="40">
        <v>45898</v>
      </c>
      <c r="F249" s="40" t="s">
        <v>1689</v>
      </c>
      <c r="G249" s="40" t="s">
        <v>1451</v>
      </c>
      <c r="H249">
        <v>1951</v>
      </c>
      <c r="I249">
        <v>1998</v>
      </c>
      <c r="J249">
        <f t="shared" si="24"/>
        <v>48</v>
      </c>
      <c r="K249" t="s">
        <v>145</v>
      </c>
      <c r="L249" t="s">
        <v>1465</v>
      </c>
      <c r="M249" t="s">
        <v>788</v>
      </c>
      <c r="N249" t="s">
        <v>1703</v>
      </c>
      <c r="O249" t="s">
        <v>1718</v>
      </c>
      <c r="P249" t="s">
        <v>1726</v>
      </c>
      <c r="Q249" t="s">
        <v>1467</v>
      </c>
      <c r="R249" t="s">
        <v>41</v>
      </c>
      <c r="S249" t="s">
        <v>69</v>
      </c>
      <c r="T249" t="s">
        <v>1727</v>
      </c>
    </row>
    <row r="250" spans="1:20" hidden="1">
      <c r="A250" s="1" t="s">
        <v>1687</v>
      </c>
      <c r="B250" s="1" t="s">
        <v>1688</v>
      </c>
      <c r="C250">
        <v>2005</v>
      </c>
      <c r="D250" t="s">
        <v>44</v>
      </c>
      <c r="E250" s="40">
        <v>45898</v>
      </c>
      <c r="F250" s="40" t="s">
        <v>1689</v>
      </c>
      <c r="G250" s="40" t="s">
        <v>1451</v>
      </c>
      <c r="H250">
        <v>1951</v>
      </c>
      <c r="I250">
        <v>1998</v>
      </c>
      <c r="J250">
        <f t="shared" ref="J250:J253" si="25">I250-H250+1</f>
        <v>48</v>
      </c>
      <c r="K250" t="s">
        <v>145</v>
      </c>
      <c r="L250" t="s">
        <v>1465</v>
      </c>
      <c r="M250" t="s">
        <v>788</v>
      </c>
      <c r="N250" t="s">
        <v>287</v>
      </c>
      <c r="O250" t="s">
        <v>1718</v>
      </c>
      <c r="P250" t="s">
        <v>1726</v>
      </c>
      <c r="Q250" t="s">
        <v>1467</v>
      </c>
      <c r="R250" t="s">
        <v>41</v>
      </c>
      <c r="S250" t="s">
        <v>69</v>
      </c>
      <c r="T250" t="s">
        <v>1727</v>
      </c>
    </row>
    <row r="251" spans="1:20" hidden="1">
      <c r="A251" s="1" t="s">
        <v>1687</v>
      </c>
      <c r="B251" s="1" t="s">
        <v>1688</v>
      </c>
      <c r="C251">
        <v>2005</v>
      </c>
      <c r="D251" t="s">
        <v>44</v>
      </c>
      <c r="E251" s="40">
        <v>45898</v>
      </c>
      <c r="F251" s="40" t="s">
        <v>1689</v>
      </c>
      <c r="G251" s="40" t="s">
        <v>1451</v>
      </c>
      <c r="H251">
        <v>1951</v>
      </c>
      <c r="I251">
        <v>1998</v>
      </c>
      <c r="J251">
        <f t="shared" si="25"/>
        <v>48</v>
      </c>
      <c r="K251" t="s">
        <v>145</v>
      </c>
      <c r="L251" t="s">
        <v>1465</v>
      </c>
      <c r="M251" t="s">
        <v>788</v>
      </c>
      <c r="N251" t="s">
        <v>1704</v>
      </c>
      <c r="O251" t="s">
        <v>1720</v>
      </c>
      <c r="P251" t="s">
        <v>1726</v>
      </c>
      <c r="Q251" t="s">
        <v>1467</v>
      </c>
      <c r="R251" t="s">
        <v>694</v>
      </c>
      <c r="S251" t="s">
        <v>69</v>
      </c>
      <c r="T251" t="s">
        <v>1727</v>
      </c>
    </row>
    <row r="252" spans="1:20" hidden="1">
      <c r="A252" s="1" t="s">
        <v>1687</v>
      </c>
      <c r="B252" s="1" t="s">
        <v>1688</v>
      </c>
      <c r="C252">
        <v>2005</v>
      </c>
      <c r="D252" t="s">
        <v>44</v>
      </c>
      <c r="E252" s="40">
        <v>45898</v>
      </c>
      <c r="F252" s="40" t="s">
        <v>1689</v>
      </c>
      <c r="G252" s="40" t="s">
        <v>1451</v>
      </c>
      <c r="H252">
        <v>1951</v>
      </c>
      <c r="I252">
        <v>1998</v>
      </c>
      <c r="J252">
        <f t="shared" si="25"/>
        <v>48</v>
      </c>
      <c r="K252" t="s">
        <v>145</v>
      </c>
      <c r="L252" t="s">
        <v>1465</v>
      </c>
      <c r="M252" t="s">
        <v>788</v>
      </c>
      <c r="N252" t="s">
        <v>355</v>
      </c>
      <c r="O252" t="s">
        <v>1722</v>
      </c>
      <c r="P252" t="s">
        <v>1726</v>
      </c>
      <c r="Q252" t="s">
        <v>1723</v>
      </c>
      <c r="R252" t="s">
        <v>1642</v>
      </c>
      <c r="S252" t="s">
        <v>69</v>
      </c>
      <c r="T252" t="s">
        <v>1727</v>
      </c>
    </row>
    <row r="253" spans="1:20" hidden="1">
      <c r="A253" s="1" t="s">
        <v>1687</v>
      </c>
      <c r="B253" s="1" t="s">
        <v>1688</v>
      </c>
      <c r="C253">
        <v>2005</v>
      </c>
      <c r="D253" t="s">
        <v>44</v>
      </c>
      <c r="E253" s="40">
        <v>45898</v>
      </c>
      <c r="F253" s="40" t="s">
        <v>1689</v>
      </c>
      <c r="G253" s="40" t="s">
        <v>1451</v>
      </c>
      <c r="H253">
        <v>1951</v>
      </c>
      <c r="I253">
        <v>1998</v>
      </c>
      <c r="J253">
        <f t="shared" si="25"/>
        <v>48</v>
      </c>
      <c r="K253" t="s">
        <v>145</v>
      </c>
      <c r="L253" t="s">
        <v>1465</v>
      </c>
      <c r="M253" t="s">
        <v>788</v>
      </c>
      <c r="N253" t="s">
        <v>366</v>
      </c>
      <c r="O253" t="s">
        <v>1718</v>
      </c>
      <c r="P253" t="s">
        <v>1726</v>
      </c>
      <c r="Q253" t="s">
        <v>1723</v>
      </c>
      <c r="R253" t="s">
        <v>1642</v>
      </c>
      <c r="S253" t="s">
        <v>69</v>
      </c>
      <c r="T253" t="s">
        <v>1727</v>
      </c>
    </row>
    <row r="262" spans="1:14">
      <c r="A262" t="s">
        <v>1556</v>
      </c>
      <c r="M262" t="s">
        <v>1596</v>
      </c>
      <c r="N262" t="s">
        <v>1597</v>
      </c>
    </row>
    <row r="263" spans="1:14">
      <c r="A263" t="s">
        <v>1555</v>
      </c>
      <c r="B263" t="s">
        <v>1663</v>
      </c>
      <c r="M263" t="s">
        <v>1550</v>
      </c>
      <c r="N263" t="s">
        <v>1551</v>
      </c>
    </row>
    <row r="264" spans="1:14">
      <c r="M264" t="s">
        <v>1547</v>
      </c>
    </row>
    <row r="266" spans="1:14">
      <c r="A266" t="s">
        <v>1546</v>
      </c>
      <c r="M266" t="s">
        <v>1548</v>
      </c>
      <c r="N266" t="s">
        <v>1549</v>
      </c>
    </row>
    <row r="267" spans="1:14">
      <c r="A267" t="s">
        <v>1545</v>
      </c>
      <c r="M267" t="s">
        <v>1675</v>
      </c>
      <c r="N267" t="s">
        <v>1421</v>
      </c>
    </row>
    <row r="268" spans="1:14">
      <c r="A268" t="s">
        <v>1493</v>
      </c>
      <c r="B268" s="3"/>
      <c r="C268" s="3"/>
      <c r="D268" s="3"/>
      <c r="F268" s="3"/>
      <c r="G268" s="3"/>
      <c r="H268" s="3"/>
      <c r="I268" s="3"/>
      <c r="J268" s="3"/>
      <c r="K268" s="3"/>
      <c r="L268" s="3"/>
      <c r="M268" s="3"/>
      <c r="N268" s="3"/>
    </row>
    <row r="269" spans="1:14">
      <c r="A269" s="3"/>
      <c r="B269" s="3"/>
      <c r="C269" s="3"/>
      <c r="D269" s="3"/>
      <c r="E269" s="3"/>
      <c r="F269" s="3"/>
      <c r="G269" s="3"/>
      <c r="H269" s="3"/>
      <c r="I269" s="3"/>
      <c r="J269" s="3"/>
      <c r="K269" s="3"/>
      <c r="L269" s="3"/>
      <c r="M269" s="3"/>
      <c r="N269" s="3"/>
    </row>
    <row r="270" spans="1:14">
      <c r="A270" s="3" t="s">
        <v>1440</v>
      </c>
      <c r="B270" s="3"/>
      <c r="C270" s="3"/>
      <c r="D270" s="3"/>
      <c r="E270" s="3"/>
      <c r="F270" s="3"/>
      <c r="G270" s="3"/>
      <c r="H270" s="3"/>
      <c r="I270" s="3"/>
      <c r="J270" s="3"/>
      <c r="K270" s="3"/>
      <c r="L270" s="3"/>
      <c r="M270" s="3"/>
      <c r="N270" s="3"/>
    </row>
    <row r="271" spans="1:14">
      <c r="A271" s="3"/>
      <c r="B271" s="3"/>
      <c r="C271" s="3"/>
      <c r="D271" s="3"/>
      <c r="E271" s="3"/>
      <c r="F271" s="3"/>
      <c r="G271" s="3"/>
      <c r="H271" s="3"/>
      <c r="I271" s="3"/>
      <c r="J271" s="3"/>
      <c r="K271" s="3"/>
      <c r="L271" s="3"/>
      <c r="M271" s="3"/>
      <c r="N271" s="3"/>
    </row>
    <row r="272" spans="1:14">
      <c r="A272" s="3" t="s">
        <v>1557</v>
      </c>
      <c r="B272" s="3"/>
      <c r="C272" s="3"/>
      <c r="D272" s="3"/>
      <c r="E272" s="3"/>
      <c r="F272" s="3"/>
      <c r="G272" s="3"/>
      <c r="H272" s="3"/>
      <c r="I272" s="3"/>
      <c r="J272" s="3"/>
      <c r="K272" s="3"/>
      <c r="L272" s="3"/>
      <c r="M272" s="3"/>
      <c r="N272" s="3"/>
    </row>
    <row r="274" spans="1:45">
      <c r="A274" s="3" t="s">
        <v>1552</v>
      </c>
      <c r="B274" s="3"/>
      <c r="C274" s="3"/>
      <c r="D274" s="3"/>
      <c r="E274" s="3"/>
      <c r="F274" s="3"/>
      <c r="G274" s="3"/>
      <c r="H274" s="3"/>
      <c r="I274" s="3"/>
      <c r="J274" s="3"/>
      <c r="K274" s="3"/>
      <c r="L274" s="3"/>
      <c r="M274" s="3"/>
      <c r="N274" s="3"/>
      <c r="O274" s="3"/>
      <c r="P274" s="3"/>
      <c r="Q274" s="3"/>
      <c r="R274" s="3"/>
      <c r="S274" s="3"/>
    </row>
    <row r="275" spans="1:45">
      <c r="A275" s="3" t="s">
        <v>1553</v>
      </c>
      <c r="B275" s="3"/>
      <c r="C275" s="3"/>
      <c r="D275" s="3"/>
      <c r="E275" s="3"/>
      <c r="F275" s="3"/>
      <c r="G275" s="3"/>
      <c r="H275" s="3"/>
      <c r="I275" s="3"/>
      <c r="J275" s="3"/>
      <c r="K275" s="3"/>
      <c r="L275" s="3"/>
      <c r="M275" s="3"/>
      <c r="N275" s="3"/>
      <c r="O275" s="3"/>
      <c r="P275" s="3"/>
      <c r="Q275" s="3"/>
      <c r="R275" s="3"/>
      <c r="S275" s="3"/>
    </row>
    <row r="276" spans="1:45">
      <c r="A276" s="3" t="s">
        <v>1554</v>
      </c>
      <c r="B276" s="3"/>
      <c r="C276" s="3"/>
      <c r="D276" s="3"/>
      <c r="E276" s="3"/>
      <c r="F276" s="3"/>
      <c r="G276" s="3"/>
      <c r="H276" s="3"/>
      <c r="I276" s="3"/>
      <c r="J276" s="3"/>
      <c r="K276" s="3"/>
      <c r="L276" s="3"/>
      <c r="M276" s="3"/>
      <c r="N276" s="3"/>
      <c r="O276" s="3"/>
      <c r="P276" s="3"/>
      <c r="Q276" s="3"/>
      <c r="R276" s="3"/>
      <c r="S276" s="3"/>
    </row>
    <row r="277" spans="1:45">
      <c r="A277" s="3"/>
      <c r="B277" s="3"/>
      <c r="C277" s="3"/>
      <c r="D277" s="3"/>
      <c r="E277" s="3"/>
      <c r="F277" s="3"/>
      <c r="G277" s="3"/>
      <c r="H277" s="3"/>
      <c r="I277" s="3"/>
      <c r="J277" s="3"/>
      <c r="K277" s="3"/>
      <c r="L277" s="3"/>
      <c r="M277" s="3"/>
      <c r="N277" s="3"/>
      <c r="O277" s="3"/>
      <c r="P277" s="3"/>
      <c r="Q277" s="3"/>
      <c r="R277" s="3"/>
      <c r="S277" s="3"/>
    </row>
    <row r="278" spans="1:45">
      <c r="A278" s="3" t="s">
        <v>1558</v>
      </c>
      <c r="B278" s="3"/>
      <c r="C278" s="3"/>
      <c r="D278" s="3"/>
      <c r="E278" s="3"/>
      <c r="F278" s="3"/>
      <c r="G278" s="3"/>
      <c r="H278" s="3"/>
      <c r="I278" s="3"/>
      <c r="J278" s="3"/>
      <c r="K278" s="3"/>
      <c r="L278" s="3"/>
      <c r="M278" s="3"/>
      <c r="N278" s="3"/>
      <c r="O278" s="3"/>
      <c r="P278" s="3"/>
      <c r="Q278" s="3"/>
      <c r="R278" s="3"/>
      <c r="S278" s="3"/>
    </row>
    <row r="279" spans="1:45">
      <c r="A279" s="3" t="s">
        <v>1559</v>
      </c>
      <c r="B279" s="3"/>
      <c r="C279" s="3"/>
      <c r="D279" s="3"/>
      <c r="E279" s="3"/>
      <c r="F279" s="3"/>
      <c r="G279" s="3"/>
      <c r="H279" s="3"/>
      <c r="I279" s="3"/>
      <c r="J279" s="3"/>
      <c r="K279" s="3"/>
      <c r="L279" s="3"/>
      <c r="M279" s="3"/>
      <c r="N279" s="3"/>
      <c r="O279" s="3"/>
      <c r="P279" s="3"/>
      <c r="Q279" s="3"/>
      <c r="R279" s="3"/>
      <c r="S279" s="3"/>
    </row>
    <row r="280" spans="1:45">
      <c r="A280" s="3"/>
      <c r="B280" s="3"/>
      <c r="C280" s="3"/>
      <c r="D280" s="3"/>
      <c r="E280" s="3"/>
      <c r="F280" s="3"/>
      <c r="G280" s="3"/>
      <c r="H280" s="3"/>
      <c r="I280" s="3"/>
      <c r="J280" s="3"/>
      <c r="K280" s="3"/>
      <c r="L280" s="3"/>
      <c r="M280" s="3"/>
      <c r="N280" s="3"/>
      <c r="O280" s="3"/>
      <c r="P280" s="3"/>
      <c r="Q280" s="3"/>
      <c r="R280" s="3"/>
      <c r="S280" s="3"/>
    </row>
    <row r="281" spans="1:45">
      <c r="E281" s="3"/>
    </row>
    <row r="282" spans="1:45" s="1" customFormat="1">
      <c r="A282" s="1" t="s">
        <v>717</v>
      </c>
      <c r="B282" s="1" t="s">
        <v>718</v>
      </c>
      <c r="E282"/>
      <c r="R282" s="1" t="s">
        <v>137</v>
      </c>
      <c r="T282" s="1">
        <v>2020</v>
      </c>
      <c r="U282" s="1" t="s">
        <v>724</v>
      </c>
      <c r="V282" s="1" t="s">
        <v>723</v>
      </c>
      <c r="W282" s="1">
        <v>-68.44</v>
      </c>
      <c r="X282" s="1">
        <v>160.22999999999999</v>
      </c>
      <c r="Y282" s="1">
        <v>1998</v>
      </c>
      <c r="Z282" s="1">
        <v>2017</v>
      </c>
      <c r="AA282" s="1">
        <v>20</v>
      </c>
      <c r="AB282" s="1" t="s">
        <v>30</v>
      </c>
      <c r="AC282" s="2" t="s">
        <v>1014</v>
      </c>
      <c r="AD282" s="2" t="s">
        <v>719</v>
      </c>
      <c r="AE282" s="1" t="s">
        <v>199</v>
      </c>
      <c r="AF282" s="1" t="s">
        <v>29</v>
      </c>
      <c r="AG282" s="1" t="s">
        <v>72</v>
      </c>
      <c r="AH282" s="1" t="s">
        <v>40</v>
      </c>
      <c r="AI282" s="1" t="s">
        <v>40</v>
      </c>
      <c r="AJ282" s="1" t="s">
        <v>40</v>
      </c>
      <c r="AL282" s="1" t="s">
        <v>716</v>
      </c>
      <c r="AM282" s="1" t="s">
        <v>728</v>
      </c>
      <c r="AN282" s="1" t="s">
        <v>726</v>
      </c>
      <c r="AP282" s="1" t="s">
        <v>727</v>
      </c>
      <c r="AQ282" s="1" t="s">
        <v>130</v>
      </c>
      <c r="AR282" s="1" t="s">
        <v>725</v>
      </c>
      <c r="AS282" s="1" t="s">
        <v>729</v>
      </c>
    </row>
    <row r="283" spans="1:45" s="1" customFormat="1">
      <c r="A283" s="1" t="s">
        <v>717</v>
      </c>
      <c r="B283" s="1" t="s">
        <v>718</v>
      </c>
      <c r="R283" s="1" t="s">
        <v>137</v>
      </c>
      <c r="T283" s="1">
        <v>2020</v>
      </c>
      <c r="U283" s="1" t="s">
        <v>724</v>
      </c>
      <c r="V283" s="1" t="s">
        <v>723</v>
      </c>
      <c r="W283" s="1">
        <v>-68.44</v>
      </c>
      <c r="X283" s="1">
        <v>160.22999999999999</v>
      </c>
      <c r="Y283" s="1">
        <v>1998</v>
      </c>
      <c r="Z283" s="1">
        <v>2017</v>
      </c>
      <c r="AA283" s="1">
        <v>20</v>
      </c>
      <c r="AB283" s="1" t="s">
        <v>30</v>
      </c>
      <c r="AC283" s="1" t="s">
        <v>1017</v>
      </c>
      <c r="AD283" s="1" t="s">
        <v>720</v>
      </c>
      <c r="AE283" s="1" t="s">
        <v>199</v>
      </c>
      <c r="AF283" s="1" t="s">
        <v>29</v>
      </c>
      <c r="AG283" s="1" t="s">
        <v>72</v>
      </c>
      <c r="AH283" s="1" t="s">
        <v>40</v>
      </c>
      <c r="AI283" s="1" t="s">
        <v>40</v>
      </c>
      <c r="AJ283" s="1" t="s">
        <v>40</v>
      </c>
      <c r="AL283" s="1" t="s">
        <v>715</v>
      </c>
      <c r="AM283" s="1" t="s">
        <v>728</v>
      </c>
      <c r="AN283" s="1" t="s">
        <v>726</v>
      </c>
      <c r="AP283" s="1" t="s">
        <v>727</v>
      </c>
      <c r="AQ283" s="1" t="s">
        <v>130</v>
      </c>
      <c r="AR283" s="1" t="s">
        <v>725</v>
      </c>
      <c r="AS283" s="1" t="s">
        <v>729</v>
      </c>
    </row>
    <row r="284" spans="1:45" s="1" customFormat="1">
      <c r="A284" s="1" t="s">
        <v>717</v>
      </c>
      <c r="B284" s="1" t="s">
        <v>718</v>
      </c>
      <c r="R284" s="1" t="s">
        <v>137</v>
      </c>
      <c r="T284" s="1">
        <v>2020</v>
      </c>
      <c r="U284" s="1" t="s">
        <v>724</v>
      </c>
      <c r="V284" s="1" t="s">
        <v>723</v>
      </c>
      <c r="W284" s="1">
        <v>-68.44</v>
      </c>
      <c r="X284" s="1">
        <v>160.22999999999999</v>
      </c>
      <c r="Y284" s="1">
        <v>1998</v>
      </c>
      <c r="Z284" s="1">
        <v>2017</v>
      </c>
      <c r="AA284" s="1">
        <v>20</v>
      </c>
      <c r="AB284" s="1" t="s">
        <v>30</v>
      </c>
      <c r="AC284" s="1" t="s">
        <v>654</v>
      </c>
      <c r="AD284" s="1" t="s">
        <v>721</v>
      </c>
      <c r="AE284" s="1" t="s">
        <v>199</v>
      </c>
      <c r="AF284" s="1" t="s">
        <v>29</v>
      </c>
      <c r="AG284" s="1" t="s">
        <v>72</v>
      </c>
      <c r="AH284" s="1" t="s">
        <v>40</v>
      </c>
      <c r="AI284" s="1" t="s">
        <v>40</v>
      </c>
      <c r="AJ284" s="1" t="s">
        <v>40</v>
      </c>
      <c r="AL284" s="1" t="s">
        <v>716</v>
      </c>
      <c r="AM284" s="1" t="s">
        <v>728</v>
      </c>
      <c r="AN284" s="1" t="s">
        <v>726</v>
      </c>
      <c r="AP284" s="1" t="s">
        <v>727</v>
      </c>
      <c r="AQ284" s="1" t="s">
        <v>130</v>
      </c>
      <c r="AR284" s="1" t="s">
        <v>725</v>
      </c>
      <c r="AS284" s="1" t="s">
        <v>729</v>
      </c>
    </row>
    <row r="285" spans="1:45" s="1" customFormat="1">
      <c r="A285" s="1" t="s">
        <v>717</v>
      </c>
      <c r="B285" s="1" t="s">
        <v>718</v>
      </c>
      <c r="R285" s="1" t="s">
        <v>137</v>
      </c>
      <c r="T285" s="1">
        <v>2020</v>
      </c>
      <c r="U285" s="1" t="s">
        <v>724</v>
      </c>
      <c r="V285" s="1" t="s">
        <v>723</v>
      </c>
      <c r="W285" s="1">
        <v>-68.44</v>
      </c>
      <c r="X285" s="1">
        <v>160.22999999999999</v>
      </c>
      <c r="Y285" s="1">
        <v>1998</v>
      </c>
      <c r="Z285" s="1">
        <v>2017</v>
      </c>
      <c r="AA285" s="1">
        <v>20</v>
      </c>
      <c r="AB285" s="1" t="s">
        <v>30</v>
      </c>
      <c r="AC285" s="1" t="s">
        <v>1016</v>
      </c>
      <c r="AD285" s="1" t="s">
        <v>722</v>
      </c>
      <c r="AE285" s="1" t="s">
        <v>199</v>
      </c>
      <c r="AF285" s="1" t="s">
        <v>29</v>
      </c>
      <c r="AG285" s="1" t="s">
        <v>72</v>
      </c>
      <c r="AH285" s="1" t="s">
        <v>40</v>
      </c>
      <c r="AI285" s="1" t="s">
        <v>40</v>
      </c>
      <c r="AJ285" s="1" t="s">
        <v>40</v>
      </c>
      <c r="AL285" s="1" t="s">
        <v>716</v>
      </c>
      <c r="AM285" s="1" t="s">
        <v>728</v>
      </c>
      <c r="AN285" s="1" t="s">
        <v>726</v>
      </c>
      <c r="AP285" s="1" t="s">
        <v>727</v>
      </c>
      <c r="AQ285" s="1" t="s">
        <v>130</v>
      </c>
      <c r="AR285" s="1" t="s">
        <v>725</v>
      </c>
      <c r="AS285" s="1" t="s">
        <v>729</v>
      </c>
    </row>
    <row r="286" spans="1:45" s="1" customFormat="1">
      <c r="A286" s="1" t="s">
        <v>717</v>
      </c>
      <c r="B286" s="1" t="s">
        <v>718</v>
      </c>
      <c r="R286" s="1" t="s">
        <v>137</v>
      </c>
      <c r="T286" s="1">
        <v>2020</v>
      </c>
      <c r="U286" s="1" t="s">
        <v>724</v>
      </c>
      <c r="V286" s="1" t="s">
        <v>723</v>
      </c>
      <c r="W286" s="1">
        <v>-68.44</v>
      </c>
      <c r="X286" s="1">
        <v>160.22999999999999</v>
      </c>
      <c r="Y286" s="1">
        <v>1998</v>
      </c>
      <c r="Z286" s="1">
        <v>2017</v>
      </c>
      <c r="AA286" s="1">
        <v>20</v>
      </c>
      <c r="AB286" s="1" t="s">
        <v>30</v>
      </c>
      <c r="AC286" s="1" t="s">
        <v>1015</v>
      </c>
      <c r="AD286" s="1" t="s">
        <v>115</v>
      </c>
      <c r="AE286" s="1" t="s">
        <v>199</v>
      </c>
      <c r="AF286" s="1" t="s">
        <v>29</v>
      </c>
      <c r="AG286" s="1" t="s">
        <v>72</v>
      </c>
      <c r="AH286" s="1" t="s">
        <v>40</v>
      </c>
      <c r="AI286" s="1" t="s">
        <v>40</v>
      </c>
      <c r="AJ286" s="1" t="s">
        <v>40</v>
      </c>
      <c r="AL286" s="1" t="s">
        <v>716</v>
      </c>
      <c r="AM286" s="1" t="s">
        <v>728</v>
      </c>
      <c r="AN286" s="1" t="s">
        <v>726</v>
      </c>
      <c r="AP286" s="1" t="s">
        <v>727</v>
      </c>
      <c r="AQ286" s="1" t="s">
        <v>130</v>
      </c>
      <c r="AR286" s="1" t="s">
        <v>725</v>
      </c>
      <c r="AS286" s="1" t="s">
        <v>729</v>
      </c>
    </row>
    <row r="287" spans="1:45" s="1" customFormat="1">
      <c r="A287" s="1" t="s">
        <v>717</v>
      </c>
      <c r="B287" s="1" t="s">
        <v>718</v>
      </c>
      <c r="R287" s="1" t="s">
        <v>137</v>
      </c>
      <c r="T287" s="1">
        <v>2020</v>
      </c>
      <c r="U287" s="1" t="s">
        <v>724</v>
      </c>
      <c r="V287" s="1" t="s">
        <v>723</v>
      </c>
      <c r="W287" s="1">
        <v>-68.44</v>
      </c>
      <c r="X287" s="1">
        <v>160.22999999999999</v>
      </c>
      <c r="Y287" s="1">
        <v>1998</v>
      </c>
      <c r="Z287" s="1">
        <v>2017</v>
      </c>
      <c r="AA287" s="1">
        <v>20</v>
      </c>
      <c r="AB287" s="1" t="s">
        <v>30</v>
      </c>
      <c r="AC287" s="1" t="s">
        <v>216</v>
      </c>
      <c r="AD287" s="1" t="s">
        <v>216</v>
      </c>
      <c r="AE287" s="1" t="s">
        <v>199</v>
      </c>
      <c r="AF287" s="1" t="s">
        <v>29</v>
      </c>
      <c r="AG287" s="1" t="s">
        <v>72</v>
      </c>
      <c r="AH287" s="1" t="s">
        <v>40</v>
      </c>
      <c r="AI287" s="1" t="s">
        <v>40</v>
      </c>
      <c r="AJ287" s="1" t="s">
        <v>40</v>
      </c>
      <c r="AL287" s="1" t="s">
        <v>714</v>
      </c>
      <c r="AM287" s="1" t="s">
        <v>728</v>
      </c>
      <c r="AN287" s="1" t="s">
        <v>726</v>
      </c>
      <c r="AP287" s="1" t="s">
        <v>727</v>
      </c>
      <c r="AQ287" s="1" t="s">
        <v>130</v>
      </c>
      <c r="AR287" s="1" t="s">
        <v>725</v>
      </c>
      <c r="AS287" s="1" t="s">
        <v>729</v>
      </c>
    </row>
    <row r="291" spans="1:1">
      <c r="A291" s="38" t="s">
        <v>1040</v>
      </c>
    </row>
    <row r="292" spans="1:1">
      <c r="A292" s="38" t="s">
        <v>1043</v>
      </c>
    </row>
    <row r="293" spans="1:1">
      <c r="A293" s="38" t="s">
        <v>1309</v>
      </c>
    </row>
    <row r="294" spans="1:1">
      <c r="A294" s="43" t="s">
        <v>1310</v>
      </c>
    </row>
    <row r="295" spans="1:1">
      <c r="A295" s="43" t="s">
        <v>1311</v>
      </c>
    </row>
    <row r="296" spans="1:1" ht="20">
      <c r="A296" s="44" t="s">
        <v>1312</v>
      </c>
    </row>
    <row r="297" spans="1:1" ht="20">
      <c r="A297" s="44" t="s">
        <v>1313</v>
      </c>
    </row>
    <row r="298" spans="1:1" ht="20">
      <c r="A298" s="44" t="s">
        <v>1314</v>
      </c>
    </row>
    <row r="299" spans="1:1" ht="20">
      <c r="A299" s="44" t="s">
        <v>1315</v>
      </c>
    </row>
    <row r="300" spans="1:1">
      <c r="A300" t="s">
        <v>746</v>
      </c>
    </row>
    <row r="301" spans="1:1">
      <c r="A301" s="38" t="s">
        <v>747</v>
      </c>
    </row>
    <row r="302" spans="1:1">
      <c r="A302" t="s">
        <v>965</v>
      </c>
    </row>
    <row r="303" spans="1:1">
      <c r="A303" t="s">
        <v>1046</v>
      </c>
    </row>
    <row r="304" spans="1:1">
      <c r="A304" t="s">
        <v>1079</v>
      </c>
    </row>
    <row r="305" spans="1:45">
      <c r="A305" t="s">
        <v>1128</v>
      </c>
    </row>
    <row r="306" spans="1:45">
      <c r="A306" t="s">
        <v>1129</v>
      </c>
    </row>
    <row r="309" spans="1:45" s="1" customFormat="1">
      <c r="A309" s="1" t="s">
        <v>175</v>
      </c>
      <c r="B309" s="38" t="s">
        <v>176</v>
      </c>
      <c r="C309" s="38"/>
      <c r="D309" s="38"/>
      <c r="E309"/>
      <c r="F309" s="38"/>
      <c r="G309" s="38"/>
      <c r="H309" s="38"/>
      <c r="I309" s="38"/>
      <c r="J309" s="38"/>
      <c r="K309" s="38"/>
      <c r="L309" s="38"/>
      <c r="M309" s="38"/>
      <c r="R309" s="1" t="s">
        <v>74</v>
      </c>
      <c r="T309" s="1">
        <v>2022</v>
      </c>
      <c r="U309" s="1" t="s">
        <v>177</v>
      </c>
      <c r="V309" s="1" t="s">
        <v>147</v>
      </c>
      <c r="W309" s="1">
        <v>74.989999999999995</v>
      </c>
      <c r="X309" s="1">
        <v>37.11</v>
      </c>
      <c r="Y309" s="1">
        <v>1979</v>
      </c>
      <c r="Z309" s="1">
        <v>2020</v>
      </c>
      <c r="AA309" s="1">
        <f t="shared" ref="AA309" si="26">Z309-Y309+1</f>
        <v>42</v>
      </c>
      <c r="AB309" s="1" t="s">
        <v>30</v>
      </c>
      <c r="AC309" s="2" t="s">
        <v>178</v>
      </c>
      <c r="AD309" s="2" t="s">
        <v>40</v>
      </c>
      <c r="AE309" s="1" t="s">
        <v>911</v>
      </c>
      <c r="AF309" s="1" t="s">
        <v>143</v>
      </c>
      <c r="AG309" s="1" t="s">
        <v>72</v>
      </c>
      <c r="AH309" s="1" t="s">
        <v>40</v>
      </c>
      <c r="AI309" s="1" t="s">
        <v>40</v>
      </c>
      <c r="AJ309" s="1" t="s">
        <v>40</v>
      </c>
      <c r="AL309" s="1" t="s">
        <v>40</v>
      </c>
      <c r="AM309" s="1" t="s">
        <v>694</v>
      </c>
      <c r="AN309" s="1" t="s">
        <v>40</v>
      </c>
      <c r="AO309" s="1" t="s">
        <v>179</v>
      </c>
      <c r="AP309" s="1" t="s">
        <v>180</v>
      </c>
      <c r="AQ309" s="1" t="s">
        <v>44</v>
      </c>
      <c r="AR309" s="1" t="s">
        <v>40</v>
      </c>
      <c r="AS309" s="1" t="s">
        <v>40</v>
      </c>
    </row>
    <row r="310" spans="1:45">
      <c r="E310" s="38"/>
    </row>
    <row r="312" spans="1:45">
      <c r="A312" t="s">
        <v>1424</v>
      </c>
    </row>
    <row r="313" spans="1:45">
      <c r="A313" t="s">
        <v>1425</v>
      </c>
    </row>
    <row r="314" spans="1:45">
      <c r="A314" t="s">
        <v>1426</v>
      </c>
    </row>
    <row r="315" spans="1:45">
      <c r="A315" t="s">
        <v>1428</v>
      </c>
    </row>
    <row r="316" spans="1:45">
      <c r="A316" t="s">
        <v>1429</v>
      </c>
    </row>
    <row r="321" spans="1:1">
      <c r="A321" s="38" t="s">
        <v>1434</v>
      </c>
    </row>
    <row r="323" spans="1:1">
      <c r="A323" t="s">
        <v>1432</v>
      </c>
    </row>
    <row r="324" spans="1:1">
      <c r="A324" t="s">
        <v>1433</v>
      </c>
    </row>
    <row r="334" spans="1:1">
      <c r="A334" t="s">
        <v>1435</v>
      </c>
    </row>
  </sheetData>
  <autoFilter ref="A1:AS253" xr:uid="{E6C642A1-F8BE-4B27-BFC3-263A02801675}">
    <filterColumn colId="0">
      <filters>
        <filter val="Hsieh, C. et al. (2009). Climate-driven changes in abundance and distribution of larvae of oceanic fishes in the southern Californian region. Global Change Biology 15: 2137-2152"/>
      </filters>
    </filterColumn>
    <filterColumn colId="3">
      <filters>
        <filter val="No"/>
      </filters>
    </filterColumn>
  </autoFilter>
  <phoneticPr fontId="5" type="noConversion"/>
  <hyperlinks>
    <hyperlink ref="A291" r:id="rId1" xr:uid="{7304BCE2-6B52-422A-9E84-CE2C571D3838}"/>
    <hyperlink ref="A292" r:id="rId2" xr:uid="{85F6DE5F-B044-4893-8793-B32E7B33977F}"/>
    <hyperlink ref="A293" r:id="rId3" xr:uid="{944B97CE-6834-4CFF-8469-F47F4DC31F21}"/>
    <hyperlink ref="A301" r:id="rId4" xr:uid="{0AF65F24-7AE3-4135-9A64-3A14B00A1C3C}"/>
    <hyperlink ref="B309" r:id="rId5" xr:uid="{C739BE60-7B45-4163-9A83-C7CD29477C80}"/>
    <hyperlink ref="A321" r:id="rId6" xr:uid="{1CDC7E76-903E-4CF8-B15B-4E6BEDEA191D}"/>
    <hyperlink ref="B20" r:id="rId7" xr:uid="{E0E2EC5E-E633-437F-B18A-5EC55CF6E47F}"/>
    <hyperlink ref="B21" r:id="rId8" xr:uid="{A6F8AEAE-1A0E-41B0-9924-3AA79A248479}"/>
    <hyperlink ref="B77" r:id="rId9" xr:uid="{0D39A9B3-F372-4769-BD85-5B423F734F9E}"/>
    <hyperlink ref="B5" r:id="rId10" xr:uid="{BF329A72-1A2A-4A00-A423-625517935709}"/>
    <hyperlink ref="B168" r:id="rId11" xr:uid="{19691EBD-A3BD-494D-B0A6-A202CDCD7AED}"/>
    <hyperlink ref="B169" r:id="rId12" xr:uid="{A885FC55-E4A8-43E5-A510-ED07CA6A850E}"/>
    <hyperlink ref="B170" r:id="rId13" xr:uid="{F9D4157C-A206-497B-9EFF-925A119DD2CE}"/>
    <hyperlink ref="B171" r:id="rId14" xr:uid="{92BF2E29-5F0F-435E-9713-E343977AAB8E}"/>
    <hyperlink ref="B174" r:id="rId15" xr:uid="{F2506D1E-6CAC-4701-BD19-F2B1C08A2825}"/>
    <hyperlink ref="B172" r:id="rId16" xr:uid="{283B7A4A-E50C-4E11-8ECF-3DB3F623D127}"/>
    <hyperlink ref="B173" r:id="rId17" xr:uid="{C1C6F529-C2F3-418A-9680-14E2A20D8249}"/>
    <hyperlink ref="B175" r:id="rId18" display="https://doi.org/10.1098/rspb.2009.1320" xr:uid="{08E4989D-0454-4DCF-A904-18292A389EC3}"/>
    <hyperlink ref="B176" r:id="rId19" display="https://doi.org/10.1098/rspb.2009.1320" xr:uid="{FD98E367-09C6-43FC-8B36-F18CCBB69F96}"/>
    <hyperlink ref="B184" r:id="rId20" xr:uid="{D8022505-18FA-433D-929D-00CB1B88AA25}"/>
    <hyperlink ref="B185" r:id="rId21" xr:uid="{65A9CB62-E967-4685-8898-2A3395289DBD}"/>
    <hyperlink ref="B186" r:id="rId22" xr:uid="{EA69A084-261A-4841-A483-4BBCE7DD0F47}"/>
    <hyperlink ref="B2" r:id="rId23" xr:uid="{AF08371D-75EB-4BEF-86E4-FADBC2C63E7B}"/>
    <hyperlink ref="B48" r:id="rId24" xr:uid="{44B52766-A4A0-4D6A-920D-724AA8EF75D0}"/>
    <hyperlink ref="B141" r:id="rId25" xr:uid="{6B0CF52A-2A46-46D3-9C6E-B9E90560681A}"/>
  </hyperlinks>
  <pageMargins left="0.7" right="0.7" top="0.75" bottom="0.75" header="0.3" footer="0.3"/>
  <legacyDrawing r:id="rId2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74C2-179D-4517-8561-1BD2DE119979}">
  <dimension ref="A1:T392"/>
  <sheetViews>
    <sheetView zoomScale="72" workbookViewId="0">
      <selection sqref="A1:A1048576"/>
    </sheetView>
  </sheetViews>
  <sheetFormatPr defaultRowHeight="14.5"/>
  <cols>
    <col min="1" max="1" width="69.26953125" customWidth="1"/>
    <col min="2" max="2" width="9" customWidth="1"/>
    <col min="5" max="5" width="11.6328125" hidden="1" customWidth="1"/>
    <col min="6" max="6" width="11.6328125" customWidth="1"/>
    <col min="7" max="8" width="14.36328125" customWidth="1"/>
    <col min="9" max="9" width="15.36328125" customWidth="1"/>
    <col min="10" max="11" width="13.26953125" customWidth="1"/>
    <col min="12" max="12" width="17.81640625" customWidth="1"/>
    <col min="16" max="16" width="8.7265625" hidden="1" customWidth="1"/>
    <col min="17" max="17" width="14.6328125" customWidth="1"/>
    <col min="18" max="19" width="11.6328125" customWidth="1"/>
  </cols>
  <sheetData>
    <row r="1" spans="1:20">
      <c r="A1" s="56" t="s">
        <v>0</v>
      </c>
      <c r="B1" s="56" t="s">
        <v>18</v>
      </c>
      <c r="C1" s="56" t="s">
        <v>75</v>
      </c>
      <c r="D1" s="56" t="s">
        <v>1</v>
      </c>
      <c r="E1" s="57" t="s">
        <v>153</v>
      </c>
      <c r="F1" s="57" t="s">
        <v>388</v>
      </c>
      <c r="G1" s="3" t="s">
        <v>150</v>
      </c>
      <c r="H1" s="3" t="s">
        <v>10</v>
      </c>
      <c r="I1" s="3" t="s">
        <v>12</v>
      </c>
      <c r="J1" s="3" t="s">
        <v>330</v>
      </c>
      <c r="K1" s="3" t="s">
        <v>3</v>
      </c>
      <c r="L1" s="3" t="s">
        <v>2</v>
      </c>
      <c r="M1" s="3" t="s">
        <v>191</v>
      </c>
      <c r="N1" s="3" t="s">
        <v>1042</v>
      </c>
      <c r="O1" s="3" t="s">
        <v>192</v>
      </c>
      <c r="P1" s="3" t="s">
        <v>193</v>
      </c>
      <c r="Q1" s="3" t="s">
        <v>195</v>
      </c>
      <c r="R1" s="3" t="s">
        <v>17</v>
      </c>
      <c r="S1" s="3" t="s">
        <v>1050</v>
      </c>
      <c r="T1" s="3" t="s">
        <v>70</v>
      </c>
    </row>
    <row r="2" spans="1:20">
      <c r="A2" t="s">
        <v>1919</v>
      </c>
      <c r="C2" s="47" t="s">
        <v>1420</v>
      </c>
      <c r="D2">
        <v>2025</v>
      </c>
      <c r="F2" s="40" t="s">
        <v>74</v>
      </c>
      <c r="G2" t="s">
        <v>152</v>
      </c>
      <c r="H2" t="s">
        <v>1177</v>
      </c>
      <c r="I2" t="s">
        <v>1909</v>
      </c>
      <c r="J2" t="s">
        <v>400</v>
      </c>
      <c r="K2" t="s">
        <v>1126</v>
      </c>
      <c r="L2" t="s">
        <v>1920</v>
      </c>
      <c r="M2">
        <v>1998</v>
      </c>
      <c r="N2">
        <v>2023</v>
      </c>
      <c r="O2">
        <f t="shared" ref="O2:O33" si="0">N2-M2+1</f>
        <v>26</v>
      </c>
      <c r="Q2" t="s">
        <v>40</v>
      </c>
      <c r="R2" t="s">
        <v>41</v>
      </c>
      <c r="S2" t="s">
        <v>1921</v>
      </c>
    </row>
    <row r="3" spans="1:20">
      <c r="A3" t="s">
        <v>1919</v>
      </c>
      <c r="C3" s="47" t="s">
        <v>1420</v>
      </c>
      <c r="D3">
        <v>2025</v>
      </c>
      <c r="F3" s="40" t="s">
        <v>74</v>
      </c>
      <c r="G3" t="s">
        <v>152</v>
      </c>
      <c r="H3" t="s">
        <v>1177</v>
      </c>
      <c r="I3" t="s">
        <v>1909</v>
      </c>
      <c r="J3" t="s">
        <v>400</v>
      </c>
      <c r="K3" t="s">
        <v>1126</v>
      </c>
      <c r="L3" t="s">
        <v>177</v>
      </c>
      <c r="M3">
        <v>1998</v>
      </c>
      <c r="N3">
        <v>2023</v>
      </c>
      <c r="O3">
        <f t="shared" si="0"/>
        <v>26</v>
      </c>
      <c r="Q3" t="s">
        <v>40</v>
      </c>
      <c r="R3" t="s">
        <v>694</v>
      </c>
      <c r="S3" t="s">
        <v>1922</v>
      </c>
    </row>
    <row r="4" spans="1:20">
      <c r="A4" t="s">
        <v>1114</v>
      </c>
      <c r="C4" t="s">
        <v>1113</v>
      </c>
      <c r="D4">
        <v>2024</v>
      </c>
      <c r="E4" s="40">
        <v>45883</v>
      </c>
      <c r="F4" s="40" t="s">
        <v>74</v>
      </c>
      <c r="G4" t="s">
        <v>199</v>
      </c>
      <c r="H4" t="s">
        <v>721</v>
      </c>
      <c r="I4" t="s">
        <v>1089</v>
      </c>
      <c r="J4" t="s">
        <v>431</v>
      </c>
      <c r="K4" t="s">
        <v>1126</v>
      </c>
      <c r="L4" t="s">
        <v>1115</v>
      </c>
      <c r="M4">
        <v>1910</v>
      </c>
      <c r="N4">
        <v>2018</v>
      </c>
      <c r="O4">
        <f t="shared" si="0"/>
        <v>109</v>
      </c>
      <c r="Q4">
        <f>(-9.69*111.32)/((2004-1950)/10)</f>
        <v>-199.75755555555551</v>
      </c>
      <c r="R4" t="s">
        <v>41</v>
      </c>
      <c r="S4" t="s">
        <v>1116</v>
      </c>
    </row>
    <row r="5" spans="1:20">
      <c r="A5" t="s">
        <v>1114</v>
      </c>
      <c r="C5" t="s">
        <v>1113</v>
      </c>
      <c r="D5">
        <v>2024</v>
      </c>
      <c r="E5" s="40">
        <v>45883</v>
      </c>
      <c r="F5" s="40" t="s">
        <v>74</v>
      </c>
      <c r="G5" t="s">
        <v>199</v>
      </c>
      <c r="H5" t="s">
        <v>721</v>
      </c>
      <c r="I5" t="s">
        <v>1090</v>
      </c>
      <c r="J5" t="s">
        <v>431</v>
      </c>
      <c r="K5" t="s">
        <v>1126</v>
      </c>
      <c r="L5" t="s">
        <v>1115</v>
      </c>
      <c r="M5">
        <v>1910</v>
      </c>
      <c r="N5">
        <v>2018</v>
      </c>
      <c r="O5">
        <f t="shared" si="0"/>
        <v>109</v>
      </c>
      <c r="Q5">
        <f>(-7.22*111.32)/((2004-1950)/10)</f>
        <v>-148.83896296296294</v>
      </c>
      <c r="R5" t="s">
        <v>41</v>
      </c>
      <c r="S5" t="s">
        <v>1116</v>
      </c>
    </row>
    <row r="6" spans="1:20">
      <c r="A6" t="s">
        <v>1114</v>
      </c>
      <c r="C6" t="s">
        <v>1113</v>
      </c>
      <c r="D6">
        <v>2024</v>
      </c>
      <c r="E6" s="40">
        <v>45883</v>
      </c>
      <c r="F6" s="40" t="s">
        <v>74</v>
      </c>
      <c r="G6" t="s">
        <v>199</v>
      </c>
      <c r="H6" t="s">
        <v>721</v>
      </c>
      <c r="I6" t="s">
        <v>1091</v>
      </c>
      <c r="J6" t="s">
        <v>431</v>
      </c>
      <c r="K6" t="s">
        <v>1126</v>
      </c>
      <c r="L6" t="s">
        <v>1115</v>
      </c>
      <c r="M6">
        <v>1910</v>
      </c>
      <c r="N6">
        <v>2018</v>
      </c>
      <c r="O6">
        <f t="shared" si="0"/>
        <v>109</v>
      </c>
      <c r="Q6">
        <f>(-3.82*111.32)/((2004-1950)/10)</f>
        <v>-78.748592592592587</v>
      </c>
      <c r="R6" t="s">
        <v>41</v>
      </c>
      <c r="S6" t="s">
        <v>1116</v>
      </c>
    </row>
    <row r="7" spans="1:20">
      <c r="A7" t="s">
        <v>1114</v>
      </c>
      <c r="C7" t="s">
        <v>1113</v>
      </c>
      <c r="D7">
        <v>2024</v>
      </c>
      <c r="E7" s="40">
        <v>45883</v>
      </c>
      <c r="F7" s="40" t="s">
        <v>74</v>
      </c>
      <c r="G7" t="s">
        <v>199</v>
      </c>
      <c r="H7" t="s">
        <v>721</v>
      </c>
      <c r="I7" t="s">
        <v>1092</v>
      </c>
      <c r="J7" t="s">
        <v>431</v>
      </c>
      <c r="K7" t="s">
        <v>1126</v>
      </c>
      <c r="L7" t="s">
        <v>1115</v>
      </c>
      <c r="M7">
        <v>1910</v>
      </c>
      <c r="N7">
        <v>2018</v>
      </c>
      <c r="O7">
        <f t="shared" si="0"/>
        <v>109</v>
      </c>
      <c r="Q7">
        <f>(-1.72*111.32)/((2004-1950)/10)</f>
        <v>-35.457481481481473</v>
      </c>
      <c r="R7" t="s">
        <v>41</v>
      </c>
      <c r="S7" t="s">
        <v>1116</v>
      </c>
    </row>
    <row r="8" spans="1:20">
      <c r="A8" t="s">
        <v>1114</v>
      </c>
      <c r="C8" t="s">
        <v>1113</v>
      </c>
      <c r="D8">
        <v>2024</v>
      </c>
      <c r="E8" s="40">
        <v>45883</v>
      </c>
      <c r="F8" s="40" t="s">
        <v>74</v>
      </c>
      <c r="G8" t="s">
        <v>199</v>
      </c>
      <c r="H8" t="s">
        <v>721</v>
      </c>
      <c r="I8" t="s">
        <v>1093</v>
      </c>
      <c r="J8" t="s">
        <v>431</v>
      </c>
      <c r="K8" t="s">
        <v>1126</v>
      </c>
      <c r="L8" t="s">
        <v>1115</v>
      </c>
      <c r="M8">
        <v>1910</v>
      </c>
      <c r="N8">
        <v>2018</v>
      </c>
      <c r="O8">
        <f t="shared" si="0"/>
        <v>109</v>
      </c>
      <c r="Q8">
        <f>(-1.29*111.32)/((2004-1950)/10)</f>
        <v>-26.59311111111111</v>
      </c>
      <c r="R8" t="s">
        <v>41</v>
      </c>
      <c r="S8" t="s">
        <v>1116</v>
      </c>
    </row>
    <row r="9" spans="1:20">
      <c r="A9" t="s">
        <v>1114</v>
      </c>
      <c r="C9" t="s">
        <v>1113</v>
      </c>
      <c r="D9">
        <v>2024</v>
      </c>
      <c r="E9" s="40">
        <v>45883</v>
      </c>
      <c r="F9" s="40" t="s">
        <v>74</v>
      </c>
      <c r="G9" t="s">
        <v>199</v>
      </c>
      <c r="H9" t="s">
        <v>721</v>
      </c>
      <c r="I9" t="s">
        <v>1094</v>
      </c>
      <c r="J9" t="s">
        <v>431</v>
      </c>
      <c r="K9" t="s">
        <v>1126</v>
      </c>
      <c r="L9" t="s">
        <v>1115</v>
      </c>
      <c r="M9">
        <v>1910</v>
      </c>
      <c r="N9">
        <v>2018</v>
      </c>
      <c r="O9">
        <f t="shared" si="0"/>
        <v>109</v>
      </c>
      <c r="Q9">
        <f>(0.06*111.32)/((2004-1950)/10)</f>
        <v>1.2368888888888887</v>
      </c>
      <c r="R9" t="s">
        <v>694</v>
      </c>
      <c r="S9" t="s">
        <v>1116</v>
      </c>
    </row>
    <row r="10" spans="1:20">
      <c r="A10" t="s">
        <v>1114</v>
      </c>
      <c r="C10" t="s">
        <v>1113</v>
      </c>
      <c r="D10">
        <v>2024</v>
      </c>
      <c r="E10" s="40">
        <v>45883</v>
      </c>
      <c r="F10" s="40" t="s">
        <v>74</v>
      </c>
      <c r="G10" t="s">
        <v>199</v>
      </c>
      <c r="H10" t="s">
        <v>721</v>
      </c>
      <c r="I10" t="s">
        <v>1095</v>
      </c>
      <c r="J10" t="s">
        <v>431</v>
      </c>
      <c r="K10" t="s">
        <v>1126</v>
      </c>
      <c r="L10" t="s">
        <v>1115</v>
      </c>
      <c r="M10">
        <v>1910</v>
      </c>
      <c r="N10">
        <v>2018</v>
      </c>
      <c r="O10">
        <f t="shared" si="0"/>
        <v>109</v>
      </c>
      <c r="Q10">
        <f>(0.98*111.32)/((2004-1950)/10)</f>
        <v>20.202518518518517</v>
      </c>
      <c r="R10" t="s">
        <v>694</v>
      </c>
      <c r="S10" t="s">
        <v>1116</v>
      </c>
    </row>
    <row r="11" spans="1:20">
      <c r="A11" t="s">
        <v>1114</v>
      </c>
      <c r="C11" t="s">
        <v>1113</v>
      </c>
      <c r="D11">
        <v>2024</v>
      </c>
      <c r="E11" s="40">
        <v>45883</v>
      </c>
      <c r="F11" s="40" t="s">
        <v>74</v>
      </c>
      <c r="G11" t="s">
        <v>199</v>
      </c>
      <c r="H11" t="s">
        <v>721</v>
      </c>
      <c r="I11" t="s">
        <v>1096</v>
      </c>
      <c r="J11" t="s">
        <v>431</v>
      </c>
      <c r="K11" t="s">
        <v>1126</v>
      </c>
      <c r="L11" t="s">
        <v>1115</v>
      </c>
      <c r="M11">
        <v>1910</v>
      </c>
      <c r="N11">
        <v>2018</v>
      </c>
      <c r="O11">
        <f t="shared" si="0"/>
        <v>109</v>
      </c>
      <c r="Q11">
        <f>(1.17*111.32)/((2004-1950)/10)</f>
        <v>24.11933333333333</v>
      </c>
      <c r="R11" t="s">
        <v>694</v>
      </c>
      <c r="S11" t="s">
        <v>1116</v>
      </c>
    </row>
    <row r="12" spans="1:20">
      <c r="A12" t="s">
        <v>1114</v>
      </c>
      <c r="C12" t="s">
        <v>1113</v>
      </c>
      <c r="D12">
        <v>2024</v>
      </c>
      <c r="E12" s="40">
        <v>45883</v>
      </c>
      <c r="F12" s="40" t="s">
        <v>74</v>
      </c>
      <c r="G12" t="s">
        <v>199</v>
      </c>
      <c r="H12" t="s">
        <v>721</v>
      </c>
      <c r="I12" t="s">
        <v>1097</v>
      </c>
      <c r="J12" t="s">
        <v>431</v>
      </c>
      <c r="K12" t="s">
        <v>1126</v>
      </c>
      <c r="L12" t="s">
        <v>1115</v>
      </c>
      <c r="M12">
        <v>1910</v>
      </c>
      <c r="N12">
        <v>2018</v>
      </c>
      <c r="O12">
        <f t="shared" si="0"/>
        <v>109</v>
      </c>
      <c r="Q12">
        <f>(1.48*111.32)/((2004-1950)/10)</f>
        <v>30.50992592592592</v>
      </c>
      <c r="R12" t="s">
        <v>694</v>
      </c>
      <c r="S12" t="s">
        <v>1116</v>
      </c>
    </row>
    <row r="13" spans="1:20">
      <c r="A13" t="s">
        <v>1114</v>
      </c>
      <c r="C13" t="s">
        <v>1113</v>
      </c>
      <c r="D13">
        <v>2024</v>
      </c>
      <c r="E13" s="40">
        <v>45883</v>
      </c>
      <c r="F13" s="40" t="s">
        <v>74</v>
      </c>
      <c r="G13" t="s">
        <v>199</v>
      </c>
      <c r="H13" t="s">
        <v>721</v>
      </c>
      <c r="I13" t="s">
        <v>1098</v>
      </c>
      <c r="J13" t="s">
        <v>431</v>
      </c>
      <c r="K13" t="s">
        <v>1126</v>
      </c>
      <c r="L13" t="s">
        <v>1115</v>
      </c>
      <c r="M13">
        <v>1910</v>
      </c>
      <c r="N13">
        <v>2018</v>
      </c>
      <c r="O13">
        <f t="shared" si="0"/>
        <v>109</v>
      </c>
      <c r="Q13">
        <f>(1.72*111.32)/((2004-1950)/10)</f>
        <v>35.457481481481473</v>
      </c>
      <c r="R13" t="s">
        <v>694</v>
      </c>
      <c r="S13" t="s">
        <v>1116</v>
      </c>
    </row>
    <row r="14" spans="1:20">
      <c r="A14" t="s">
        <v>1114</v>
      </c>
      <c r="C14" t="s">
        <v>1113</v>
      </c>
      <c r="D14">
        <v>2024</v>
      </c>
      <c r="E14" s="40">
        <v>45883</v>
      </c>
      <c r="F14" s="40" t="s">
        <v>74</v>
      </c>
      <c r="G14" t="s">
        <v>199</v>
      </c>
      <c r="H14" t="s">
        <v>721</v>
      </c>
      <c r="I14" t="s">
        <v>1099</v>
      </c>
      <c r="J14" t="s">
        <v>431</v>
      </c>
      <c r="K14" t="s">
        <v>1126</v>
      </c>
      <c r="L14" t="s">
        <v>1115</v>
      </c>
      <c r="M14">
        <v>1910</v>
      </c>
      <c r="N14">
        <v>2018</v>
      </c>
      <c r="O14">
        <f t="shared" si="0"/>
        <v>109</v>
      </c>
      <c r="Q14">
        <f>(2.9*111.32)/((2004-1950)/10)</f>
        <v>59.782962962962955</v>
      </c>
      <c r="R14" t="s">
        <v>694</v>
      </c>
      <c r="S14" t="s">
        <v>1116</v>
      </c>
    </row>
    <row r="15" spans="1:20">
      <c r="A15" t="s">
        <v>1114</v>
      </c>
      <c r="C15" t="s">
        <v>1113</v>
      </c>
      <c r="D15">
        <v>2024</v>
      </c>
      <c r="E15" s="40">
        <v>45883</v>
      </c>
      <c r="F15" s="40" t="s">
        <v>74</v>
      </c>
      <c r="G15" t="s">
        <v>199</v>
      </c>
      <c r="H15" t="s">
        <v>721</v>
      </c>
      <c r="I15" t="s">
        <v>1100</v>
      </c>
      <c r="J15" t="s">
        <v>431</v>
      </c>
      <c r="K15" t="s">
        <v>1126</v>
      </c>
      <c r="L15" t="s">
        <v>1115</v>
      </c>
      <c r="M15">
        <v>1910</v>
      </c>
      <c r="N15">
        <v>2018</v>
      </c>
      <c r="O15">
        <f t="shared" si="0"/>
        <v>109</v>
      </c>
      <c r="Q15">
        <f>(3.02*111.32)/((2004-1950)/10)</f>
        <v>62.256740740740732</v>
      </c>
      <c r="R15" t="s">
        <v>694</v>
      </c>
      <c r="S15" t="s">
        <v>1116</v>
      </c>
    </row>
    <row r="16" spans="1:20">
      <c r="A16" t="s">
        <v>1114</v>
      </c>
      <c r="C16" t="s">
        <v>1113</v>
      </c>
      <c r="D16">
        <v>2024</v>
      </c>
      <c r="E16" s="40">
        <v>45883</v>
      </c>
      <c r="F16" s="40" t="s">
        <v>74</v>
      </c>
      <c r="G16" t="s">
        <v>199</v>
      </c>
      <c r="H16" t="s">
        <v>721</v>
      </c>
      <c r="I16" t="s">
        <v>1101</v>
      </c>
      <c r="J16" t="s">
        <v>431</v>
      </c>
      <c r="K16" t="s">
        <v>1126</v>
      </c>
      <c r="L16" t="s">
        <v>1115</v>
      </c>
      <c r="M16">
        <v>1910</v>
      </c>
      <c r="N16">
        <v>2018</v>
      </c>
      <c r="O16">
        <f t="shared" si="0"/>
        <v>109</v>
      </c>
      <c r="Q16">
        <f>(3.51*111.32)/((2004-1950)/10)</f>
        <v>72.35799999999999</v>
      </c>
      <c r="R16" t="s">
        <v>694</v>
      </c>
      <c r="S16" t="s">
        <v>1116</v>
      </c>
    </row>
    <row r="17" spans="1:20">
      <c r="A17" t="s">
        <v>1114</v>
      </c>
      <c r="C17" t="s">
        <v>1113</v>
      </c>
      <c r="D17">
        <v>2024</v>
      </c>
      <c r="E17" s="40">
        <v>45883</v>
      </c>
      <c r="F17" s="40" t="s">
        <v>74</v>
      </c>
      <c r="G17" t="s">
        <v>199</v>
      </c>
      <c r="H17" t="s">
        <v>721</v>
      </c>
      <c r="I17" t="s">
        <v>1102</v>
      </c>
      <c r="J17" t="s">
        <v>431</v>
      </c>
      <c r="K17" t="s">
        <v>1126</v>
      </c>
      <c r="L17" t="s">
        <v>1115</v>
      </c>
      <c r="M17">
        <v>1910</v>
      </c>
      <c r="N17">
        <v>2018</v>
      </c>
      <c r="O17">
        <f t="shared" si="0"/>
        <v>109</v>
      </c>
      <c r="Q17">
        <f>(3.76*111.32)/((2004-1950)/10)</f>
        <v>77.511703703703688</v>
      </c>
      <c r="R17" t="s">
        <v>694</v>
      </c>
      <c r="S17" t="s">
        <v>1116</v>
      </c>
    </row>
    <row r="18" spans="1:20">
      <c r="A18" t="s">
        <v>1114</v>
      </c>
      <c r="C18" t="s">
        <v>1113</v>
      </c>
      <c r="D18">
        <v>2024</v>
      </c>
      <c r="E18" s="40">
        <v>45883</v>
      </c>
      <c r="F18" s="40" t="s">
        <v>74</v>
      </c>
      <c r="G18" t="s">
        <v>199</v>
      </c>
      <c r="H18" t="s">
        <v>721</v>
      </c>
      <c r="I18" t="s">
        <v>1103</v>
      </c>
      <c r="J18" t="s">
        <v>431</v>
      </c>
      <c r="K18" t="s">
        <v>1126</v>
      </c>
      <c r="L18" t="s">
        <v>1115</v>
      </c>
      <c r="M18">
        <v>1910</v>
      </c>
      <c r="N18">
        <v>2018</v>
      </c>
      <c r="O18">
        <f t="shared" si="0"/>
        <v>109</v>
      </c>
      <c r="Q18">
        <f>(4.01*111.32)/((2004-1950)/10)</f>
        <v>82.665407407407386</v>
      </c>
      <c r="R18" t="s">
        <v>694</v>
      </c>
      <c r="S18" t="s">
        <v>1116</v>
      </c>
    </row>
    <row r="19" spans="1:20">
      <c r="A19" t="s">
        <v>1114</v>
      </c>
      <c r="C19" t="s">
        <v>1113</v>
      </c>
      <c r="D19">
        <v>2024</v>
      </c>
      <c r="E19" s="40">
        <v>45883</v>
      </c>
      <c r="F19" s="40" t="s">
        <v>74</v>
      </c>
      <c r="G19" t="s">
        <v>199</v>
      </c>
      <c r="H19" t="s">
        <v>721</v>
      </c>
      <c r="I19" t="s">
        <v>1104</v>
      </c>
      <c r="J19" t="s">
        <v>431</v>
      </c>
      <c r="K19" t="s">
        <v>1126</v>
      </c>
      <c r="L19" t="s">
        <v>1115</v>
      </c>
      <c r="M19">
        <v>1910</v>
      </c>
      <c r="N19">
        <v>2018</v>
      </c>
      <c r="O19">
        <f t="shared" si="0"/>
        <v>109</v>
      </c>
      <c r="Q19">
        <f>(4.81*111.32)/((2004-1950)/10)</f>
        <v>99.157259259259234</v>
      </c>
      <c r="R19" t="s">
        <v>694</v>
      </c>
      <c r="S19" t="s">
        <v>1116</v>
      </c>
    </row>
    <row r="20" spans="1:20">
      <c r="A20" t="s">
        <v>1114</v>
      </c>
      <c r="C20" t="s">
        <v>1113</v>
      </c>
      <c r="D20">
        <v>2024</v>
      </c>
      <c r="E20" s="40">
        <v>45883</v>
      </c>
      <c r="F20" s="40" t="s">
        <v>74</v>
      </c>
      <c r="G20" t="s">
        <v>199</v>
      </c>
      <c r="H20" t="s">
        <v>721</v>
      </c>
      <c r="I20" t="s">
        <v>1105</v>
      </c>
      <c r="J20" t="s">
        <v>431</v>
      </c>
      <c r="K20" t="s">
        <v>1126</v>
      </c>
      <c r="L20" t="s">
        <v>1115</v>
      </c>
      <c r="M20">
        <v>1910</v>
      </c>
      <c r="N20">
        <v>2018</v>
      </c>
      <c r="O20">
        <f t="shared" si="0"/>
        <v>109</v>
      </c>
      <c r="Q20">
        <f>(5.06*111.32)/((2004-1950)/10)</f>
        <v>104.31096296296295</v>
      </c>
      <c r="R20" t="s">
        <v>694</v>
      </c>
      <c r="S20" t="s">
        <v>1116</v>
      </c>
    </row>
    <row r="21" spans="1:20">
      <c r="A21" t="s">
        <v>1114</v>
      </c>
      <c r="C21" t="s">
        <v>1113</v>
      </c>
      <c r="D21">
        <v>2024</v>
      </c>
      <c r="E21" s="40">
        <v>45883</v>
      </c>
      <c r="F21" s="40" t="s">
        <v>74</v>
      </c>
      <c r="G21" t="s">
        <v>199</v>
      </c>
      <c r="H21" t="s">
        <v>721</v>
      </c>
      <c r="I21" t="s">
        <v>1106</v>
      </c>
      <c r="J21" t="s">
        <v>431</v>
      </c>
      <c r="K21" t="s">
        <v>1126</v>
      </c>
      <c r="L21" t="s">
        <v>1115</v>
      </c>
      <c r="M21">
        <v>1910</v>
      </c>
      <c r="N21">
        <v>2018</v>
      </c>
      <c r="O21">
        <f t="shared" si="0"/>
        <v>109</v>
      </c>
      <c r="Q21">
        <f>(5.43*111.32)/((2004-1950)/10)</f>
        <v>111.93844444444443</v>
      </c>
      <c r="R21" t="s">
        <v>694</v>
      </c>
      <c r="S21" t="s">
        <v>1116</v>
      </c>
    </row>
    <row r="22" spans="1:20">
      <c r="A22" t="s">
        <v>1114</v>
      </c>
      <c r="C22" t="s">
        <v>1113</v>
      </c>
      <c r="D22">
        <v>2024</v>
      </c>
      <c r="E22" s="40">
        <v>45883</v>
      </c>
      <c r="F22" s="40" t="s">
        <v>74</v>
      </c>
      <c r="G22" t="s">
        <v>199</v>
      </c>
      <c r="H22" t="s">
        <v>721</v>
      </c>
      <c r="I22" t="s">
        <v>1107</v>
      </c>
      <c r="J22" t="s">
        <v>431</v>
      </c>
      <c r="K22" t="s">
        <v>1126</v>
      </c>
      <c r="L22" t="s">
        <v>1115</v>
      </c>
      <c r="M22">
        <v>1910</v>
      </c>
      <c r="N22">
        <v>2018</v>
      </c>
      <c r="O22">
        <f t="shared" si="0"/>
        <v>109</v>
      </c>
      <c r="Q22">
        <f>(5.61*111.32)/((2004-1950)/10)</f>
        <v>115.6491111111111</v>
      </c>
      <c r="R22" t="s">
        <v>694</v>
      </c>
      <c r="S22" t="s">
        <v>1116</v>
      </c>
    </row>
    <row r="23" spans="1:20">
      <c r="A23" t="s">
        <v>1114</v>
      </c>
      <c r="C23" t="s">
        <v>1113</v>
      </c>
      <c r="D23">
        <v>2024</v>
      </c>
      <c r="E23" s="40">
        <v>45883</v>
      </c>
      <c r="F23" s="40" t="s">
        <v>74</v>
      </c>
      <c r="G23" t="s">
        <v>199</v>
      </c>
      <c r="H23" t="s">
        <v>721</v>
      </c>
      <c r="I23" t="s">
        <v>1108</v>
      </c>
      <c r="J23" t="s">
        <v>431</v>
      </c>
      <c r="K23" t="s">
        <v>1126</v>
      </c>
      <c r="L23" t="s">
        <v>1115</v>
      </c>
      <c r="M23">
        <v>1910</v>
      </c>
      <c r="N23">
        <v>2018</v>
      </c>
      <c r="O23">
        <f t="shared" si="0"/>
        <v>109</v>
      </c>
      <c r="Q23">
        <f>(7.71*111.32)/((2004-1950)/10)</f>
        <v>158.94022222222222</v>
      </c>
      <c r="R23" t="s">
        <v>694</v>
      </c>
      <c r="S23" t="s">
        <v>1116</v>
      </c>
    </row>
    <row r="24" spans="1:20">
      <c r="A24" t="s">
        <v>1114</v>
      </c>
      <c r="C24" t="s">
        <v>1113</v>
      </c>
      <c r="D24">
        <v>2024</v>
      </c>
      <c r="E24" s="40">
        <v>45883</v>
      </c>
      <c r="F24" s="40" t="s">
        <v>74</v>
      </c>
      <c r="G24" t="s">
        <v>199</v>
      </c>
      <c r="H24" t="s">
        <v>721</v>
      </c>
      <c r="I24" t="s">
        <v>1109</v>
      </c>
      <c r="J24" t="s">
        <v>431</v>
      </c>
      <c r="K24" t="s">
        <v>1126</v>
      </c>
      <c r="L24" t="s">
        <v>1115</v>
      </c>
      <c r="M24">
        <v>1910</v>
      </c>
      <c r="N24">
        <v>2018</v>
      </c>
      <c r="O24">
        <f t="shared" si="0"/>
        <v>109</v>
      </c>
      <c r="Q24">
        <f>(10.37*111.32)/((2004-1950)/10)</f>
        <v>213.77562962962958</v>
      </c>
      <c r="R24" t="s">
        <v>694</v>
      </c>
      <c r="S24" t="s">
        <v>1116</v>
      </c>
    </row>
    <row r="25" spans="1:20">
      <c r="A25" t="s">
        <v>1114</v>
      </c>
      <c r="C25" t="s">
        <v>1113</v>
      </c>
      <c r="D25">
        <v>2024</v>
      </c>
      <c r="E25" s="40">
        <v>45883</v>
      </c>
      <c r="F25" s="40" t="s">
        <v>74</v>
      </c>
      <c r="G25" t="s">
        <v>199</v>
      </c>
      <c r="H25" t="s">
        <v>721</v>
      </c>
      <c r="I25" t="s">
        <v>1110</v>
      </c>
      <c r="J25" t="s">
        <v>431</v>
      </c>
      <c r="K25" t="s">
        <v>1126</v>
      </c>
      <c r="L25" t="s">
        <v>1115</v>
      </c>
      <c r="M25">
        <v>1910</v>
      </c>
      <c r="N25">
        <v>2018</v>
      </c>
      <c r="O25">
        <f t="shared" si="0"/>
        <v>109</v>
      </c>
      <c r="Q25">
        <f>(13.14*111.32)/((2004-1950)/10)</f>
        <v>270.87866666666662</v>
      </c>
      <c r="R25" t="s">
        <v>694</v>
      </c>
      <c r="S25" t="s">
        <v>1116</v>
      </c>
    </row>
    <row r="26" spans="1:20">
      <c r="A26" t="s">
        <v>1114</v>
      </c>
      <c r="C26" t="s">
        <v>1113</v>
      </c>
      <c r="D26">
        <v>2024</v>
      </c>
      <c r="E26" s="40">
        <v>45883</v>
      </c>
      <c r="F26" s="40" t="s">
        <v>74</v>
      </c>
      <c r="G26" t="s">
        <v>199</v>
      </c>
      <c r="H26" t="s">
        <v>721</v>
      </c>
      <c r="I26" t="s">
        <v>1111</v>
      </c>
      <c r="J26" t="s">
        <v>431</v>
      </c>
      <c r="K26" t="s">
        <v>1126</v>
      </c>
      <c r="L26" t="s">
        <v>1115</v>
      </c>
      <c r="M26">
        <v>1910</v>
      </c>
      <c r="N26">
        <v>2018</v>
      </c>
      <c r="O26">
        <f t="shared" si="0"/>
        <v>109</v>
      </c>
      <c r="Q26">
        <f>(16.79*111.32)/((2004-1950)/10)</f>
        <v>346.12274074074065</v>
      </c>
      <c r="R26" t="s">
        <v>694</v>
      </c>
      <c r="S26" t="s">
        <v>1116</v>
      </c>
    </row>
    <row r="27" spans="1:20">
      <c r="A27" t="s">
        <v>1114</v>
      </c>
      <c r="C27" s="47" t="s">
        <v>1119</v>
      </c>
      <c r="D27">
        <v>2024</v>
      </c>
      <c r="E27" s="40">
        <v>45883</v>
      </c>
      <c r="F27" s="40" t="s">
        <v>74</v>
      </c>
      <c r="G27" t="s">
        <v>199</v>
      </c>
      <c r="H27" t="s">
        <v>721</v>
      </c>
      <c r="I27" t="s">
        <v>1112</v>
      </c>
      <c r="J27" t="s">
        <v>431</v>
      </c>
      <c r="K27" t="s">
        <v>1126</v>
      </c>
      <c r="L27" t="s">
        <v>1115</v>
      </c>
      <c r="M27">
        <v>1910</v>
      </c>
      <c r="N27">
        <v>2018</v>
      </c>
      <c r="O27">
        <f t="shared" si="0"/>
        <v>109</v>
      </c>
      <c r="Q27">
        <f>(26.29*111.32)/((2004-1950)/10)</f>
        <v>541.96348148148138</v>
      </c>
      <c r="R27" t="s">
        <v>694</v>
      </c>
      <c r="S27" t="s">
        <v>1116</v>
      </c>
    </row>
    <row r="28" spans="1:20">
      <c r="A28" t="s">
        <v>1891</v>
      </c>
      <c r="B28" s="1"/>
      <c r="C28" s="47" t="s">
        <v>1948</v>
      </c>
      <c r="D28">
        <v>2024</v>
      </c>
      <c r="F28" s="40" t="s">
        <v>74</v>
      </c>
      <c r="G28" t="s">
        <v>152</v>
      </c>
      <c r="H28" t="s">
        <v>1078</v>
      </c>
      <c r="I28" t="s">
        <v>350</v>
      </c>
      <c r="J28" t="s">
        <v>431</v>
      </c>
      <c r="K28" t="s">
        <v>1126</v>
      </c>
      <c r="L28" t="s">
        <v>62</v>
      </c>
      <c r="M28">
        <v>1985</v>
      </c>
      <c r="N28">
        <v>2017</v>
      </c>
      <c r="O28">
        <f t="shared" si="0"/>
        <v>33</v>
      </c>
      <c r="Q28">
        <v>70</v>
      </c>
      <c r="R28" t="s">
        <v>694</v>
      </c>
      <c r="S28" t="s">
        <v>1949</v>
      </c>
    </row>
    <row r="29" spans="1:20">
      <c r="A29" s="1" t="s">
        <v>1926</v>
      </c>
      <c r="C29" t="s">
        <v>1427</v>
      </c>
      <c r="D29">
        <v>2024</v>
      </c>
      <c r="F29" s="40" t="s">
        <v>74</v>
      </c>
      <c r="G29" t="s">
        <v>152</v>
      </c>
      <c r="H29" t="s">
        <v>1078</v>
      </c>
      <c r="I29" t="s">
        <v>1927</v>
      </c>
      <c r="K29" t="s">
        <v>1126</v>
      </c>
      <c r="L29" t="s">
        <v>62</v>
      </c>
      <c r="M29">
        <v>1958</v>
      </c>
      <c r="N29">
        <v>2020</v>
      </c>
      <c r="O29">
        <f t="shared" si="0"/>
        <v>63</v>
      </c>
      <c r="Q29" t="s">
        <v>40</v>
      </c>
      <c r="R29" t="s">
        <v>694</v>
      </c>
      <c r="S29" t="s">
        <v>1937</v>
      </c>
      <c r="T29" t="s">
        <v>1939</v>
      </c>
    </row>
    <row r="30" spans="1:20">
      <c r="A30" s="1" t="s">
        <v>1926</v>
      </c>
      <c r="C30" t="s">
        <v>1427</v>
      </c>
      <c r="D30">
        <v>2024</v>
      </c>
      <c r="F30" s="40" t="s">
        <v>74</v>
      </c>
      <c r="G30" t="s">
        <v>152</v>
      </c>
      <c r="H30" t="s">
        <v>1078</v>
      </c>
      <c r="I30" t="s">
        <v>1928</v>
      </c>
      <c r="K30" t="s">
        <v>1126</v>
      </c>
      <c r="L30" t="s">
        <v>62</v>
      </c>
      <c r="M30">
        <v>1958</v>
      </c>
      <c r="N30">
        <v>2020</v>
      </c>
      <c r="O30">
        <f t="shared" si="0"/>
        <v>63</v>
      </c>
      <c r="Q30" t="s">
        <v>40</v>
      </c>
      <c r="R30" t="s">
        <v>694</v>
      </c>
      <c r="S30" t="s">
        <v>1937</v>
      </c>
      <c r="T30" t="s">
        <v>1939</v>
      </c>
    </row>
    <row r="31" spans="1:20">
      <c r="A31" s="1" t="s">
        <v>1926</v>
      </c>
      <c r="C31" t="s">
        <v>1427</v>
      </c>
      <c r="D31">
        <v>2024</v>
      </c>
      <c r="F31" s="40" t="s">
        <v>74</v>
      </c>
      <c r="G31" t="s">
        <v>152</v>
      </c>
      <c r="H31" t="s">
        <v>1078</v>
      </c>
      <c r="I31" t="s">
        <v>1929</v>
      </c>
      <c r="K31" t="s">
        <v>1126</v>
      </c>
      <c r="L31" t="s">
        <v>62</v>
      </c>
      <c r="M31">
        <v>1958</v>
      </c>
      <c r="N31">
        <v>2020</v>
      </c>
      <c r="O31">
        <f t="shared" si="0"/>
        <v>63</v>
      </c>
      <c r="Q31" t="s">
        <v>40</v>
      </c>
      <c r="R31" t="s">
        <v>41</v>
      </c>
      <c r="S31" t="s">
        <v>1938</v>
      </c>
      <c r="T31" t="s">
        <v>1939</v>
      </c>
    </row>
    <row r="32" spans="1:20">
      <c r="A32" s="1" t="s">
        <v>1926</v>
      </c>
      <c r="C32" t="s">
        <v>1427</v>
      </c>
      <c r="D32">
        <v>2024</v>
      </c>
      <c r="F32" s="40" t="s">
        <v>74</v>
      </c>
      <c r="G32" t="s">
        <v>152</v>
      </c>
      <c r="H32" t="s">
        <v>1078</v>
      </c>
      <c r="I32" t="s">
        <v>1930</v>
      </c>
      <c r="K32" t="s">
        <v>1126</v>
      </c>
      <c r="L32" t="s">
        <v>62</v>
      </c>
      <c r="M32">
        <v>1958</v>
      </c>
      <c r="N32">
        <v>2020</v>
      </c>
      <c r="O32">
        <f t="shared" si="0"/>
        <v>63</v>
      </c>
      <c r="Q32" t="s">
        <v>40</v>
      </c>
      <c r="R32" t="s">
        <v>41</v>
      </c>
      <c r="S32" t="s">
        <v>1940</v>
      </c>
      <c r="T32" t="s">
        <v>1939</v>
      </c>
    </row>
    <row r="33" spans="1:20">
      <c r="A33" s="1" t="s">
        <v>1926</v>
      </c>
      <c r="C33" t="s">
        <v>1427</v>
      </c>
      <c r="D33">
        <v>2024</v>
      </c>
      <c r="F33" s="40" t="s">
        <v>74</v>
      </c>
      <c r="G33" t="s">
        <v>152</v>
      </c>
      <c r="H33" t="s">
        <v>1078</v>
      </c>
      <c r="I33" t="s">
        <v>1931</v>
      </c>
      <c r="K33" t="s">
        <v>1126</v>
      </c>
      <c r="L33" t="s">
        <v>62</v>
      </c>
      <c r="M33">
        <v>1958</v>
      </c>
      <c r="N33">
        <v>2020</v>
      </c>
      <c r="O33">
        <f t="shared" si="0"/>
        <v>63</v>
      </c>
      <c r="Q33" t="s">
        <v>40</v>
      </c>
      <c r="R33" t="s">
        <v>41</v>
      </c>
      <c r="S33" t="s">
        <v>1940</v>
      </c>
      <c r="T33" t="s">
        <v>1939</v>
      </c>
    </row>
    <row r="34" spans="1:20">
      <c r="A34" t="s">
        <v>1123</v>
      </c>
      <c r="C34" t="s">
        <v>1044</v>
      </c>
      <c r="D34">
        <v>2023</v>
      </c>
      <c r="E34" s="40">
        <v>45883</v>
      </c>
      <c r="F34" s="40" t="s">
        <v>74</v>
      </c>
      <c r="G34" t="s">
        <v>199</v>
      </c>
      <c r="H34" t="s">
        <v>1014</v>
      </c>
      <c r="I34" t="s">
        <v>109</v>
      </c>
      <c r="J34" t="s">
        <v>1124</v>
      </c>
      <c r="K34" t="s">
        <v>1126</v>
      </c>
      <c r="L34" t="s">
        <v>1122</v>
      </c>
      <c r="M34">
        <v>1958</v>
      </c>
      <c r="N34">
        <v>2018</v>
      </c>
      <c r="O34">
        <f t="shared" ref="O34:O58" si="1">N34-M34+1</f>
        <v>61</v>
      </c>
      <c r="Q34">
        <f>(((-136.49)+(168.91))/((1995-1970)/10))</f>
        <v>12.967999999999995</v>
      </c>
      <c r="R34" t="s">
        <v>694</v>
      </c>
      <c r="S34" t="s">
        <v>1125</v>
      </c>
    </row>
    <row r="35" spans="1:20">
      <c r="A35" t="s">
        <v>1123</v>
      </c>
      <c r="C35" t="s">
        <v>1044</v>
      </c>
      <c r="D35">
        <v>2023</v>
      </c>
      <c r="E35" s="40">
        <v>45883</v>
      </c>
      <c r="F35" s="40" t="s">
        <v>74</v>
      </c>
      <c r="G35" t="s">
        <v>199</v>
      </c>
      <c r="H35" t="s">
        <v>1014</v>
      </c>
      <c r="I35" t="s">
        <v>65</v>
      </c>
      <c r="J35" t="s">
        <v>1124</v>
      </c>
      <c r="K35" t="s">
        <v>1126</v>
      </c>
      <c r="L35" t="s">
        <v>1122</v>
      </c>
      <c r="M35">
        <v>1958</v>
      </c>
      <c r="N35">
        <v>2018</v>
      </c>
      <c r="O35">
        <f t="shared" si="1"/>
        <v>61</v>
      </c>
      <c r="Q35">
        <f>(((111.39)+(240.48))/((1995-1970)/10))</f>
        <v>140.74799999999999</v>
      </c>
      <c r="R35" t="s">
        <v>694</v>
      </c>
      <c r="S35" t="s">
        <v>1125</v>
      </c>
    </row>
    <row r="36" spans="1:20">
      <c r="A36" t="s">
        <v>1123</v>
      </c>
      <c r="C36" t="s">
        <v>1044</v>
      </c>
      <c r="D36">
        <v>2023</v>
      </c>
      <c r="E36" s="40">
        <v>45883</v>
      </c>
      <c r="F36" s="40" t="s">
        <v>74</v>
      </c>
      <c r="G36" t="s">
        <v>199</v>
      </c>
      <c r="H36" t="s">
        <v>1014</v>
      </c>
      <c r="I36" t="s">
        <v>66</v>
      </c>
      <c r="J36" t="s">
        <v>1124</v>
      </c>
      <c r="K36" t="s">
        <v>1126</v>
      </c>
      <c r="L36" t="s">
        <v>1122</v>
      </c>
      <c r="M36">
        <v>1958</v>
      </c>
      <c r="N36">
        <v>2018</v>
      </c>
      <c r="O36">
        <f t="shared" si="1"/>
        <v>61</v>
      </c>
      <c r="Q36">
        <f>(((-157.99)+(97.9))/((1995-1970)/10))</f>
        <v>-24.036000000000001</v>
      </c>
      <c r="R36" t="s">
        <v>41</v>
      </c>
      <c r="S36" t="s">
        <v>1125</v>
      </c>
    </row>
    <row r="37" spans="1:20">
      <c r="A37" t="s">
        <v>1123</v>
      </c>
      <c r="C37" t="s">
        <v>1044</v>
      </c>
      <c r="D37">
        <v>2023</v>
      </c>
      <c r="E37" s="40">
        <v>45883</v>
      </c>
      <c r="F37" s="40" t="s">
        <v>74</v>
      </c>
      <c r="G37" t="s">
        <v>199</v>
      </c>
      <c r="H37" t="s">
        <v>1014</v>
      </c>
      <c r="I37" t="s">
        <v>56</v>
      </c>
      <c r="J37" t="s">
        <v>1124</v>
      </c>
      <c r="K37" t="s">
        <v>1126</v>
      </c>
      <c r="L37" t="s">
        <v>1122</v>
      </c>
      <c r="M37">
        <v>1958</v>
      </c>
      <c r="N37">
        <v>2018</v>
      </c>
      <c r="O37">
        <f t="shared" si="1"/>
        <v>61</v>
      </c>
      <c r="Q37">
        <f>(((-21.32)+(-93.58))/((1995-1970)/10))</f>
        <v>-45.96</v>
      </c>
      <c r="R37" t="s">
        <v>41</v>
      </c>
      <c r="S37" t="s">
        <v>1125</v>
      </c>
    </row>
    <row r="38" spans="1:20">
      <c r="A38" t="s">
        <v>1123</v>
      </c>
      <c r="C38" t="s">
        <v>1044</v>
      </c>
      <c r="D38">
        <v>2023</v>
      </c>
      <c r="E38" s="40">
        <v>45883</v>
      </c>
      <c r="F38" s="40" t="s">
        <v>74</v>
      </c>
      <c r="G38" t="s">
        <v>199</v>
      </c>
      <c r="H38" t="s">
        <v>1121</v>
      </c>
      <c r="I38" t="s">
        <v>669</v>
      </c>
      <c r="J38" t="s">
        <v>1124</v>
      </c>
      <c r="K38" t="s">
        <v>1126</v>
      </c>
      <c r="L38" t="s">
        <v>1122</v>
      </c>
      <c r="M38">
        <v>1958</v>
      </c>
      <c r="N38">
        <v>2018</v>
      </c>
      <c r="O38">
        <f t="shared" si="1"/>
        <v>61</v>
      </c>
      <c r="Q38">
        <f>(((-147.46)+(-122.57))/((1995-1970)/10))</f>
        <v>-108.01199999999999</v>
      </c>
      <c r="R38" t="s">
        <v>41</v>
      </c>
      <c r="S38" t="s">
        <v>1125</v>
      </c>
    </row>
    <row r="39" spans="1:20">
      <c r="A39" t="s">
        <v>1123</v>
      </c>
      <c r="C39" t="s">
        <v>1044</v>
      </c>
      <c r="D39">
        <v>2023</v>
      </c>
      <c r="E39" s="40">
        <v>45883</v>
      </c>
      <c r="F39" s="40" t="s">
        <v>74</v>
      </c>
      <c r="G39" t="s">
        <v>199</v>
      </c>
      <c r="H39" t="s">
        <v>1014</v>
      </c>
      <c r="I39" t="s">
        <v>1120</v>
      </c>
      <c r="J39" t="s">
        <v>1124</v>
      </c>
      <c r="K39" t="s">
        <v>1126</v>
      </c>
      <c r="L39" t="s">
        <v>1122</v>
      </c>
      <c r="M39">
        <v>1958</v>
      </c>
      <c r="N39">
        <v>2018</v>
      </c>
      <c r="O39">
        <f t="shared" si="1"/>
        <v>61</v>
      </c>
      <c r="Q39">
        <f>(((-64.59)+(102.35))/((1995-1970)/10))</f>
        <v>15.103999999999996</v>
      </c>
      <c r="R39" t="s">
        <v>694</v>
      </c>
      <c r="S39" t="s">
        <v>1125</v>
      </c>
    </row>
    <row r="40" spans="1:20">
      <c r="A40" t="s">
        <v>1123</v>
      </c>
      <c r="C40" t="s">
        <v>1044</v>
      </c>
      <c r="D40">
        <v>2023</v>
      </c>
      <c r="E40" s="40">
        <v>45883</v>
      </c>
      <c r="F40" s="40" t="s">
        <v>74</v>
      </c>
      <c r="G40" t="s">
        <v>199</v>
      </c>
      <c r="H40" t="s">
        <v>1014</v>
      </c>
      <c r="I40" t="s">
        <v>111</v>
      </c>
      <c r="J40" t="s">
        <v>1124</v>
      </c>
      <c r="K40" t="s">
        <v>1126</v>
      </c>
      <c r="L40" t="s">
        <v>1122</v>
      </c>
      <c r="M40">
        <v>1958</v>
      </c>
      <c r="N40">
        <v>2018</v>
      </c>
      <c r="O40">
        <f t="shared" si="1"/>
        <v>61</v>
      </c>
      <c r="Q40">
        <f>(((-115.22)+(265.24))/((1995-1970)/10))</f>
        <v>60.008000000000003</v>
      </c>
      <c r="R40" t="s">
        <v>694</v>
      </c>
      <c r="S40" t="s">
        <v>1125</v>
      </c>
    </row>
    <row r="41" spans="1:20">
      <c r="A41" t="s">
        <v>1123</v>
      </c>
      <c r="C41" t="s">
        <v>1044</v>
      </c>
      <c r="D41">
        <v>2023</v>
      </c>
      <c r="E41" s="40">
        <v>45883</v>
      </c>
      <c r="F41" s="40" t="s">
        <v>74</v>
      </c>
      <c r="G41" t="s">
        <v>199</v>
      </c>
      <c r="H41" t="s">
        <v>1014</v>
      </c>
      <c r="I41" t="s">
        <v>64</v>
      </c>
      <c r="J41" t="s">
        <v>1124</v>
      </c>
      <c r="K41" t="s">
        <v>1126</v>
      </c>
      <c r="L41" t="s">
        <v>1122</v>
      </c>
      <c r="M41">
        <v>1958</v>
      </c>
      <c r="N41">
        <v>2018</v>
      </c>
      <c r="O41">
        <f t="shared" si="1"/>
        <v>61</v>
      </c>
      <c r="Q41">
        <f>(((-445.02)+(77.03))/((1995-1970)/10))</f>
        <v>-147.196</v>
      </c>
      <c r="R41" t="s">
        <v>41</v>
      </c>
      <c r="S41" t="s">
        <v>1125</v>
      </c>
    </row>
    <row r="42" spans="1:20">
      <c r="A42" t="s">
        <v>1123</v>
      </c>
      <c r="C42" t="s">
        <v>1044</v>
      </c>
      <c r="D42">
        <v>2023</v>
      </c>
      <c r="E42" s="40">
        <v>45883</v>
      </c>
      <c r="F42" s="40" t="s">
        <v>74</v>
      </c>
      <c r="G42" t="s">
        <v>199</v>
      </c>
      <c r="H42" t="s">
        <v>1014</v>
      </c>
      <c r="I42" t="s">
        <v>109</v>
      </c>
      <c r="J42" t="s">
        <v>1124</v>
      </c>
      <c r="K42" t="s">
        <v>1126</v>
      </c>
      <c r="L42" t="s">
        <v>62</v>
      </c>
      <c r="M42">
        <v>1958</v>
      </c>
      <c r="N42">
        <v>2018</v>
      </c>
      <c r="O42">
        <f t="shared" si="1"/>
        <v>61</v>
      </c>
      <c r="Q42">
        <f>(((-75.85)+(23.37))/((1995-1970)/10))</f>
        <v>-20.991999999999997</v>
      </c>
      <c r="R42" t="s">
        <v>41</v>
      </c>
      <c r="S42" t="s">
        <v>1125</v>
      </c>
    </row>
    <row r="43" spans="1:20">
      <c r="A43" t="s">
        <v>1123</v>
      </c>
      <c r="C43" t="s">
        <v>1044</v>
      </c>
      <c r="D43">
        <v>2023</v>
      </c>
      <c r="E43" s="40">
        <v>45883</v>
      </c>
      <c r="F43" s="40" t="s">
        <v>74</v>
      </c>
      <c r="G43" t="s">
        <v>199</v>
      </c>
      <c r="H43" t="s">
        <v>1014</v>
      </c>
      <c r="I43" t="s">
        <v>65</v>
      </c>
      <c r="J43" t="s">
        <v>1124</v>
      </c>
      <c r="K43" t="s">
        <v>1126</v>
      </c>
      <c r="L43" t="s">
        <v>62</v>
      </c>
      <c r="M43">
        <v>1958</v>
      </c>
      <c r="N43">
        <v>2018</v>
      </c>
      <c r="O43">
        <f t="shared" si="1"/>
        <v>61</v>
      </c>
      <c r="Q43">
        <f>(((24.87)+(43.61))/((1995-1970)/10))</f>
        <v>27.392000000000003</v>
      </c>
      <c r="R43" t="s">
        <v>694</v>
      </c>
      <c r="S43" t="s">
        <v>1125</v>
      </c>
    </row>
    <row r="44" spans="1:20">
      <c r="A44" t="s">
        <v>1123</v>
      </c>
      <c r="C44" t="s">
        <v>1044</v>
      </c>
      <c r="D44">
        <v>2023</v>
      </c>
      <c r="E44" s="40">
        <v>45883</v>
      </c>
      <c r="F44" s="40" t="s">
        <v>74</v>
      </c>
      <c r="G44" t="s">
        <v>199</v>
      </c>
      <c r="H44" t="s">
        <v>1014</v>
      </c>
      <c r="I44" t="s">
        <v>66</v>
      </c>
      <c r="J44" t="s">
        <v>1124</v>
      </c>
      <c r="K44" t="s">
        <v>1126</v>
      </c>
      <c r="L44" t="s">
        <v>62</v>
      </c>
      <c r="M44">
        <v>1958</v>
      </c>
      <c r="N44">
        <v>2018</v>
      </c>
      <c r="O44">
        <f t="shared" si="1"/>
        <v>61</v>
      </c>
      <c r="Q44">
        <f>(((17.34)+(52.5))/((1995-1970)/10))</f>
        <v>27.936</v>
      </c>
      <c r="R44" t="s">
        <v>694</v>
      </c>
      <c r="S44" t="s">
        <v>1125</v>
      </c>
    </row>
    <row r="45" spans="1:20">
      <c r="A45" t="s">
        <v>1123</v>
      </c>
      <c r="C45" t="s">
        <v>1044</v>
      </c>
      <c r="D45">
        <v>2023</v>
      </c>
      <c r="E45" s="40">
        <v>45883</v>
      </c>
      <c r="F45" s="40" t="s">
        <v>74</v>
      </c>
      <c r="G45" t="s">
        <v>199</v>
      </c>
      <c r="H45" t="s">
        <v>1014</v>
      </c>
      <c r="I45" t="s">
        <v>56</v>
      </c>
      <c r="J45" t="s">
        <v>1124</v>
      </c>
      <c r="K45" t="s">
        <v>1126</v>
      </c>
      <c r="L45" t="s">
        <v>62</v>
      </c>
      <c r="M45">
        <v>1958</v>
      </c>
      <c r="N45">
        <v>2018</v>
      </c>
      <c r="O45">
        <f t="shared" si="1"/>
        <v>61</v>
      </c>
      <c r="Q45">
        <f>(((-23.56)+(25.45))/((1995-1970)/10))</f>
        <v>0.75600000000000023</v>
      </c>
      <c r="R45" t="s">
        <v>694</v>
      </c>
      <c r="S45" t="s">
        <v>1125</v>
      </c>
    </row>
    <row r="46" spans="1:20">
      <c r="A46" t="s">
        <v>1123</v>
      </c>
      <c r="C46" t="s">
        <v>1044</v>
      </c>
      <c r="D46">
        <v>2023</v>
      </c>
      <c r="E46" s="40">
        <v>45883</v>
      </c>
      <c r="F46" s="40" t="s">
        <v>74</v>
      </c>
      <c r="G46" t="s">
        <v>199</v>
      </c>
      <c r="H46" t="s">
        <v>1121</v>
      </c>
      <c r="I46" t="s">
        <v>669</v>
      </c>
      <c r="J46" t="s">
        <v>1124</v>
      </c>
      <c r="K46" t="s">
        <v>1126</v>
      </c>
      <c r="L46" t="s">
        <v>62</v>
      </c>
      <c r="M46">
        <v>1958</v>
      </c>
      <c r="N46">
        <v>2018</v>
      </c>
      <c r="O46">
        <f t="shared" si="1"/>
        <v>61</v>
      </c>
      <c r="Q46">
        <f>(((5.16)+(-54.85))/((1995-1970)/10))</f>
        <v>-19.875999999999998</v>
      </c>
      <c r="R46" t="s">
        <v>41</v>
      </c>
      <c r="S46" t="s">
        <v>1125</v>
      </c>
    </row>
    <row r="47" spans="1:20">
      <c r="A47" t="s">
        <v>1123</v>
      </c>
      <c r="C47" t="s">
        <v>1044</v>
      </c>
      <c r="D47">
        <v>2023</v>
      </c>
      <c r="E47" s="40">
        <v>45883</v>
      </c>
      <c r="F47" s="40" t="s">
        <v>74</v>
      </c>
      <c r="G47" t="s">
        <v>199</v>
      </c>
      <c r="H47" t="s">
        <v>1014</v>
      </c>
      <c r="I47" t="s">
        <v>1120</v>
      </c>
      <c r="J47" t="s">
        <v>1124</v>
      </c>
      <c r="K47" t="s">
        <v>1126</v>
      </c>
      <c r="L47" t="s">
        <v>62</v>
      </c>
      <c r="M47">
        <v>1958</v>
      </c>
      <c r="N47">
        <v>2018</v>
      </c>
      <c r="O47">
        <f t="shared" si="1"/>
        <v>61</v>
      </c>
      <c r="Q47">
        <f>(((1.57)+(30.39))/((1995-1970)/10))</f>
        <v>12.784000000000001</v>
      </c>
      <c r="R47" t="s">
        <v>694</v>
      </c>
      <c r="S47" t="s">
        <v>1125</v>
      </c>
    </row>
    <row r="48" spans="1:20">
      <c r="A48" t="s">
        <v>1123</v>
      </c>
      <c r="C48" t="s">
        <v>1044</v>
      </c>
      <c r="D48">
        <v>2023</v>
      </c>
      <c r="E48" s="40">
        <v>45883</v>
      </c>
      <c r="F48" s="40" t="s">
        <v>74</v>
      </c>
      <c r="G48" t="s">
        <v>199</v>
      </c>
      <c r="H48" t="s">
        <v>1014</v>
      </c>
      <c r="I48" t="s">
        <v>111</v>
      </c>
      <c r="J48" t="s">
        <v>1124</v>
      </c>
      <c r="K48" t="s">
        <v>1126</v>
      </c>
      <c r="L48" t="s">
        <v>62</v>
      </c>
      <c r="M48">
        <v>1958</v>
      </c>
      <c r="N48">
        <v>2018</v>
      </c>
      <c r="O48">
        <f t="shared" si="1"/>
        <v>61</v>
      </c>
      <c r="Q48">
        <f>(((-36.47)+(50.46))/((1995-1970)/10))</f>
        <v>5.596000000000001</v>
      </c>
      <c r="R48" t="s">
        <v>694</v>
      </c>
      <c r="S48" t="s">
        <v>1125</v>
      </c>
    </row>
    <row r="49" spans="1:20">
      <c r="A49" t="s">
        <v>1123</v>
      </c>
      <c r="C49" t="s">
        <v>1044</v>
      </c>
      <c r="D49">
        <v>2023</v>
      </c>
      <c r="E49" s="40">
        <v>45883</v>
      </c>
      <c r="F49" s="40" t="s">
        <v>74</v>
      </c>
      <c r="G49" t="s">
        <v>199</v>
      </c>
      <c r="H49" t="s">
        <v>1014</v>
      </c>
      <c r="I49" t="s">
        <v>64</v>
      </c>
      <c r="J49" t="s">
        <v>1124</v>
      </c>
      <c r="K49" t="s">
        <v>1126</v>
      </c>
      <c r="L49" t="s">
        <v>62</v>
      </c>
      <c r="M49">
        <v>1958</v>
      </c>
      <c r="N49">
        <v>2018</v>
      </c>
      <c r="O49">
        <f t="shared" si="1"/>
        <v>61</v>
      </c>
      <c r="Q49">
        <f>(((-13.62)+(74.3))/((1995-1970)/10))</f>
        <v>24.271999999999998</v>
      </c>
      <c r="R49" t="s">
        <v>694</v>
      </c>
      <c r="S49" t="s">
        <v>1125</v>
      </c>
    </row>
    <row r="50" spans="1:20">
      <c r="A50" t="s">
        <v>1153</v>
      </c>
      <c r="C50" s="47" t="s">
        <v>1157</v>
      </c>
      <c r="D50">
        <v>2023</v>
      </c>
      <c r="E50" s="40">
        <v>45884</v>
      </c>
      <c r="F50" s="40" t="s">
        <v>74</v>
      </c>
      <c r="G50" t="s">
        <v>205</v>
      </c>
      <c r="H50" t="s">
        <v>788</v>
      </c>
      <c r="I50" t="s">
        <v>1155</v>
      </c>
      <c r="J50" t="s">
        <v>400</v>
      </c>
      <c r="K50" t="s">
        <v>1126</v>
      </c>
      <c r="L50" t="s">
        <v>1122</v>
      </c>
      <c r="M50">
        <v>1992</v>
      </c>
      <c r="N50">
        <v>2019</v>
      </c>
      <c r="O50">
        <f t="shared" si="1"/>
        <v>28</v>
      </c>
      <c r="Q50">
        <f>((48.7-46.7)*111.32)/(O50/10)</f>
        <v>79.51428571428572</v>
      </c>
      <c r="R50" t="s">
        <v>694</v>
      </c>
      <c r="S50" t="s">
        <v>1154</v>
      </c>
    </row>
    <row r="51" spans="1:20">
      <c r="A51" t="s">
        <v>1153</v>
      </c>
      <c r="C51" s="47" t="s">
        <v>1157</v>
      </c>
      <c r="D51">
        <v>2023</v>
      </c>
      <c r="E51" s="40">
        <v>45884</v>
      </c>
      <c r="F51" s="40" t="s">
        <v>74</v>
      </c>
      <c r="G51" t="s">
        <v>205</v>
      </c>
      <c r="H51" t="s">
        <v>788</v>
      </c>
      <c r="I51" t="s">
        <v>1156</v>
      </c>
      <c r="J51" t="s">
        <v>400</v>
      </c>
      <c r="K51" t="s">
        <v>1126</v>
      </c>
      <c r="L51" t="s">
        <v>1122</v>
      </c>
      <c r="M51">
        <v>1992</v>
      </c>
      <c r="N51">
        <v>2019</v>
      </c>
      <c r="O51">
        <f t="shared" si="1"/>
        <v>28</v>
      </c>
      <c r="Q51">
        <f>((51.8-47)*111.32)/(O51/10)</f>
        <v>190.83428571428561</v>
      </c>
      <c r="R51" t="s">
        <v>694</v>
      </c>
      <c r="S51" t="s">
        <v>1154</v>
      </c>
    </row>
    <row r="52" spans="1:20">
      <c r="A52" t="s">
        <v>1081</v>
      </c>
      <c r="C52" t="s">
        <v>1080</v>
      </c>
      <c r="D52">
        <v>2021</v>
      </c>
      <c r="E52" s="40">
        <v>45883</v>
      </c>
      <c r="F52" s="40" t="s">
        <v>74</v>
      </c>
      <c r="G52" t="s">
        <v>199</v>
      </c>
      <c r="H52" t="s">
        <v>1017</v>
      </c>
      <c r="I52" t="s">
        <v>1082</v>
      </c>
      <c r="J52" t="s">
        <v>400</v>
      </c>
      <c r="K52" t="s">
        <v>1126</v>
      </c>
      <c r="L52" t="s">
        <v>1117</v>
      </c>
      <c r="M52">
        <v>1926</v>
      </c>
      <c r="N52">
        <v>2014</v>
      </c>
      <c r="O52">
        <f t="shared" si="1"/>
        <v>89</v>
      </c>
      <c r="Q52">
        <f>((-63.4-(-60.9))*111.32)/((2003.5-1933)/10)*-1</f>
        <v>39.475177304964532</v>
      </c>
      <c r="R52" t="s">
        <v>694</v>
      </c>
      <c r="S52" t="s">
        <v>1084</v>
      </c>
    </row>
    <row r="53" spans="1:20">
      <c r="A53" t="s">
        <v>1081</v>
      </c>
      <c r="C53" t="s">
        <v>1080</v>
      </c>
      <c r="D53">
        <v>2021</v>
      </c>
      <c r="E53" s="40">
        <v>45883</v>
      </c>
      <c r="F53" s="40" t="s">
        <v>74</v>
      </c>
      <c r="G53" t="s">
        <v>199</v>
      </c>
      <c r="H53" t="s">
        <v>1017</v>
      </c>
      <c r="I53" t="s">
        <v>1083</v>
      </c>
      <c r="J53" t="s">
        <v>400</v>
      </c>
      <c r="K53" t="s">
        <v>1127</v>
      </c>
      <c r="L53" t="s">
        <v>1117</v>
      </c>
      <c r="M53">
        <v>1926</v>
      </c>
      <c r="N53">
        <v>2016</v>
      </c>
      <c r="O53">
        <f t="shared" si="1"/>
        <v>91</v>
      </c>
      <c r="Q53">
        <f>((-62.7-(-56.8))*111.32)/((2004.8-1930)/10)*-1</f>
        <v>87.80588235294131</v>
      </c>
      <c r="R53" t="s">
        <v>694</v>
      </c>
      <c r="S53" t="s">
        <v>1084</v>
      </c>
    </row>
    <row r="54" spans="1:20">
      <c r="A54" t="s">
        <v>1875</v>
      </c>
      <c r="C54" t="s">
        <v>1876</v>
      </c>
      <c r="D54">
        <v>2021</v>
      </c>
      <c r="E54" s="40">
        <v>45925</v>
      </c>
      <c r="F54" s="40" t="s">
        <v>74</v>
      </c>
      <c r="G54" t="s">
        <v>199</v>
      </c>
      <c r="H54" t="s">
        <v>1017</v>
      </c>
      <c r="I54" t="s">
        <v>1298</v>
      </c>
      <c r="J54" t="s">
        <v>344</v>
      </c>
      <c r="K54" t="s">
        <v>1126</v>
      </c>
      <c r="L54" t="s">
        <v>880</v>
      </c>
      <c r="M54">
        <v>1958</v>
      </c>
      <c r="N54">
        <v>2017</v>
      </c>
      <c r="O54">
        <f t="shared" si="1"/>
        <v>60</v>
      </c>
      <c r="P54" t="s">
        <v>1877</v>
      </c>
      <c r="Q54" t="s">
        <v>40</v>
      </c>
      <c r="R54" t="s">
        <v>41</v>
      </c>
      <c r="S54" t="s">
        <v>1878</v>
      </c>
    </row>
    <row r="55" spans="1:20">
      <c r="A55" t="s">
        <v>1301</v>
      </c>
      <c r="C55" t="s">
        <v>1302</v>
      </c>
      <c r="D55">
        <v>2020</v>
      </c>
      <c r="E55" s="40">
        <v>45887</v>
      </c>
      <c r="F55" t="s">
        <v>74</v>
      </c>
      <c r="G55" t="s">
        <v>199</v>
      </c>
      <c r="H55" t="s">
        <v>1014</v>
      </c>
      <c r="I55" t="s">
        <v>65</v>
      </c>
      <c r="J55" t="s">
        <v>418</v>
      </c>
      <c r="K55" t="s">
        <v>1126</v>
      </c>
      <c r="L55" t="s">
        <v>880</v>
      </c>
      <c r="M55">
        <v>1960</v>
      </c>
      <c r="N55">
        <v>2015</v>
      </c>
      <c r="O55">
        <f t="shared" si="1"/>
        <v>56</v>
      </c>
      <c r="Q55">
        <f>((57-54)*111.32)/(O55/10)</f>
        <v>59.635714285714286</v>
      </c>
      <c r="R55" t="s">
        <v>694</v>
      </c>
      <c r="S55" t="s">
        <v>1303</v>
      </c>
      <c r="T55" t="s">
        <v>1304</v>
      </c>
    </row>
    <row r="56" spans="1:20">
      <c r="A56" t="s">
        <v>1301</v>
      </c>
      <c r="C56" t="s">
        <v>1302</v>
      </c>
      <c r="D56">
        <v>2020</v>
      </c>
      <c r="E56" s="40">
        <v>45887</v>
      </c>
      <c r="F56" t="s">
        <v>74</v>
      </c>
      <c r="G56" t="s">
        <v>199</v>
      </c>
      <c r="H56" t="s">
        <v>1014</v>
      </c>
      <c r="I56" t="s">
        <v>66</v>
      </c>
      <c r="J56" t="s">
        <v>1305</v>
      </c>
      <c r="K56" t="s">
        <v>1126</v>
      </c>
      <c r="L56" t="s">
        <v>880</v>
      </c>
      <c r="M56">
        <v>1960</v>
      </c>
      <c r="N56">
        <v>2015</v>
      </c>
      <c r="O56">
        <f t="shared" si="1"/>
        <v>56</v>
      </c>
      <c r="Q56">
        <f>((63-57)*111.32)/(O56/10)</f>
        <v>119.27142857142857</v>
      </c>
      <c r="R56" t="s">
        <v>694</v>
      </c>
      <c r="S56" t="s">
        <v>1303</v>
      </c>
      <c r="T56" t="s">
        <v>1304</v>
      </c>
    </row>
    <row r="57" spans="1:20">
      <c r="A57" t="s">
        <v>1907</v>
      </c>
      <c r="C57" t="s">
        <v>1908</v>
      </c>
      <c r="D57">
        <v>2020</v>
      </c>
      <c r="F57" s="40" t="s">
        <v>74</v>
      </c>
      <c r="G57" t="s">
        <v>152</v>
      </c>
      <c r="H57" t="s">
        <v>1177</v>
      </c>
      <c r="I57" t="s">
        <v>1909</v>
      </c>
      <c r="J57" t="s">
        <v>431</v>
      </c>
      <c r="K57" t="s">
        <v>1126</v>
      </c>
      <c r="L57" t="s">
        <v>1910</v>
      </c>
      <c r="M57">
        <v>1998</v>
      </c>
      <c r="N57">
        <v>2016</v>
      </c>
      <c r="O57">
        <f t="shared" si="1"/>
        <v>19</v>
      </c>
      <c r="Q57">
        <f>(325/19)*10</f>
        <v>171.05263157894737</v>
      </c>
      <c r="R57" t="s">
        <v>694</v>
      </c>
      <c r="S57" t="s">
        <v>1911</v>
      </c>
    </row>
    <row r="58" spans="1:20">
      <c r="A58" t="s">
        <v>1087</v>
      </c>
      <c r="C58" t="s">
        <v>1086</v>
      </c>
      <c r="D58">
        <v>2019</v>
      </c>
      <c r="E58" s="40">
        <v>45883</v>
      </c>
      <c r="F58" s="40" t="s">
        <v>74</v>
      </c>
      <c r="G58" t="s">
        <v>199</v>
      </c>
      <c r="H58" t="s">
        <v>1017</v>
      </c>
      <c r="I58" t="s">
        <v>1083</v>
      </c>
      <c r="J58" t="s">
        <v>1085</v>
      </c>
      <c r="K58" t="s">
        <v>1127</v>
      </c>
      <c r="L58" t="s">
        <v>1118</v>
      </c>
      <c r="M58">
        <v>1926</v>
      </c>
      <c r="N58">
        <v>2016</v>
      </c>
      <c r="O58">
        <f t="shared" si="1"/>
        <v>91</v>
      </c>
      <c r="Q58">
        <f>(-61.2-(-57.3))*111.32/((2006-1932.5)/10)*-1</f>
        <v>59.067755102040898</v>
      </c>
      <c r="R58" t="s">
        <v>694</v>
      </c>
      <c r="S58" t="s">
        <v>1088</v>
      </c>
    </row>
    <row r="59" spans="1:20">
      <c r="A59" t="s">
        <v>1905</v>
      </c>
      <c r="D59">
        <v>2018</v>
      </c>
      <c r="E59" s="40">
        <v>45890</v>
      </c>
      <c r="F59" t="s">
        <v>1185</v>
      </c>
      <c r="G59" t="s">
        <v>152</v>
      </c>
      <c r="H59" t="s">
        <v>1177</v>
      </c>
      <c r="I59" t="s">
        <v>347</v>
      </c>
      <c r="J59" t="s">
        <v>431</v>
      </c>
      <c r="K59" t="s">
        <v>1126</v>
      </c>
      <c r="M59">
        <v>1998</v>
      </c>
      <c r="P59">
        <v>20.3</v>
      </c>
      <c r="Q59">
        <f>P59*10</f>
        <v>203</v>
      </c>
      <c r="R59" t="s">
        <v>694</v>
      </c>
      <c r="T59" t="s">
        <v>1423</v>
      </c>
    </row>
    <row r="60" spans="1:20">
      <c r="A60" t="s">
        <v>1912</v>
      </c>
      <c r="C60" t="s">
        <v>1906</v>
      </c>
      <c r="D60">
        <v>2018</v>
      </c>
      <c r="F60" s="40" t="s">
        <v>74</v>
      </c>
      <c r="G60" t="s">
        <v>152</v>
      </c>
      <c r="H60" t="s">
        <v>1177</v>
      </c>
      <c r="I60" t="s">
        <v>1909</v>
      </c>
      <c r="J60" t="s">
        <v>431</v>
      </c>
      <c r="K60" t="s">
        <v>1126</v>
      </c>
      <c r="L60" t="s">
        <v>1913</v>
      </c>
      <c r="M60">
        <v>1982</v>
      </c>
      <c r="N60">
        <v>2016</v>
      </c>
      <c r="O60">
        <f t="shared" ref="O60:O91" si="2">N60-M60+1</f>
        <v>35</v>
      </c>
      <c r="Q60">
        <v>29</v>
      </c>
      <c r="R60" t="s">
        <v>694</v>
      </c>
      <c r="S60" t="s">
        <v>1916</v>
      </c>
    </row>
    <row r="61" spans="1:20">
      <c r="A61" t="s">
        <v>1912</v>
      </c>
      <c r="C61" t="s">
        <v>1906</v>
      </c>
      <c r="D61">
        <v>2018</v>
      </c>
      <c r="F61" s="40" t="s">
        <v>74</v>
      </c>
      <c r="G61" t="s">
        <v>152</v>
      </c>
      <c r="H61" t="s">
        <v>1177</v>
      </c>
      <c r="I61" t="s">
        <v>1909</v>
      </c>
      <c r="J61" t="s">
        <v>431</v>
      </c>
      <c r="K61" t="s">
        <v>1126</v>
      </c>
      <c r="L61" t="s">
        <v>1914</v>
      </c>
      <c r="M61">
        <v>1982</v>
      </c>
      <c r="N61">
        <v>2016</v>
      </c>
      <c r="O61">
        <f t="shared" si="2"/>
        <v>35</v>
      </c>
      <c r="Q61">
        <v>75</v>
      </c>
      <c r="R61" t="s">
        <v>694</v>
      </c>
      <c r="S61" t="s">
        <v>1917</v>
      </c>
    </row>
    <row r="62" spans="1:20">
      <c r="A62" t="s">
        <v>1912</v>
      </c>
      <c r="C62" t="s">
        <v>1906</v>
      </c>
      <c r="D62">
        <v>2018</v>
      </c>
      <c r="F62" s="40" t="s">
        <v>74</v>
      </c>
      <c r="G62" t="s">
        <v>152</v>
      </c>
      <c r="H62" t="s">
        <v>1177</v>
      </c>
      <c r="I62" t="s">
        <v>1909</v>
      </c>
      <c r="J62" t="s">
        <v>431</v>
      </c>
      <c r="K62" t="s">
        <v>1126</v>
      </c>
      <c r="L62" t="s">
        <v>1915</v>
      </c>
      <c r="M62">
        <v>1982</v>
      </c>
      <c r="N62">
        <v>2016</v>
      </c>
      <c r="O62">
        <f t="shared" si="2"/>
        <v>35</v>
      </c>
      <c r="Q62">
        <v>116</v>
      </c>
      <c r="R62" t="s">
        <v>694</v>
      </c>
      <c r="S62" t="s">
        <v>1918</v>
      </c>
    </row>
    <row r="63" spans="1:20">
      <c r="A63" t="s">
        <v>620</v>
      </c>
      <c r="C63" t="s">
        <v>1047</v>
      </c>
      <c r="D63">
        <v>2017</v>
      </c>
      <c r="E63" s="40">
        <v>45881</v>
      </c>
      <c r="F63" s="40" t="s">
        <v>74</v>
      </c>
      <c r="G63" t="s">
        <v>199</v>
      </c>
      <c r="H63" t="s">
        <v>1014</v>
      </c>
      <c r="I63" t="s">
        <v>564</v>
      </c>
      <c r="J63" t="s">
        <v>400</v>
      </c>
      <c r="K63" t="s">
        <v>1126</v>
      </c>
      <c r="L63" t="s">
        <v>1041</v>
      </c>
      <c r="M63">
        <v>1959</v>
      </c>
      <c r="N63">
        <v>2008</v>
      </c>
      <c r="O63">
        <f t="shared" si="2"/>
        <v>50</v>
      </c>
      <c r="P63" t="s">
        <v>1052</v>
      </c>
      <c r="Q63">
        <f>(250+(-200))/(O63/10)</f>
        <v>10</v>
      </c>
      <c r="R63" t="s">
        <v>694</v>
      </c>
      <c r="S63" t="s">
        <v>1051</v>
      </c>
      <c r="T63" t="s">
        <v>1045</v>
      </c>
    </row>
    <row r="64" spans="1:20">
      <c r="A64" t="s">
        <v>620</v>
      </c>
      <c r="C64" t="s">
        <v>1047</v>
      </c>
      <c r="D64">
        <v>2017</v>
      </c>
      <c r="E64" s="40">
        <v>45881</v>
      </c>
      <c r="F64" s="40" t="s">
        <v>74</v>
      </c>
      <c r="G64" t="s">
        <v>199</v>
      </c>
      <c r="H64" t="s">
        <v>1014</v>
      </c>
      <c r="I64" t="s">
        <v>1048</v>
      </c>
      <c r="J64" t="s">
        <v>400</v>
      </c>
      <c r="K64" t="s">
        <v>1126</v>
      </c>
      <c r="L64" t="s">
        <v>1041</v>
      </c>
      <c r="M64">
        <v>1959</v>
      </c>
      <c r="N64">
        <v>2008</v>
      </c>
      <c r="O64">
        <f t="shared" si="2"/>
        <v>50</v>
      </c>
      <c r="P64" t="s">
        <v>1052</v>
      </c>
      <c r="Q64">
        <f>(297+(-102))/(O64/10)</f>
        <v>39</v>
      </c>
      <c r="R64" t="s">
        <v>694</v>
      </c>
      <c r="S64" t="s">
        <v>1051</v>
      </c>
      <c r="T64" t="s">
        <v>1045</v>
      </c>
    </row>
    <row r="65" spans="1:20">
      <c r="A65" t="s">
        <v>620</v>
      </c>
      <c r="C65" t="s">
        <v>1047</v>
      </c>
      <c r="D65">
        <v>2017</v>
      </c>
      <c r="E65" s="40">
        <v>45881</v>
      </c>
      <c r="F65" s="40" t="s">
        <v>74</v>
      </c>
      <c r="G65" t="s">
        <v>199</v>
      </c>
      <c r="H65" t="s">
        <v>1014</v>
      </c>
      <c r="I65" t="s">
        <v>573</v>
      </c>
      <c r="J65" t="s">
        <v>400</v>
      </c>
      <c r="K65" t="s">
        <v>1126</v>
      </c>
      <c r="L65" t="s">
        <v>1041</v>
      </c>
      <c r="M65">
        <v>1959</v>
      </c>
      <c r="N65">
        <v>2008</v>
      </c>
      <c r="O65">
        <f t="shared" si="2"/>
        <v>50</v>
      </c>
      <c r="P65" t="s">
        <v>1052</v>
      </c>
      <c r="Q65">
        <f>(108.5+(-72.3))/(O65/10)</f>
        <v>7.24</v>
      </c>
      <c r="R65" t="s">
        <v>694</v>
      </c>
      <c r="S65" t="s">
        <v>1051</v>
      </c>
      <c r="T65" t="s">
        <v>1045</v>
      </c>
    </row>
    <row r="66" spans="1:20">
      <c r="A66" t="s">
        <v>620</v>
      </c>
      <c r="C66" t="s">
        <v>1047</v>
      </c>
      <c r="D66">
        <v>2017</v>
      </c>
      <c r="E66" s="40">
        <v>45881</v>
      </c>
      <c r="F66" s="40" t="s">
        <v>74</v>
      </c>
      <c r="G66" t="s">
        <v>199</v>
      </c>
      <c r="H66" t="s">
        <v>1014</v>
      </c>
      <c r="I66" t="s">
        <v>572</v>
      </c>
      <c r="J66" t="s">
        <v>400</v>
      </c>
      <c r="K66" t="s">
        <v>1126</v>
      </c>
      <c r="L66" t="s">
        <v>1041</v>
      </c>
      <c r="M66">
        <v>1959</v>
      </c>
      <c r="N66">
        <v>2008</v>
      </c>
      <c r="O66">
        <f t="shared" si="2"/>
        <v>50</v>
      </c>
      <c r="P66" t="s">
        <v>1053</v>
      </c>
      <c r="Q66">
        <f>(-88.8+(-39.4))/(O66/10)</f>
        <v>-25.639999999999997</v>
      </c>
      <c r="R66" t="s">
        <v>41</v>
      </c>
      <c r="S66" t="s">
        <v>1051</v>
      </c>
      <c r="T66" t="s">
        <v>1045</v>
      </c>
    </row>
    <row r="67" spans="1:20">
      <c r="A67" t="s">
        <v>620</v>
      </c>
      <c r="C67" t="s">
        <v>1047</v>
      </c>
      <c r="D67">
        <v>2017</v>
      </c>
      <c r="E67" s="40">
        <v>45881</v>
      </c>
      <c r="F67" s="40" t="s">
        <v>74</v>
      </c>
      <c r="G67" t="s">
        <v>199</v>
      </c>
      <c r="H67" t="s">
        <v>1014</v>
      </c>
      <c r="I67" t="s">
        <v>566</v>
      </c>
      <c r="J67" t="s">
        <v>400</v>
      </c>
      <c r="K67" t="s">
        <v>1126</v>
      </c>
      <c r="L67" t="s">
        <v>1041</v>
      </c>
      <c r="M67">
        <v>1959</v>
      </c>
      <c r="N67">
        <v>2008</v>
      </c>
      <c r="O67">
        <f t="shared" si="2"/>
        <v>50</v>
      </c>
      <c r="P67" t="s">
        <v>1053</v>
      </c>
      <c r="Q67">
        <f>(6.5+(-72))/(O67/10)</f>
        <v>-13.1</v>
      </c>
      <c r="R67" t="s">
        <v>41</v>
      </c>
      <c r="S67" t="s">
        <v>1051</v>
      </c>
      <c r="T67" t="s">
        <v>1045</v>
      </c>
    </row>
    <row r="68" spans="1:20">
      <c r="A68" t="s">
        <v>620</v>
      </c>
      <c r="C68" t="s">
        <v>1047</v>
      </c>
      <c r="D68">
        <v>2017</v>
      </c>
      <c r="E68" s="40">
        <v>45881</v>
      </c>
      <c r="F68" s="40" t="s">
        <v>74</v>
      </c>
      <c r="G68" t="s">
        <v>199</v>
      </c>
      <c r="H68" t="s">
        <v>1014</v>
      </c>
      <c r="I68" t="s">
        <v>574</v>
      </c>
      <c r="J68" t="s">
        <v>400</v>
      </c>
      <c r="K68" t="s">
        <v>1126</v>
      </c>
      <c r="L68" t="s">
        <v>1041</v>
      </c>
      <c r="M68">
        <v>1959</v>
      </c>
      <c r="N68">
        <v>2008</v>
      </c>
      <c r="O68">
        <f t="shared" si="2"/>
        <v>50</v>
      </c>
      <c r="P68" t="s">
        <v>1052</v>
      </c>
      <c r="Q68">
        <f>(37.8+(60.8))/(O68/10)</f>
        <v>19.72</v>
      </c>
      <c r="R68" t="s">
        <v>694</v>
      </c>
      <c r="S68" t="s">
        <v>1051</v>
      </c>
      <c r="T68" t="s">
        <v>1045</v>
      </c>
    </row>
    <row r="69" spans="1:20">
      <c r="A69" t="s">
        <v>620</v>
      </c>
      <c r="C69" t="s">
        <v>1047</v>
      </c>
      <c r="D69">
        <v>2017</v>
      </c>
      <c r="E69" s="40">
        <v>45881</v>
      </c>
      <c r="F69" s="40" t="s">
        <v>74</v>
      </c>
      <c r="G69" t="s">
        <v>199</v>
      </c>
      <c r="H69" t="s">
        <v>1014</v>
      </c>
      <c r="I69" t="s">
        <v>575</v>
      </c>
      <c r="J69" t="s">
        <v>400</v>
      </c>
      <c r="K69" t="s">
        <v>1126</v>
      </c>
      <c r="L69" t="s">
        <v>1041</v>
      </c>
      <c r="M69">
        <v>1959</v>
      </c>
      <c r="N69">
        <v>2008</v>
      </c>
      <c r="O69">
        <f t="shared" si="2"/>
        <v>50</v>
      </c>
      <c r="P69" t="s">
        <v>1052</v>
      </c>
      <c r="Q69">
        <f>(226.9+(74))/(O69/10)</f>
        <v>60.179999999999993</v>
      </c>
      <c r="R69" t="s">
        <v>694</v>
      </c>
      <c r="S69" t="s">
        <v>1051</v>
      </c>
      <c r="T69" t="s">
        <v>1045</v>
      </c>
    </row>
    <row r="70" spans="1:20">
      <c r="A70" t="s">
        <v>620</v>
      </c>
      <c r="C70" t="s">
        <v>1047</v>
      </c>
      <c r="D70">
        <v>2017</v>
      </c>
      <c r="E70" s="40">
        <v>45881</v>
      </c>
      <c r="F70" s="40" t="s">
        <v>74</v>
      </c>
      <c r="G70" t="s">
        <v>199</v>
      </c>
      <c r="H70" t="s">
        <v>1014</v>
      </c>
      <c r="I70" t="s">
        <v>65</v>
      </c>
      <c r="J70" t="s">
        <v>400</v>
      </c>
      <c r="K70" t="s">
        <v>1126</v>
      </c>
      <c r="L70" t="s">
        <v>1041</v>
      </c>
      <c r="M70">
        <v>1959</v>
      </c>
      <c r="N70">
        <v>2008</v>
      </c>
      <c r="O70">
        <f t="shared" si="2"/>
        <v>50</v>
      </c>
      <c r="P70" t="s">
        <v>1052</v>
      </c>
      <c r="Q70">
        <f>(46+(141.4))/(O70/10)</f>
        <v>37.480000000000004</v>
      </c>
      <c r="R70" t="s">
        <v>694</v>
      </c>
      <c r="S70" t="s">
        <v>1051</v>
      </c>
      <c r="T70" t="s">
        <v>1045</v>
      </c>
    </row>
    <row r="71" spans="1:20">
      <c r="A71" t="s">
        <v>620</v>
      </c>
      <c r="C71" t="s">
        <v>1047</v>
      </c>
      <c r="D71">
        <v>2017</v>
      </c>
      <c r="E71" s="40">
        <v>45881</v>
      </c>
      <c r="F71" s="40" t="s">
        <v>74</v>
      </c>
      <c r="G71" t="s">
        <v>199</v>
      </c>
      <c r="H71" t="s">
        <v>1014</v>
      </c>
      <c r="I71" t="s">
        <v>336</v>
      </c>
      <c r="J71" t="s">
        <v>400</v>
      </c>
      <c r="K71" t="s">
        <v>1126</v>
      </c>
      <c r="L71" t="s">
        <v>1041</v>
      </c>
      <c r="M71">
        <v>1959</v>
      </c>
      <c r="N71">
        <v>2008</v>
      </c>
      <c r="O71">
        <f t="shared" si="2"/>
        <v>50</v>
      </c>
      <c r="P71" t="s">
        <v>1052</v>
      </c>
      <c r="Q71">
        <f>(-6.5+(182.5))/(O71/10)</f>
        <v>35.200000000000003</v>
      </c>
      <c r="R71" t="s">
        <v>694</v>
      </c>
      <c r="S71" t="s">
        <v>1051</v>
      </c>
      <c r="T71" t="s">
        <v>1045</v>
      </c>
    </row>
    <row r="72" spans="1:20">
      <c r="A72" t="s">
        <v>620</v>
      </c>
      <c r="C72" t="s">
        <v>1047</v>
      </c>
      <c r="D72">
        <v>2017</v>
      </c>
      <c r="E72" s="40">
        <v>45881</v>
      </c>
      <c r="F72" s="40" t="s">
        <v>74</v>
      </c>
      <c r="G72" t="s">
        <v>199</v>
      </c>
      <c r="H72" t="s">
        <v>1014</v>
      </c>
      <c r="I72" t="s">
        <v>66</v>
      </c>
      <c r="J72" t="s">
        <v>400</v>
      </c>
      <c r="K72" t="s">
        <v>1126</v>
      </c>
      <c r="L72" t="s">
        <v>1041</v>
      </c>
      <c r="M72">
        <v>1959</v>
      </c>
      <c r="N72">
        <v>2008</v>
      </c>
      <c r="O72">
        <f t="shared" si="2"/>
        <v>50</v>
      </c>
      <c r="P72" t="s">
        <v>1052</v>
      </c>
      <c r="Q72">
        <f>(14.8+(256.5))/(O72/10)</f>
        <v>54.260000000000005</v>
      </c>
      <c r="R72" t="s">
        <v>694</v>
      </c>
      <c r="S72" t="s">
        <v>1051</v>
      </c>
      <c r="T72" t="s">
        <v>1045</v>
      </c>
    </row>
    <row r="73" spans="1:20">
      <c r="A73" t="s">
        <v>620</v>
      </c>
      <c r="C73" s="47" t="s">
        <v>1047</v>
      </c>
      <c r="D73">
        <v>2017</v>
      </c>
      <c r="E73" s="40">
        <v>45881</v>
      </c>
      <c r="F73" s="40" t="s">
        <v>74</v>
      </c>
      <c r="G73" t="s">
        <v>199</v>
      </c>
      <c r="H73" t="s">
        <v>1014</v>
      </c>
      <c r="I73" t="s">
        <v>1049</v>
      </c>
      <c r="J73" t="s">
        <v>400</v>
      </c>
      <c r="K73" t="s">
        <v>1126</v>
      </c>
      <c r="L73" t="s">
        <v>1041</v>
      </c>
      <c r="M73">
        <v>1959</v>
      </c>
      <c r="N73">
        <v>2008</v>
      </c>
      <c r="O73">
        <f t="shared" si="2"/>
        <v>50</v>
      </c>
      <c r="P73" t="s">
        <v>1052</v>
      </c>
      <c r="Q73">
        <f>(-491.7+(680.9))/(O73/10)</f>
        <v>37.839999999999996</v>
      </c>
      <c r="R73" t="s">
        <v>694</v>
      </c>
      <c r="S73" t="s">
        <v>1051</v>
      </c>
      <c r="T73" t="s">
        <v>1045</v>
      </c>
    </row>
    <row r="74" spans="1:20">
      <c r="A74" t="s">
        <v>621</v>
      </c>
      <c r="C74" t="s">
        <v>1282</v>
      </c>
      <c r="D74">
        <v>2017</v>
      </c>
      <c r="E74" s="40">
        <v>45887</v>
      </c>
      <c r="F74" t="s">
        <v>1185</v>
      </c>
      <c r="G74" t="s">
        <v>205</v>
      </c>
      <c r="H74" t="s">
        <v>1193</v>
      </c>
      <c r="I74" t="s">
        <v>577</v>
      </c>
      <c r="J74" t="s">
        <v>418</v>
      </c>
      <c r="K74" t="s">
        <v>1126</v>
      </c>
      <c r="L74" t="s">
        <v>1281</v>
      </c>
      <c r="M74">
        <v>1993</v>
      </c>
      <c r="N74">
        <v>2010</v>
      </c>
      <c r="O74">
        <f t="shared" si="2"/>
        <v>18</v>
      </c>
      <c r="Q74">
        <v>-215.15</v>
      </c>
      <c r="R74" t="s">
        <v>41</v>
      </c>
      <c r="T74" t="s">
        <v>1187</v>
      </c>
    </row>
    <row r="75" spans="1:20">
      <c r="A75" t="s">
        <v>621</v>
      </c>
      <c r="C75" t="s">
        <v>1282</v>
      </c>
      <c r="D75">
        <v>2017</v>
      </c>
      <c r="E75" s="40">
        <v>45887</v>
      </c>
      <c r="F75" t="s">
        <v>1185</v>
      </c>
      <c r="G75" t="s">
        <v>205</v>
      </c>
      <c r="H75" t="s">
        <v>1192</v>
      </c>
      <c r="I75" t="s">
        <v>580</v>
      </c>
      <c r="J75" t="s">
        <v>400</v>
      </c>
      <c r="K75" t="s">
        <v>1126</v>
      </c>
      <c r="L75" t="s">
        <v>1281</v>
      </c>
      <c r="M75">
        <v>1993</v>
      </c>
      <c r="N75">
        <v>2010</v>
      </c>
      <c r="O75">
        <f t="shared" si="2"/>
        <v>18</v>
      </c>
      <c r="Q75">
        <v>-83.179999999999993</v>
      </c>
      <c r="R75" t="s">
        <v>41</v>
      </c>
      <c r="T75" t="s">
        <v>1187</v>
      </c>
    </row>
    <row r="76" spans="1:20">
      <c r="A76" t="s">
        <v>621</v>
      </c>
      <c r="C76" t="s">
        <v>1282</v>
      </c>
      <c r="D76">
        <v>2017</v>
      </c>
      <c r="E76" s="40">
        <v>45887</v>
      </c>
      <c r="F76" t="s">
        <v>1185</v>
      </c>
      <c r="G76" t="s">
        <v>205</v>
      </c>
      <c r="H76" t="s">
        <v>1192</v>
      </c>
      <c r="I76" t="s">
        <v>584</v>
      </c>
      <c r="J76" t="s">
        <v>400</v>
      </c>
      <c r="K76" t="s">
        <v>1126</v>
      </c>
      <c r="L76" t="s">
        <v>1281</v>
      </c>
      <c r="M76">
        <v>1993</v>
      </c>
      <c r="N76">
        <v>2010</v>
      </c>
      <c r="O76">
        <f t="shared" si="2"/>
        <v>18</v>
      </c>
      <c r="Q76">
        <v>-40.159999999999997</v>
      </c>
      <c r="R76" t="s">
        <v>41</v>
      </c>
      <c r="T76" t="s">
        <v>1187</v>
      </c>
    </row>
    <row r="77" spans="1:20">
      <c r="A77" t="s">
        <v>621</v>
      </c>
      <c r="C77" t="s">
        <v>1282</v>
      </c>
      <c r="D77">
        <v>2017</v>
      </c>
      <c r="E77" s="40">
        <v>45887</v>
      </c>
      <c r="F77" t="s">
        <v>1185</v>
      </c>
      <c r="G77" t="s">
        <v>205</v>
      </c>
      <c r="H77" t="s">
        <v>1192</v>
      </c>
      <c r="I77" t="s">
        <v>586</v>
      </c>
      <c r="J77" t="s">
        <v>400</v>
      </c>
      <c r="K77" t="s">
        <v>1126</v>
      </c>
      <c r="L77" t="s">
        <v>1281</v>
      </c>
      <c r="M77">
        <v>1993</v>
      </c>
      <c r="N77">
        <v>2010</v>
      </c>
      <c r="O77">
        <f t="shared" si="2"/>
        <v>18</v>
      </c>
      <c r="Q77">
        <v>-36.840000000000003</v>
      </c>
      <c r="R77" t="s">
        <v>41</v>
      </c>
      <c r="T77" t="s">
        <v>1187</v>
      </c>
    </row>
    <row r="78" spans="1:20">
      <c r="A78" t="s">
        <v>621</v>
      </c>
      <c r="C78" t="s">
        <v>1282</v>
      </c>
      <c r="D78">
        <v>2017</v>
      </c>
      <c r="E78" s="40">
        <v>45887</v>
      </c>
      <c r="F78" t="s">
        <v>1185</v>
      </c>
      <c r="G78" t="s">
        <v>205</v>
      </c>
      <c r="H78" t="s">
        <v>1192</v>
      </c>
      <c r="I78" t="s">
        <v>470</v>
      </c>
      <c r="J78" t="s">
        <v>431</v>
      </c>
      <c r="K78" t="s">
        <v>1126</v>
      </c>
      <c r="L78" t="s">
        <v>1281</v>
      </c>
      <c r="M78">
        <v>1993</v>
      </c>
      <c r="N78">
        <v>2010</v>
      </c>
      <c r="O78">
        <f t="shared" si="2"/>
        <v>18</v>
      </c>
      <c r="Q78">
        <v>-21.080000000000002</v>
      </c>
      <c r="R78" t="s">
        <v>41</v>
      </c>
      <c r="T78" t="s">
        <v>1187</v>
      </c>
    </row>
    <row r="79" spans="1:20">
      <c r="A79" t="s">
        <v>621</v>
      </c>
      <c r="C79" t="s">
        <v>1282</v>
      </c>
      <c r="D79">
        <v>2017</v>
      </c>
      <c r="E79" s="40">
        <v>45887</v>
      </c>
      <c r="F79" t="s">
        <v>1185</v>
      </c>
      <c r="G79" t="s">
        <v>205</v>
      </c>
      <c r="H79" t="s">
        <v>1192</v>
      </c>
      <c r="I79" t="s">
        <v>587</v>
      </c>
      <c r="J79" t="s">
        <v>431</v>
      </c>
      <c r="K79" t="s">
        <v>1126</v>
      </c>
      <c r="L79" t="s">
        <v>1281</v>
      </c>
      <c r="M79">
        <v>1993</v>
      </c>
      <c r="N79">
        <v>2010</v>
      </c>
      <c r="O79">
        <f t="shared" si="2"/>
        <v>18</v>
      </c>
      <c r="Q79">
        <v>-11.370000000000001</v>
      </c>
      <c r="R79" t="s">
        <v>41</v>
      </c>
      <c r="T79" t="s">
        <v>1187</v>
      </c>
    </row>
    <row r="80" spans="1:20">
      <c r="A80" t="s">
        <v>621</v>
      </c>
      <c r="C80" t="s">
        <v>1282</v>
      </c>
      <c r="D80">
        <v>2017</v>
      </c>
      <c r="E80" s="40">
        <v>45887</v>
      </c>
      <c r="F80" t="s">
        <v>1185</v>
      </c>
      <c r="G80" t="s">
        <v>205</v>
      </c>
      <c r="H80" t="s">
        <v>1192</v>
      </c>
      <c r="I80" t="s">
        <v>588</v>
      </c>
      <c r="J80" t="s">
        <v>431</v>
      </c>
      <c r="K80" t="s">
        <v>1126</v>
      </c>
      <c r="L80" t="s">
        <v>1281</v>
      </c>
      <c r="M80">
        <v>1993</v>
      </c>
      <c r="N80">
        <v>2010</v>
      </c>
      <c r="O80">
        <f t="shared" si="2"/>
        <v>18</v>
      </c>
      <c r="Q80">
        <v>-0.52</v>
      </c>
      <c r="R80" t="s">
        <v>41</v>
      </c>
      <c r="T80" t="s">
        <v>1187</v>
      </c>
    </row>
    <row r="81" spans="1:20">
      <c r="A81" t="s">
        <v>621</v>
      </c>
      <c r="C81" t="s">
        <v>1282</v>
      </c>
      <c r="D81">
        <v>2017</v>
      </c>
      <c r="E81" s="40">
        <v>45887</v>
      </c>
      <c r="F81" t="s">
        <v>1185</v>
      </c>
      <c r="G81" t="s">
        <v>205</v>
      </c>
      <c r="H81" t="s">
        <v>1192</v>
      </c>
      <c r="I81" t="s">
        <v>589</v>
      </c>
      <c r="J81" t="s">
        <v>431</v>
      </c>
      <c r="K81" t="s">
        <v>1126</v>
      </c>
      <c r="L81" t="s">
        <v>1281</v>
      </c>
      <c r="M81">
        <v>1993</v>
      </c>
      <c r="N81">
        <v>2010</v>
      </c>
      <c r="O81">
        <f t="shared" si="2"/>
        <v>18</v>
      </c>
      <c r="Q81">
        <v>0</v>
      </c>
      <c r="R81" t="s">
        <v>223</v>
      </c>
      <c r="T81" t="s">
        <v>1187</v>
      </c>
    </row>
    <row r="82" spans="1:20">
      <c r="A82" t="s">
        <v>621</v>
      </c>
      <c r="C82" t="s">
        <v>1282</v>
      </c>
      <c r="D82">
        <v>2017</v>
      </c>
      <c r="E82" s="40">
        <v>45887</v>
      </c>
      <c r="F82" t="s">
        <v>1185</v>
      </c>
      <c r="G82" t="s">
        <v>205</v>
      </c>
      <c r="H82" t="s">
        <v>1192</v>
      </c>
      <c r="I82" t="s">
        <v>589</v>
      </c>
      <c r="J82" t="s">
        <v>400</v>
      </c>
      <c r="K82" t="s">
        <v>1126</v>
      </c>
      <c r="L82" t="s">
        <v>1281</v>
      </c>
      <c r="M82">
        <v>1993</v>
      </c>
      <c r="N82">
        <v>2010</v>
      </c>
      <c r="O82">
        <f t="shared" si="2"/>
        <v>18</v>
      </c>
      <c r="Q82">
        <v>0</v>
      </c>
      <c r="R82" t="s">
        <v>223</v>
      </c>
      <c r="T82" t="s">
        <v>1187</v>
      </c>
    </row>
    <row r="83" spans="1:20">
      <c r="A83" t="s">
        <v>621</v>
      </c>
      <c r="C83" t="s">
        <v>1282</v>
      </c>
      <c r="D83">
        <v>2017</v>
      </c>
      <c r="E83" s="40">
        <v>45887</v>
      </c>
      <c r="F83" t="s">
        <v>1185</v>
      </c>
      <c r="G83" t="s">
        <v>205</v>
      </c>
      <c r="H83" t="s">
        <v>1192</v>
      </c>
      <c r="I83" t="s">
        <v>590</v>
      </c>
      <c r="J83" t="s">
        <v>400</v>
      </c>
      <c r="K83" t="s">
        <v>1126</v>
      </c>
      <c r="L83" t="s">
        <v>1281</v>
      </c>
      <c r="M83">
        <v>1993</v>
      </c>
      <c r="N83">
        <v>2010</v>
      </c>
      <c r="O83">
        <f t="shared" si="2"/>
        <v>18</v>
      </c>
      <c r="Q83">
        <v>0</v>
      </c>
      <c r="R83" t="s">
        <v>223</v>
      </c>
      <c r="T83" t="s">
        <v>1187</v>
      </c>
    </row>
    <row r="84" spans="1:20">
      <c r="A84" t="s">
        <v>621</v>
      </c>
      <c r="C84" t="s">
        <v>1282</v>
      </c>
      <c r="D84">
        <v>2017</v>
      </c>
      <c r="E84" s="40">
        <v>45887</v>
      </c>
      <c r="F84" t="s">
        <v>1185</v>
      </c>
      <c r="G84" t="s">
        <v>205</v>
      </c>
      <c r="H84" t="s">
        <v>1192</v>
      </c>
      <c r="I84" t="s">
        <v>589</v>
      </c>
      <c r="J84" t="s">
        <v>418</v>
      </c>
      <c r="K84" t="s">
        <v>1126</v>
      </c>
      <c r="L84" t="s">
        <v>1281</v>
      </c>
      <c r="M84">
        <v>1993</v>
      </c>
      <c r="N84">
        <v>2010</v>
      </c>
      <c r="O84">
        <f t="shared" si="2"/>
        <v>18</v>
      </c>
      <c r="Q84">
        <v>0</v>
      </c>
      <c r="R84" t="s">
        <v>223</v>
      </c>
      <c r="T84" t="s">
        <v>1187</v>
      </c>
    </row>
    <row r="85" spans="1:20">
      <c r="A85" t="s">
        <v>621</v>
      </c>
      <c r="C85" t="s">
        <v>1282</v>
      </c>
      <c r="D85">
        <v>2017</v>
      </c>
      <c r="E85" s="40">
        <v>45887</v>
      </c>
      <c r="F85" t="s">
        <v>1185</v>
      </c>
      <c r="G85" t="s">
        <v>205</v>
      </c>
      <c r="H85" t="s">
        <v>1192</v>
      </c>
      <c r="I85" t="s">
        <v>590</v>
      </c>
      <c r="J85" t="s">
        <v>418</v>
      </c>
      <c r="K85" t="s">
        <v>1126</v>
      </c>
      <c r="L85" t="s">
        <v>1281</v>
      </c>
      <c r="M85">
        <v>1993</v>
      </c>
      <c r="N85">
        <v>2010</v>
      </c>
      <c r="O85">
        <f t="shared" si="2"/>
        <v>18</v>
      </c>
      <c r="Q85">
        <v>0</v>
      </c>
      <c r="R85" t="s">
        <v>223</v>
      </c>
      <c r="T85" t="s">
        <v>1187</v>
      </c>
    </row>
    <row r="86" spans="1:20">
      <c r="A86" t="s">
        <v>621</v>
      </c>
      <c r="C86" t="s">
        <v>1282</v>
      </c>
      <c r="D86">
        <v>2017</v>
      </c>
      <c r="E86" s="40">
        <v>45887</v>
      </c>
      <c r="F86" t="s">
        <v>1185</v>
      </c>
      <c r="G86" t="s">
        <v>205</v>
      </c>
      <c r="H86" t="s">
        <v>910</v>
      </c>
      <c r="I86" t="s">
        <v>591</v>
      </c>
      <c r="J86" t="s">
        <v>418</v>
      </c>
      <c r="K86" t="s">
        <v>1126</v>
      </c>
      <c r="L86" t="s">
        <v>1281</v>
      </c>
      <c r="M86">
        <v>1993</v>
      </c>
      <c r="N86">
        <v>2010</v>
      </c>
      <c r="O86">
        <f t="shared" si="2"/>
        <v>18</v>
      </c>
      <c r="Q86">
        <v>0</v>
      </c>
      <c r="R86" t="s">
        <v>223</v>
      </c>
      <c r="T86" t="s">
        <v>1187</v>
      </c>
    </row>
    <row r="87" spans="1:20">
      <c r="A87" t="s">
        <v>621</v>
      </c>
      <c r="C87" t="s">
        <v>1282</v>
      </c>
      <c r="D87">
        <v>2017</v>
      </c>
      <c r="E87" s="40">
        <v>45887</v>
      </c>
      <c r="F87" t="s">
        <v>1185</v>
      </c>
      <c r="G87" t="s">
        <v>205</v>
      </c>
      <c r="H87" t="s">
        <v>1192</v>
      </c>
      <c r="I87" t="s">
        <v>590</v>
      </c>
      <c r="J87" t="s">
        <v>431</v>
      </c>
      <c r="K87" t="s">
        <v>1126</v>
      </c>
      <c r="L87" t="s">
        <v>1281</v>
      </c>
      <c r="M87">
        <v>1993</v>
      </c>
      <c r="N87">
        <v>2010</v>
      </c>
      <c r="O87">
        <f t="shared" si="2"/>
        <v>18</v>
      </c>
      <c r="Q87">
        <v>0</v>
      </c>
      <c r="R87" t="s">
        <v>223</v>
      </c>
      <c r="T87" t="s">
        <v>1187</v>
      </c>
    </row>
    <row r="88" spans="1:20">
      <c r="A88" t="s">
        <v>621</v>
      </c>
      <c r="C88" t="s">
        <v>1282</v>
      </c>
      <c r="D88">
        <v>2017</v>
      </c>
      <c r="E88" s="40">
        <v>45887</v>
      </c>
      <c r="F88" t="s">
        <v>1185</v>
      </c>
      <c r="G88" t="s">
        <v>205</v>
      </c>
      <c r="H88" t="s">
        <v>910</v>
      </c>
      <c r="I88" t="s">
        <v>591</v>
      </c>
      <c r="J88" t="s">
        <v>400</v>
      </c>
      <c r="K88" t="s">
        <v>1126</v>
      </c>
      <c r="L88" t="s">
        <v>1281</v>
      </c>
      <c r="M88">
        <v>1993</v>
      </c>
      <c r="N88">
        <v>2010</v>
      </c>
      <c r="O88">
        <f t="shared" si="2"/>
        <v>18</v>
      </c>
      <c r="Q88">
        <v>0</v>
      </c>
      <c r="R88" t="s">
        <v>223</v>
      </c>
      <c r="T88" t="s">
        <v>1187</v>
      </c>
    </row>
    <row r="89" spans="1:20">
      <c r="A89" t="s">
        <v>621</v>
      </c>
      <c r="C89" t="s">
        <v>1282</v>
      </c>
      <c r="D89">
        <v>2017</v>
      </c>
      <c r="E89" s="40">
        <v>45887</v>
      </c>
      <c r="F89" t="s">
        <v>1185</v>
      </c>
      <c r="G89" t="s">
        <v>205</v>
      </c>
      <c r="H89" t="s">
        <v>910</v>
      </c>
      <c r="I89" t="s">
        <v>591</v>
      </c>
      <c r="J89" t="s">
        <v>431</v>
      </c>
      <c r="K89" t="s">
        <v>1126</v>
      </c>
      <c r="L89" t="s">
        <v>1281</v>
      </c>
      <c r="M89">
        <v>1993</v>
      </c>
      <c r="N89">
        <v>2010</v>
      </c>
      <c r="O89">
        <f t="shared" si="2"/>
        <v>18</v>
      </c>
      <c r="Q89">
        <v>0</v>
      </c>
      <c r="R89" t="s">
        <v>223</v>
      </c>
      <c r="T89" t="s">
        <v>1187</v>
      </c>
    </row>
    <row r="90" spans="1:20">
      <c r="A90" t="s">
        <v>621</v>
      </c>
      <c r="C90" t="s">
        <v>1282</v>
      </c>
      <c r="D90">
        <v>2017</v>
      </c>
      <c r="E90" s="40">
        <v>45887</v>
      </c>
      <c r="F90" t="s">
        <v>1185</v>
      </c>
      <c r="G90" t="s">
        <v>205</v>
      </c>
      <c r="H90" t="s">
        <v>1193</v>
      </c>
      <c r="I90" t="s">
        <v>592</v>
      </c>
      <c r="J90" t="s">
        <v>431</v>
      </c>
      <c r="K90" t="s">
        <v>1126</v>
      </c>
      <c r="L90" t="s">
        <v>1281</v>
      </c>
      <c r="M90">
        <v>1993</v>
      </c>
      <c r="N90">
        <v>2010</v>
      </c>
      <c r="O90">
        <f t="shared" si="2"/>
        <v>18</v>
      </c>
      <c r="Q90">
        <v>1.73</v>
      </c>
      <c r="R90" t="s">
        <v>694</v>
      </c>
      <c r="T90" t="s">
        <v>1187</v>
      </c>
    </row>
    <row r="91" spans="1:20">
      <c r="A91" t="s">
        <v>621</v>
      </c>
      <c r="C91" t="s">
        <v>1282</v>
      </c>
      <c r="D91">
        <v>2017</v>
      </c>
      <c r="E91" s="40">
        <v>45887</v>
      </c>
      <c r="F91" t="s">
        <v>1185</v>
      </c>
      <c r="G91" t="s">
        <v>205</v>
      </c>
      <c r="H91" t="s">
        <v>1192</v>
      </c>
      <c r="I91" t="s">
        <v>588</v>
      </c>
      <c r="J91" t="s">
        <v>400</v>
      </c>
      <c r="K91" t="s">
        <v>1126</v>
      </c>
      <c r="L91" t="s">
        <v>1281</v>
      </c>
      <c r="M91">
        <v>1993</v>
      </c>
      <c r="N91">
        <v>2010</v>
      </c>
      <c r="O91">
        <f t="shared" si="2"/>
        <v>18</v>
      </c>
      <c r="Q91">
        <v>3.21</v>
      </c>
      <c r="R91" t="s">
        <v>694</v>
      </c>
      <c r="T91" t="s">
        <v>1187</v>
      </c>
    </row>
    <row r="92" spans="1:20">
      <c r="A92" t="s">
        <v>621</v>
      </c>
      <c r="C92" t="s">
        <v>1282</v>
      </c>
      <c r="D92">
        <v>2017</v>
      </c>
      <c r="E92" s="40">
        <v>45887</v>
      </c>
      <c r="F92" t="s">
        <v>1185</v>
      </c>
      <c r="G92" t="s">
        <v>205</v>
      </c>
      <c r="H92" t="s">
        <v>1192</v>
      </c>
      <c r="I92" t="s">
        <v>595</v>
      </c>
      <c r="J92" t="s">
        <v>431</v>
      </c>
      <c r="K92" t="s">
        <v>1126</v>
      </c>
      <c r="L92" t="s">
        <v>1281</v>
      </c>
      <c r="M92">
        <v>1993</v>
      </c>
      <c r="N92">
        <v>2010</v>
      </c>
      <c r="O92">
        <f t="shared" ref="O92:O123" si="3">N92-M92+1</f>
        <v>18</v>
      </c>
      <c r="Q92">
        <v>6.8000000000000007</v>
      </c>
      <c r="R92" t="s">
        <v>694</v>
      </c>
      <c r="T92" t="s">
        <v>1187</v>
      </c>
    </row>
    <row r="93" spans="1:20">
      <c r="A93" t="s">
        <v>621</v>
      </c>
      <c r="C93" t="s">
        <v>1282</v>
      </c>
      <c r="D93">
        <v>2017</v>
      </c>
      <c r="E93" s="40">
        <v>45887</v>
      </c>
      <c r="F93" t="s">
        <v>1185</v>
      </c>
      <c r="G93" t="s">
        <v>205</v>
      </c>
      <c r="H93" t="s">
        <v>1192</v>
      </c>
      <c r="I93" t="s">
        <v>586</v>
      </c>
      <c r="J93" t="s">
        <v>431</v>
      </c>
      <c r="K93" t="s">
        <v>1126</v>
      </c>
      <c r="L93" t="s">
        <v>1281</v>
      </c>
      <c r="M93">
        <v>1993</v>
      </c>
      <c r="N93">
        <v>2010</v>
      </c>
      <c r="O93">
        <f t="shared" si="3"/>
        <v>18</v>
      </c>
      <c r="Q93">
        <v>6.8000000000000007</v>
      </c>
      <c r="R93" t="s">
        <v>694</v>
      </c>
      <c r="T93" t="s">
        <v>1187</v>
      </c>
    </row>
    <row r="94" spans="1:20">
      <c r="A94" t="s">
        <v>621</v>
      </c>
      <c r="C94" t="s">
        <v>1282</v>
      </c>
      <c r="D94">
        <v>2017</v>
      </c>
      <c r="E94" s="40">
        <v>45887</v>
      </c>
      <c r="F94" t="s">
        <v>1185</v>
      </c>
      <c r="G94" t="s">
        <v>205</v>
      </c>
      <c r="H94" t="s">
        <v>1192</v>
      </c>
      <c r="I94" t="s">
        <v>580</v>
      </c>
      <c r="J94" t="s">
        <v>431</v>
      </c>
      <c r="K94" t="s">
        <v>1126</v>
      </c>
      <c r="L94" t="s">
        <v>1281</v>
      </c>
      <c r="M94">
        <v>1993</v>
      </c>
      <c r="N94">
        <v>2010</v>
      </c>
      <c r="O94">
        <f t="shared" si="3"/>
        <v>18</v>
      </c>
      <c r="Q94">
        <v>6.8000000000000007</v>
      </c>
      <c r="R94" t="s">
        <v>694</v>
      </c>
      <c r="T94" t="s">
        <v>1187</v>
      </c>
    </row>
    <row r="95" spans="1:20">
      <c r="A95" t="s">
        <v>621</v>
      </c>
      <c r="C95" t="s">
        <v>1282</v>
      </c>
      <c r="D95">
        <v>2017</v>
      </c>
      <c r="E95" s="40">
        <v>45887</v>
      </c>
      <c r="F95" t="s">
        <v>1185</v>
      </c>
      <c r="G95" t="s">
        <v>205</v>
      </c>
      <c r="H95" t="s">
        <v>1193</v>
      </c>
      <c r="I95" t="s">
        <v>577</v>
      </c>
      <c r="J95" t="s">
        <v>431</v>
      </c>
      <c r="K95" t="s">
        <v>1126</v>
      </c>
      <c r="L95" t="s">
        <v>1281</v>
      </c>
      <c r="M95">
        <v>1993</v>
      </c>
      <c r="N95">
        <v>2010</v>
      </c>
      <c r="O95">
        <f t="shared" si="3"/>
        <v>18</v>
      </c>
      <c r="Q95">
        <v>6.8000000000000007</v>
      </c>
      <c r="R95" t="s">
        <v>694</v>
      </c>
      <c r="T95" t="s">
        <v>1187</v>
      </c>
    </row>
    <row r="96" spans="1:20">
      <c r="A96" t="s">
        <v>621</v>
      </c>
      <c r="C96" t="s">
        <v>1282</v>
      </c>
      <c r="D96">
        <v>2017</v>
      </c>
      <c r="E96" s="40">
        <v>45887</v>
      </c>
      <c r="F96" t="s">
        <v>1185</v>
      </c>
      <c r="G96" t="s">
        <v>205</v>
      </c>
      <c r="H96" t="s">
        <v>1192</v>
      </c>
      <c r="I96" t="s">
        <v>584</v>
      </c>
      <c r="J96" t="s">
        <v>431</v>
      </c>
      <c r="K96" t="s">
        <v>1126</v>
      </c>
      <c r="L96" t="s">
        <v>1281</v>
      </c>
      <c r="M96">
        <v>1993</v>
      </c>
      <c r="N96">
        <v>2010</v>
      </c>
      <c r="O96">
        <f t="shared" si="3"/>
        <v>18</v>
      </c>
      <c r="Q96">
        <v>6.8000000000000007</v>
      </c>
      <c r="R96" t="s">
        <v>694</v>
      </c>
      <c r="T96" t="s">
        <v>1187</v>
      </c>
    </row>
    <row r="97" spans="1:20">
      <c r="A97" t="s">
        <v>621</v>
      </c>
      <c r="C97" t="s">
        <v>1282</v>
      </c>
      <c r="D97">
        <v>2017</v>
      </c>
      <c r="E97" s="40">
        <v>45887</v>
      </c>
      <c r="F97" t="s">
        <v>1185</v>
      </c>
      <c r="G97" t="s">
        <v>205</v>
      </c>
      <c r="H97" t="s">
        <v>1269</v>
      </c>
      <c r="I97" t="s">
        <v>599</v>
      </c>
      <c r="J97" t="s">
        <v>431</v>
      </c>
      <c r="K97" t="s">
        <v>1126</v>
      </c>
      <c r="L97" t="s">
        <v>1281</v>
      </c>
      <c r="M97">
        <v>1993</v>
      </c>
      <c r="N97">
        <v>2010</v>
      </c>
      <c r="O97">
        <f t="shared" si="3"/>
        <v>18</v>
      </c>
      <c r="Q97">
        <v>7.78</v>
      </c>
      <c r="R97" t="s">
        <v>694</v>
      </c>
      <c r="T97" t="s">
        <v>1187</v>
      </c>
    </row>
    <row r="98" spans="1:20">
      <c r="A98" t="s">
        <v>621</v>
      </c>
      <c r="C98" t="s">
        <v>1282</v>
      </c>
      <c r="D98">
        <v>2017</v>
      </c>
      <c r="E98" s="40">
        <v>45887</v>
      </c>
      <c r="F98" t="s">
        <v>1185</v>
      </c>
      <c r="G98" t="s">
        <v>205</v>
      </c>
      <c r="H98" t="s">
        <v>1192</v>
      </c>
      <c r="I98" t="s">
        <v>602</v>
      </c>
      <c r="J98" t="s">
        <v>431</v>
      </c>
      <c r="K98" t="s">
        <v>1126</v>
      </c>
      <c r="L98" t="s">
        <v>1281</v>
      </c>
      <c r="M98">
        <v>1993</v>
      </c>
      <c r="N98">
        <v>2010</v>
      </c>
      <c r="O98">
        <f t="shared" si="3"/>
        <v>18</v>
      </c>
      <c r="Q98">
        <v>10.02</v>
      </c>
      <c r="R98" t="s">
        <v>694</v>
      </c>
      <c r="T98" t="s">
        <v>1187</v>
      </c>
    </row>
    <row r="99" spans="1:20">
      <c r="A99" t="s">
        <v>621</v>
      </c>
      <c r="C99" t="s">
        <v>1282</v>
      </c>
      <c r="D99">
        <v>2017</v>
      </c>
      <c r="E99" s="40">
        <v>45887</v>
      </c>
      <c r="F99" t="s">
        <v>1185</v>
      </c>
      <c r="G99" t="s">
        <v>205</v>
      </c>
      <c r="H99" t="s">
        <v>1269</v>
      </c>
      <c r="I99" t="s">
        <v>599</v>
      </c>
      <c r="J99" t="s">
        <v>400</v>
      </c>
      <c r="K99" t="s">
        <v>1126</v>
      </c>
      <c r="L99" t="s">
        <v>1281</v>
      </c>
      <c r="M99">
        <v>1993</v>
      </c>
      <c r="N99">
        <v>2010</v>
      </c>
      <c r="O99">
        <f t="shared" si="3"/>
        <v>18</v>
      </c>
      <c r="Q99">
        <v>17.36</v>
      </c>
      <c r="R99" t="s">
        <v>694</v>
      </c>
      <c r="T99" t="s">
        <v>1187</v>
      </c>
    </row>
    <row r="100" spans="1:20">
      <c r="A100" t="s">
        <v>621</v>
      </c>
      <c r="C100" t="s">
        <v>1282</v>
      </c>
      <c r="D100">
        <v>2017</v>
      </c>
      <c r="E100" s="40">
        <v>45887</v>
      </c>
      <c r="F100" t="s">
        <v>1185</v>
      </c>
      <c r="G100" t="s">
        <v>205</v>
      </c>
      <c r="H100" t="s">
        <v>1192</v>
      </c>
      <c r="I100" t="s">
        <v>586</v>
      </c>
      <c r="J100" t="s">
        <v>418</v>
      </c>
      <c r="K100" t="s">
        <v>1126</v>
      </c>
      <c r="L100" t="s">
        <v>1281</v>
      </c>
      <c r="M100">
        <v>1993</v>
      </c>
      <c r="N100">
        <v>2010</v>
      </c>
      <c r="O100">
        <f t="shared" si="3"/>
        <v>18</v>
      </c>
      <c r="Q100">
        <v>37.26</v>
      </c>
      <c r="R100" t="s">
        <v>694</v>
      </c>
      <c r="T100" t="s">
        <v>1187</v>
      </c>
    </row>
    <row r="101" spans="1:20">
      <c r="A101" t="s">
        <v>621</v>
      </c>
      <c r="C101" t="s">
        <v>1282</v>
      </c>
      <c r="D101">
        <v>2017</v>
      </c>
      <c r="E101" s="40">
        <v>45887</v>
      </c>
      <c r="F101" t="s">
        <v>1185</v>
      </c>
      <c r="G101" t="s">
        <v>205</v>
      </c>
      <c r="H101" t="s">
        <v>1192</v>
      </c>
      <c r="I101" t="s">
        <v>584</v>
      </c>
      <c r="J101" t="s">
        <v>418</v>
      </c>
      <c r="K101" t="s">
        <v>1126</v>
      </c>
      <c r="L101" t="s">
        <v>1281</v>
      </c>
      <c r="M101">
        <v>1993</v>
      </c>
      <c r="N101">
        <v>2010</v>
      </c>
      <c r="O101">
        <f t="shared" si="3"/>
        <v>18</v>
      </c>
      <c r="Q101">
        <v>37.26</v>
      </c>
      <c r="R101" t="s">
        <v>694</v>
      </c>
      <c r="T101" t="s">
        <v>1187</v>
      </c>
    </row>
    <row r="102" spans="1:20">
      <c r="A102" t="s">
        <v>621</v>
      </c>
      <c r="C102" t="s">
        <v>1282</v>
      </c>
      <c r="D102">
        <v>2017</v>
      </c>
      <c r="E102" s="40">
        <v>45887</v>
      </c>
      <c r="F102" t="s">
        <v>1185</v>
      </c>
      <c r="G102" t="s">
        <v>205</v>
      </c>
      <c r="H102" t="s">
        <v>1192</v>
      </c>
      <c r="I102" t="s">
        <v>587</v>
      </c>
      <c r="J102" t="s">
        <v>400</v>
      </c>
      <c r="K102" t="s">
        <v>1126</v>
      </c>
      <c r="L102" t="s">
        <v>1281</v>
      </c>
      <c r="M102">
        <v>1993</v>
      </c>
      <c r="N102">
        <v>2010</v>
      </c>
      <c r="O102">
        <f t="shared" si="3"/>
        <v>18</v>
      </c>
      <c r="Q102">
        <v>45.129999999999995</v>
      </c>
      <c r="R102" t="s">
        <v>694</v>
      </c>
      <c r="T102" t="s">
        <v>1187</v>
      </c>
    </row>
    <row r="103" spans="1:20">
      <c r="A103" t="s">
        <v>621</v>
      </c>
      <c r="C103" t="s">
        <v>1282</v>
      </c>
      <c r="D103">
        <v>2017</v>
      </c>
      <c r="E103" s="40">
        <v>45887</v>
      </c>
      <c r="F103" t="s">
        <v>1185</v>
      </c>
      <c r="G103" t="s">
        <v>205</v>
      </c>
      <c r="H103" t="s">
        <v>1192</v>
      </c>
      <c r="I103" t="s">
        <v>580</v>
      </c>
      <c r="J103" t="s">
        <v>418</v>
      </c>
      <c r="K103" t="s">
        <v>1126</v>
      </c>
      <c r="L103" t="s">
        <v>1281</v>
      </c>
      <c r="M103">
        <v>1993</v>
      </c>
      <c r="N103">
        <v>2010</v>
      </c>
      <c r="O103">
        <f t="shared" si="3"/>
        <v>18</v>
      </c>
      <c r="Q103">
        <v>58.680000000000007</v>
      </c>
      <c r="R103" t="s">
        <v>694</v>
      </c>
      <c r="T103" t="s">
        <v>1187</v>
      </c>
    </row>
    <row r="104" spans="1:20">
      <c r="A104" t="s">
        <v>621</v>
      </c>
      <c r="C104" t="s">
        <v>1282</v>
      </c>
      <c r="D104">
        <v>2017</v>
      </c>
      <c r="E104" s="40">
        <v>45887</v>
      </c>
      <c r="F104" t="s">
        <v>1185</v>
      </c>
      <c r="G104" t="s">
        <v>205</v>
      </c>
      <c r="H104" t="s">
        <v>1193</v>
      </c>
      <c r="I104" t="s">
        <v>592</v>
      </c>
      <c r="J104" t="s">
        <v>400</v>
      </c>
      <c r="K104" t="s">
        <v>1126</v>
      </c>
      <c r="L104" t="s">
        <v>1281</v>
      </c>
      <c r="M104">
        <v>1993</v>
      </c>
      <c r="N104">
        <v>2010</v>
      </c>
      <c r="O104">
        <f t="shared" si="3"/>
        <v>18</v>
      </c>
      <c r="Q104">
        <v>68.92</v>
      </c>
      <c r="R104" t="s">
        <v>694</v>
      </c>
      <c r="T104" t="s">
        <v>1187</v>
      </c>
    </row>
    <row r="105" spans="1:20">
      <c r="A105" t="s">
        <v>621</v>
      </c>
      <c r="C105" t="s">
        <v>1282</v>
      </c>
      <c r="D105">
        <v>2017</v>
      </c>
      <c r="E105" s="40">
        <v>45887</v>
      </c>
      <c r="F105" t="s">
        <v>1185</v>
      </c>
      <c r="G105" t="s">
        <v>205</v>
      </c>
      <c r="H105" t="s">
        <v>1192</v>
      </c>
      <c r="I105" t="s">
        <v>595</v>
      </c>
      <c r="J105" t="s">
        <v>418</v>
      </c>
      <c r="K105" t="s">
        <v>1126</v>
      </c>
      <c r="L105" t="s">
        <v>1281</v>
      </c>
      <c r="M105">
        <v>1993</v>
      </c>
      <c r="N105">
        <v>2010</v>
      </c>
      <c r="O105">
        <f t="shared" si="3"/>
        <v>18</v>
      </c>
      <c r="Q105">
        <v>72.63</v>
      </c>
      <c r="R105" t="s">
        <v>694</v>
      </c>
      <c r="T105" t="s">
        <v>1187</v>
      </c>
    </row>
    <row r="106" spans="1:20">
      <c r="A106" t="s">
        <v>621</v>
      </c>
      <c r="C106" t="s">
        <v>1282</v>
      </c>
      <c r="D106">
        <v>2017</v>
      </c>
      <c r="E106" s="40">
        <v>45887</v>
      </c>
      <c r="F106" t="s">
        <v>1185</v>
      </c>
      <c r="G106" t="s">
        <v>205</v>
      </c>
      <c r="H106" t="s">
        <v>1193</v>
      </c>
      <c r="I106" t="s">
        <v>577</v>
      </c>
      <c r="J106" t="s">
        <v>400</v>
      </c>
      <c r="K106" t="s">
        <v>1126</v>
      </c>
      <c r="L106" t="s">
        <v>1281</v>
      </c>
      <c r="M106">
        <v>1993</v>
      </c>
      <c r="N106">
        <v>2010</v>
      </c>
      <c r="O106">
        <f t="shared" si="3"/>
        <v>18</v>
      </c>
      <c r="Q106">
        <v>97.04</v>
      </c>
      <c r="R106" t="s">
        <v>694</v>
      </c>
      <c r="T106" t="s">
        <v>1187</v>
      </c>
    </row>
    <row r="107" spans="1:20">
      <c r="A107" t="s">
        <v>621</v>
      </c>
      <c r="C107" t="s">
        <v>1282</v>
      </c>
      <c r="D107">
        <v>2017</v>
      </c>
      <c r="E107" s="40">
        <v>45887</v>
      </c>
      <c r="F107" t="s">
        <v>1185</v>
      </c>
      <c r="G107" t="s">
        <v>205</v>
      </c>
      <c r="H107" t="s">
        <v>1192</v>
      </c>
      <c r="I107" t="s">
        <v>470</v>
      </c>
      <c r="J107" t="s">
        <v>400</v>
      </c>
      <c r="K107" t="s">
        <v>1126</v>
      </c>
      <c r="L107" t="s">
        <v>1281</v>
      </c>
      <c r="M107">
        <v>1993</v>
      </c>
      <c r="N107">
        <v>2010</v>
      </c>
      <c r="O107">
        <f t="shared" si="3"/>
        <v>18</v>
      </c>
      <c r="Q107">
        <v>101.34</v>
      </c>
      <c r="R107" t="s">
        <v>694</v>
      </c>
      <c r="T107" t="s">
        <v>1187</v>
      </c>
    </row>
    <row r="108" spans="1:20">
      <c r="A108" t="s">
        <v>621</v>
      </c>
      <c r="C108" t="s">
        <v>1282</v>
      </c>
      <c r="D108">
        <v>2017</v>
      </c>
      <c r="E108" s="40">
        <v>45887</v>
      </c>
      <c r="F108" t="s">
        <v>1185</v>
      </c>
      <c r="G108" t="s">
        <v>205</v>
      </c>
      <c r="H108" t="s">
        <v>1192</v>
      </c>
      <c r="I108" t="s">
        <v>595</v>
      </c>
      <c r="J108" t="s">
        <v>400</v>
      </c>
      <c r="K108" t="s">
        <v>1126</v>
      </c>
      <c r="L108" t="s">
        <v>1281</v>
      </c>
      <c r="M108">
        <v>1993</v>
      </c>
      <c r="N108">
        <v>2010</v>
      </c>
      <c r="O108">
        <f t="shared" si="3"/>
        <v>18</v>
      </c>
      <c r="Q108">
        <v>123.84</v>
      </c>
      <c r="R108" t="s">
        <v>694</v>
      </c>
      <c r="T108" t="s">
        <v>1187</v>
      </c>
    </row>
    <row r="109" spans="1:20">
      <c r="A109" t="s">
        <v>621</v>
      </c>
      <c r="C109" t="s">
        <v>1282</v>
      </c>
      <c r="D109">
        <v>2017</v>
      </c>
      <c r="E109" s="40">
        <v>45887</v>
      </c>
      <c r="F109" t="s">
        <v>1185</v>
      </c>
      <c r="G109" t="s">
        <v>205</v>
      </c>
      <c r="H109" t="s">
        <v>1269</v>
      </c>
      <c r="I109" t="s">
        <v>599</v>
      </c>
      <c r="J109" t="s">
        <v>418</v>
      </c>
      <c r="K109" t="s">
        <v>1126</v>
      </c>
      <c r="L109" t="s">
        <v>1281</v>
      </c>
      <c r="M109">
        <v>1993</v>
      </c>
      <c r="N109">
        <v>2010</v>
      </c>
      <c r="O109">
        <f t="shared" si="3"/>
        <v>18</v>
      </c>
      <c r="Q109">
        <v>126.41999999999999</v>
      </c>
      <c r="R109" t="s">
        <v>694</v>
      </c>
      <c r="T109" t="s">
        <v>1187</v>
      </c>
    </row>
    <row r="110" spans="1:20">
      <c r="A110" t="s">
        <v>621</v>
      </c>
      <c r="C110" t="s">
        <v>1282</v>
      </c>
      <c r="D110">
        <v>2017</v>
      </c>
      <c r="E110" s="40">
        <v>45887</v>
      </c>
      <c r="F110" t="s">
        <v>1185</v>
      </c>
      <c r="G110" t="s">
        <v>205</v>
      </c>
      <c r="H110" t="s">
        <v>1192</v>
      </c>
      <c r="I110" t="s">
        <v>588</v>
      </c>
      <c r="J110" t="s">
        <v>418</v>
      </c>
      <c r="K110" t="s">
        <v>1126</v>
      </c>
      <c r="L110" t="s">
        <v>1281</v>
      </c>
      <c r="M110">
        <v>1993</v>
      </c>
      <c r="N110">
        <v>2010</v>
      </c>
      <c r="O110">
        <f t="shared" si="3"/>
        <v>18</v>
      </c>
      <c r="Q110">
        <v>127.8</v>
      </c>
      <c r="R110" t="s">
        <v>694</v>
      </c>
      <c r="T110" t="s">
        <v>1187</v>
      </c>
    </row>
    <row r="111" spans="1:20">
      <c r="A111" t="s">
        <v>621</v>
      </c>
      <c r="C111" t="s">
        <v>1282</v>
      </c>
      <c r="D111">
        <v>2017</v>
      </c>
      <c r="E111" s="40">
        <v>45887</v>
      </c>
      <c r="F111" t="s">
        <v>1185</v>
      </c>
      <c r="G111" t="s">
        <v>205</v>
      </c>
      <c r="H111" t="s">
        <v>1192</v>
      </c>
      <c r="I111" t="s">
        <v>602</v>
      </c>
      <c r="J111" t="s">
        <v>418</v>
      </c>
      <c r="K111" t="s">
        <v>1126</v>
      </c>
      <c r="L111" t="s">
        <v>1281</v>
      </c>
      <c r="M111">
        <v>1993</v>
      </c>
      <c r="N111">
        <v>2010</v>
      </c>
      <c r="O111">
        <f t="shared" si="3"/>
        <v>18</v>
      </c>
      <c r="Q111">
        <v>141.17000000000002</v>
      </c>
      <c r="R111" t="s">
        <v>694</v>
      </c>
      <c r="T111" t="s">
        <v>1187</v>
      </c>
    </row>
    <row r="112" spans="1:20">
      <c r="A112" t="s">
        <v>621</v>
      </c>
      <c r="C112" t="s">
        <v>1282</v>
      </c>
      <c r="D112">
        <v>2017</v>
      </c>
      <c r="E112" s="40">
        <v>45887</v>
      </c>
      <c r="F112" t="s">
        <v>1185</v>
      </c>
      <c r="G112" t="s">
        <v>205</v>
      </c>
      <c r="H112" t="s">
        <v>1193</v>
      </c>
      <c r="I112" t="s">
        <v>592</v>
      </c>
      <c r="J112" t="s">
        <v>418</v>
      </c>
      <c r="K112" t="s">
        <v>1126</v>
      </c>
      <c r="L112" t="s">
        <v>1281</v>
      </c>
      <c r="M112">
        <v>1993</v>
      </c>
      <c r="N112">
        <v>2010</v>
      </c>
      <c r="O112">
        <f t="shared" si="3"/>
        <v>18</v>
      </c>
      <c r="Q112">
        <v>239.77</v>
      </c>
      <c r="R112" t="s">
        <v>694</v>
      </c>
      <c r="T112" t="s">
        <v>1187</v>
      </c>
    </row>
    <row r="113" spans="1:20">
      <c r="A113" t="s">
        <v>621</v>
      </c>
      <c r="C113" t="s">
        <v>1282</v>
      </c>
      <c r="D113">
        <v>2017</v>
      </c>
      <c r="E113" s="40">
        <v>45887</v>
      </c>
      <c r="F113" t="s">
        <v>1185</v>
      </c>
      <c r="G113" t="s">
        <v>205</v>
      </c>
      <c r="H113" t="s">
        <v>1192</v>
      </c>
      <c r="I113" t="s">
        <v>470</v>
      </c>
      <c r="J113" t="s">
        <v>418</v>
      </c>
      <c r="K113" t="s">
        <v>1126</v>
      </c>
      <c r="L113" t="s">
        <v>1281</v>
      </c>
      <c r="M113">
        <v>1993</v>
      </c>
      <c r="N113">
        <v>2010</v>
      </c>
      <c r="O113">
        <f t="shared" si="3"/>
        <v>18</v>
      </c>
      <c r="Q113">
        <v>277.24</v>
      </c>
      <c r="R113" t="s">
        <v>694</v>
      </c>
      <c r="T113" t="s">
        <v>1187</v>
      </c>
    </row>
    <row r="114" spans="1:20">
      <c r="A114" t="s">
        <v>621</v>
      </c>
      <c r="C114" t="s">
        <v>1282</v>
      </c>
      <c r="D114">
        <v>2017</v>
      </c>
      <c r="E114" s="40">
        <v>45887</v>
      </c>
      <c r="F114" t="s">
        <v>1185</v>
      </c>
      <c r="G114" t="s">
        <v>205</v>
      </c>
      <c r="H114" t="s">
        <v>1192</v>
      </c>
      <c r="I114" t="s">
        <v>587</v>
      </c>
      <c r="J114" t="s">
        <v>418</v>
      </c>
      <c r="K114" t="s">
        <v>1126</v>
      </c>
      <c r="L114" t="s">
        <v>1281</v>
      </c>
      <c r="M114">
        <v>1993</v>
      </c>
      <c r="N114">
        <v>2010</v>
      </c>
      <c r="O114">
        <f t="shared" si="3"/>
        <v>18</v>
      </c>
      <c r="Q114">
        <v>284.43</v>
      </c>
      <c r="R114" t="s">
        <v>694</v>
      </c>
      <c r="T114" t="s">
        <v>1187</v>
      </c>
    </row>
    <row r="115" spans="1:20">
      <c r="A115" t="s">
        <v>621</v>
      </c>
      <c r="C115" t="s">
        <v>1282</v>
      </c>
      <c r="D115">
        <v>2017</v>
      </c>
      <c r="E115" s="40">
        <v>45887</v>
      </c>
      <c r="F115" t="s">
        <v>1185</v>
      </c>
      <c r="G115" t="s">
        <v>205</v>
      </c>
      <c r="H115" t="s">
        <v>1192</v>
      </c>
      <c r="I115" t="s">
        <v>602</v>
      </c>
      <c r="J115" t="s">
        <v>400</v>
      </c>
      <c r="K115" t="s">
        <v>1126</v>
      </c>
      <c r="L115" t="s">
        <v>1281</v>
      </c>
      <c r="M115">
        <v>1993</v>
      </c>
      <c r="N115">
        <v>2010</v>
      </c>
      <c r="O115">
        <f t="shared" si="3"/>
        <v>18</v>
      </c>
      <c r="Q115">
        <v>398.41999999999996</v>
      </c>
      <c r="R115" t="s">
        <v>694</v>
      </c>
      <c r="T115" t="s">
        <v>1187</v>
      </c>
    </row>
    <row r="116" spans="1:20">
      <c r="A116" t="s">
        <v>620</v>
      </c>
      <c r="D116">
        <v>2017</v>
      </c>
      <c r="E116" s="40">
        <v>45881</v>
      </c>
      <c r="F116" s="40" t="s">
        <v>74</v>
      </c>
      <c r="G116" t="s">
        <v>152</v>
      </c>
      <c r="H116" t="s">
        <v>1077</v>
      </c>
      <c r="I116" t="s">
        <v>1054</v>
      </c>
      <c r="J116" t="s">
        <v>400</v>
      </c>
      <c r="K116" t="s">
        <v>1126</v>
      </c>
      <c r="L116" t="s">
        <v>1041</v>
      </c>
      <c r="M116">
        <v>1959</v>
      </c>
      <c r="N116">
        <v>2008</v>
      </c>
      <c r="O116">
        <f t="shared" si="3"/>
        <v>50</v>
      </c>
      <c r="P116" t="s">
        <v>1053</v>
      </c>
      <c r="Q116">
        <f>(57.5+(-226.9))/(O116/10)</f>
        <v>-33.880000000000003</v>
      </c>
      <c r="R116" t="s">
        <v>41</v>
      </c>
      <c r="S116" t="s">
        <v>1051</v>
      </c>
      <c r="T116" t="s">
        <v>1045</v>
      </c>
    </row>
    <row r="117" spans="1:20">
      <c r="A117" t="s">
        <v>620</v>
      </c>
      <c r="D117">
        <v>2017</v>
      </c>
      <c r="E117" s="40">
        <v>45881</v>
      </c>
      <c r="F117" s="40" t="s">
        <v>74</v>
      </c>
      <c r="G117" t="s">
        <v>152</v>
      </c>
      <c r="H117" t="s">
        <v>1077</v>
      </c>
      <c r="I117" t="s">
        <v>1056</v>
      </c>
      <c r="J117" t="s">
        <v>400</v>
      </c>
      <c r="K117" t="s">
        <v>1126</v>
      </c>
      <c r="L117" t="s">
        <v>1041</v>
      </c>
      <c r="M117">
        <v>1959</v>
      </c>
      <c r="N117">
        <v>2008</v>
      </c>
      <c r="O117">
        <f t="shared" si="3"/>
        <v>50</v>
      </c>
      <c r="P117" t="s">
        <v>1053</v>
      </c>
      <c r="Q117">
        <f>(-136.5+(36.18))/(O117/10)</f>
        <v>-20.064</v>
      </c>
      <c r="R117" t="s">
        <v>41</v>
      </c>
      <c r="S117" t="s">
        <v>1051</v>
      </c>
      <c r="T117" t="s">
        <v>1045</v>
      </c>
    </row>
    <row r="118" spans="1:20">
      <c r="A118" t="s">
        <v>620</v>
      </c>
      <c r="D118">
        <v>2017</v>
      </c>
      <c r="E118" s="40">
        <v>45881</v>
      </c>
      <c r="F118" s="40" t="s">
        <v>74</v>
      </c>
      <c r="G118" t="s">
        <v>152</v>
      </c>
      <c r="H118" t="s">
        <v>1077</v>
      </c>
      <c r="I118" t="s">
        <v>1057</v>
      </c>
      <c r="J118" t="s">
        <v>400</v>
      </c>
      <c r="K118" t="s">
        <v>1126</v>
      </c>
      <c r="L118" t="s">
        <v>1041</v>
      </c>
      <c r="M118">
        <v>1959</v>
      </c>
      <c r="N118">
        <v>2008</v>
      </c>
      <c r="O118">
        <f t="shared" si="3"/>
        <v>50</v>
      </c>
      <c r="Q118">
        <f>(-139.8+(67.4))/(O118/10)</f>
        <v>-14.48</v>
      </c>
      <c r="R118" t="s">
        <v>41</v>
      </c>
      <c r="S118" t="s">
        <v>1051</v>
      </c>
      <c r="T118" t="s">
        <v>1045</v>
      </c>
    </row>
    <row r="119" spans="1:20">
      <c r="A119" t="s">
        <v>620</v>
      </c>
      <c r="D119">
        <v>2017</v>
      </c>
      <c r="E119" s="40">
        <v>45881</v>
      </c>
      <c r="F119" s="40" t="s">
        <v>74</v>
      </c>
      <c r="G119" t="s">
        <v>152</v>
      </c>
      <c r="H119" t="s">
        <v>1077</v>
      </c>
      <c r="I119" t="s">
        <v>1059</v>
      </c>
      <c r="J119" t="s">
        <v>400</v>
      </c>
      <c r="K119" t="s">
        <v>1126</v>
      </c>
      <c r="L119" t="s">
        <v>1041</v>
      </c>
      <c r="M119">
        <v>1959</v>
      </c>
      <c r="N119">
        <v>2008</v>
      </c>
      <c r="O119">
        <f t="shared" si="3"/>
        <v>50</v>
      </c>
      <c r="Q119">
        <f>(-148+(82.2))/(O119/10)</f>
        <v>-13.16</v>
      </c>
      <c r="R119" t="s">
        <v>41</v>
      </c>
      <c r="S119" t="s">
        <v>1051</v>
      </c>
      <c r="T119" t="s">
        <v>1045</v>
      </c>
    </row>
    <row r="120" spans="1:20">
      <c r="A120" t="s">
        <v>620</v>
      </c>
      <c r="D120">
        <v>2017</v>
      </c>
      <c r="E120" s="40">
        <v>45881</v>
      </c>
      <c r="F120" s="40" t="s">
        <v>74</v>
      </c>
      <c r="G120" t="s">
        <v>152</v>
      </c>
      <c r="H120" t="s">
        <v>1077</v>
      </c>
      <c r="I120" t="s">
        <v>1060</v>
      </c>
      <c r="J120" t="s">
        <v>400</v>
      </c>
      <c r="K120" t="s">
        <v>1126</v>
      </c>
      <c r="L120" t="s">
        <v>1041</v>
      </c>
      <c r="M120">
        <v>1959</v>
      </c>
      <c r="N120">
        <v>2008</v>
      </c>
      <c r="O120">
        <f t="shared" si="3"/>
        <v>50</v>
      </c>
      <c r="Q120">
        <f>(-138.2+(87.17))/(O120/10)</f>
        <v>-10.205999999999998</v>
      </c>
      <c r="R120" t="s">
        <v>41</v>
      </c>
      <c r="S120" t="s">
        <v>1051</v>
      </c>
      <c r="T120" t="s">
        <v>1045</v>
      </c>
    </row>
    <row r="121" spans="1:20">
      <c r="A121" t="s">
        <v>620</v>
      </c>
      <c r="D121">
        <v>2017</v>
      </c>
      <c r="E121" s="40">
        <v>45881</v>
      </c>
      <c r="F121" s="40" t="s">
        <v>74</v>
      </c>
      <c r="G121" t="s">
        <v>152</v>
      </c>
      <c r="H121" t="s">
        <v>1077</v>
      </c>
      <c r="I121" t="s">
        <v>1074</v>
      </c>
      <c r="J121" t="s">
        <v>400</v>
      </c>
      <c r="K121" t="s">
        <v>1126</v>
      </c>
      <c r="L121" t="s">
        <v>1041</v>
      </c>
      <c r="M121">
        <v>1959</v>
      </c>
      <c r="N121">
        <v>2008</v>
      </c>
      <c r="O121">
        <f t="shared" si="3"/>
        <v>50</v>
      </c>
      <c r="Q121">
        <f>(-422.7+376.6)/(O121/10)</f>
        <v>-9.2199999999999935</v>
      </c>
      <c r="R121" t="s">
        <v>41</v>
      </c>
      <c r="S121" t="s">
        <v>1051</v>
      </c>
      <c r="T121" t="s">
        <v>1045</v>
      </c>
    </row>
    <row r="122" spans="1:20">
      <c r="A122" t="s">
        <v>620</v>
      </c>
      <c r="D122">
        <v>2017</v>
      </c>
      <c r="E122" s="40">
        <v>45881</v>
      </c>
      <c r="F122" s="40" t="s">
        <v>74</v>
      </c>
      <c r="G122" t="s">
        <v>152</v>
      </c>
      <c r="H122" t="s">
        <v>1077</v>
      </c>
      <c r="I122" t="s">
        <v>1063</v>
      </c>
      <c r="J122" t="s">
        <v>400</v>
      </c>
      <c r="K122" t="s">
        <v>1126</v>
      </c>
      <c r="L122" t="s">
        <v>1041</v>
      </c>
      <c r="M122">
        <v>1959</v>
      </c>
      <c r="N122">
        <v>2008</v>
      </c>
      <c r="O122">
        <f t="shared" si="3"/>
        <v>50</v>
      </c>
      <c r="Q122">
        <f>(-97+(101.9))/(O122/10)</f>
        <v>0.98000000000000109</v>
      </c>
      <c r="R122" t="s">
        <v>694</v>
      </c>
      <c r="S122" t="s">
        <v>1051</v>
      </c>
      <c r="T122" t="s">
        <v>1045</v>
      </c>
    </row>
    <row r="123" spans="1:20">
      <c r="A123" t="s">
        <v>620</v>
      </c>
      <c r="D123">
        <v>2017</v>
      </c>
      <c r="E123" s="40">
        <v>45881</v>
      </c>
      <c r="F123" s="40" t="s">
        <v>74</v>
      </c>
      <c r="G123" t="s">
        <v>152</v>
      </c>
      <c r="H123" t="s">
        <v>1077</v>
      </c>
      <c r="I123" t="s">
        <v>1062</v>
      </c>
      <c r="J123" t="s">
        <v>400</v>
      </c>
      <c r="K123" t="s">
        <v>1126</v>
      </c>
      <c r="L123" t="s">
        <v>1041</v>
      </c>
      <c r="M123">
        <v>1959</v>
      </c>
      <c r="N123">
        <v>2008</v>
      </c>
      <c r="O123">
        <f t="shared" si="3"/>
        <v>50</v>
      </c>
      <c r="Q123">
        <f>(-64.14+(98.6))/(O123/10)</f>
        <v>6.8919999999999986</v>
      </c>
      <c r="R123" t="s">
        <v>694</v>
      </c>
      <c r="S123" t="s">
        <v>1051</v>
      </c>
      <c r="T123" t="s">
        <v>1045</v>
      </c>
    </row>
    <row r="124" spans="1:20">
      <c r="A124" t="s">
        <v>620</v>
      </c>
      <c r="D124">
        <v>2017</v>
      </c>
      <c r="E124" s="40">
        <v>45881</v>
      </c>
      <c r="F124" s="40" t="s">
        <v>74</v>
      </c>
      <c r="G124" t="s">
        <v>152</v>
      </c>
      <c r="H124" t="s">
        <v>1077</v>
      </c>
      <c r="I124" t="s">
        <v>1058</v>
      </c>
      <c r="J124" t="s">
        <v>400</v>
      </c>
      <c r="K124" t="s">
        <v>1126</v>
      </c>
      <c r="L124" t="s">
        <v>1041</v>
      </c>
      <c r="M124">
        <v>1959</v>
      </c>
      <c r="N124">
        <v>2008</v>
      </c>
      <c r="O124">
        <f t="shared" ref="O124:O139" si="4">N124-M124+1</f>
        <v>50</v>
      </c>
      <c r="Q124">
        <f>(-23+(67.43))/(O124/10)</f>
        <v>8.886000000000001</v>
      </c>
      <c r="R124" t="s">
        <v>694</v>
      </c>
      <c r="S124" t="s">
        <v>1051</v>
      </c>
      <c r="T124" t="s">
        <v>1045</v>
      </c>
    </row>
    <row r="125" spans="1:20">
      <c r="A125" t="s">
        <v>620</v>
      </c>
      <c r="D125">
        <v>2017</v>
      </c>
      <c r="E125" s="40">
        <v>45881</v>
      </c>
      <c r="F125" s="40" t="s">
        <v>74</v>
      </c>
      <c r="G125" t="s">
        <v>152</v>
      </c>
      <c r="H125" t="s">
        <v>1077</v>
      </c>
      <c r="I125" t="s">
        <v>1070</v>
      </c>
      <c r="J125" t="s">
        <v>400</v>
      </c>
      <c r="K125" t="s">
        <v>1126</v>
      </c>
      <c r="L125" t="s">
        <v>1041</v>
      </c>
      <c r="M125">
        <v>1959</v>
      </c>
      <c r="N125">
        <v>2008</v>
      </c>
      <c r="O125">
        <f t="shared" si="4"/>
        <v>50</v>
      </c>
      <c r="Q125">
        <f>(-67.4+(169.4))/(O125/10)</f>
        <v>20.399999999999999</v>
      </c>
      <c r="R125" t="s">
        <v>694</v>
      </c>
      <c r="S125" t="s">
        <v>1051</v>
      </c>
      <c r="T125" t="s">
        <v>1045</v>
      </c>
    </row>
    <row r="126" spans="1:20">
      <c r="A126" t="s">
        <v>620</v>
      </c>
      <c r="D126">
        <v>2017</v>
      </c>
      <c r="E126" s="40">
        <v>45881</v>
      </c>
      <c r="F126" s="40" t="s">
        <v>74</v>
      </c>
      <c r="G126" t="s">
        <v>152</v>
      </c>
      <c r="H126" t="s">
        <v>1077</v>
      </c>
      <c r="I126" t="s">
        <v>1068</v>
      </c>
      <c r="J126" t="s">
        <v>400</v>
      </c>
      <c r="K126" t="s">
        <v>1126</v>
      </c>
      <c r="L126" t="s">
        <v>1041</v>
      </c>
      <c r="M126">
        <v>1959</v>
      </c>
      <c r="N126">
        <v>2008</v>
      </c>
      <c r="O126">
        <f t="shared" si="4"/>
        <v>50</v>
      </c>
      <c r="Q126">
        <f>(-55.9+(161.18))/(O126/10)</f>
        <v>21.056000000000001</v>
      </c>
      <c r="R126" t="s">
        <v>694</v>
      </c>
      <c r="S126" t="s">
        <v>1051</v>
      </c>
      <c r="T126" t="s">
        <v>1045</v>
      </c>
    </row>
    <row r="127" spans="1:20">
      <c r="A127" t="s">
        <v>620</v>
      </c>
      <c r="D127">
        <v>2017</v>
      </c>
      <c r="E127" s="40">
        <v>45881</v>
      </c>
      <c r="F127" s="40" t="s">
        <v>74</v>
      </c>
      <c r="G127" t="s">
        <v>152</v>
      </c>
      <c r="H127" t="s">
        <v>1077</v>
      </c>
      <c r="I127" t="s">
        <v>1067</v>
      </c>
      <c r="J127" t="s">
        <v>400</v>
      </c>
      <c r="K127" t="s">
        <v>1126</v>
      </c>
      <c r="L127" t="s">
        <v>1041</v>
      </c>
      <c r="M127">
        <v>1959</v>
      </c>
      <c r="N127">
        <v>2008</v>
      </c>
      <c r="O127">
        <f t="shared" si="4"/>
        <v>50</v>
      </c>
      <c r="Q127">
        <f>(14.8+(157.9))/(O127/10)</f>
        <v>34.540000000000006</v>
      </c>
      <c r="R127" t="s">
        <v>694</v>
      </c>
      <c r="S127" t="s">
        <v>1051</v>
      </c>
      <c r="T127" t="s">
        <v>1045</v>
      </c>
    </row>
    <row r="128" spans="1:20">
      <c r="A128" t="s">
        <v>620</v>
      </c>
      <c r="D128">
        <v>2017</v>
      </c>
      <c r="E128" s="40">
        <v>45881</v>
      </c>
      <c r="F128" s="40" t="s">
        <v>74</v>
      </c>
      <c r="G128" t="s">
        <v>152</v>
      </c>
      <c r="H128" t="s">
        <v>1078</v>
      </c>
      <c r="I128" t="s">
        <v>1072</v>
      </c>
      <c r="J128" t="s">
        <v>400</v>
      </c>
      <c r="K128" t="s">
        <v>1126</v>
      </c>
      <c r="L128" t="s">
        <v>1041</v>
      </c>
      <c r="M128">
        <v>1959</v>
      </c>
      <c r="N128">
        <v>2008</v>
      </c>
      <c r="O128">
        <f t="shared" si="4"/>
        <v>50</v>
      </c>
      <c r="Q128">
        <f>(-356.9+(284.5))/(O128/10)</f>
        <v>-14.479999999999995</v>
      </c>
      <c r="R128" t="s">
        <v>41</v>
      </c>
      <c r="S128" t="s">
        <v>1051</v>
      </c>
      <c r="T128" t="s">
        <v>1045</v>
      </c>
    </row>
    <row r="129" spans="1:20">
      <c r="A129" t="s">
        <v>620</v>
      </c>
      <c r="D129">
        <v>2017</v>
      </c>
      <c r="E129" s="40">
        <v>45881</v>
      </c>
      <c r="F129" s="40" t="s">
        <v>74</v>
      </c>
      <c r="G129" t="s">
        <v>152</v>
      </c>
      <c r="H129" t="s">
        <v>1078</v>
      </c>
      <c r="I129" t="s">
        <v>1069</v>
      </c>
      <c r="J129" t="s">
        <v>400</v>
      </c>
      <c r="K129" t="s">
        <v>1126</v>
      </c>
      <c r="L129" t="s">
        <v>1041</v>
      </c>
      <c r="M129">
        <v>1959</v>
      </c>
      <c r="N129">
        <v>2008</v>
      </c>
      <c r="O129">
        <f t="shared" si="4"/>
        <v>50</v>
      </c>
      <c r="Q129">
        <f>(-167.7+(161.1))/(O129/10)</f>
        <v>-1.319999999999999</v>
      </c>
      <c r="R129" t="s">
        <v>41</v>
      </c>
      <c r="S129" t="s">
        <v>1051</v>
      </c>
      <c r="T129" t="s">
        <v>1045</v>
      </c>
    </row>
    <row r="130" spans="1:20">
      <c r="A130" t="s">
        <v>620</v>
      </c>
      <c r="D130">
        <v>2017</v>
      </c>
      <c r="E130" s="40">
        <v>45881</v>
      </c>
      <c r="F130" s="40" t="s">
        <v>74</v>
      </c>
      <c r="G130" t="s">
        <v>152</v>
      </c>
      <c r="H130" t="s">
        <v>1078</v>
      </c>
      <c r="I130" t="s">
        <v>1055</v>
      </c>
      <c r="J130" t="s">
        <v>400</v>
      </c>
      <c r="K130" t="s">
        <v>1126</v>
      </c>
      <c r="L130" t="s">
        <v>1041</v>
      </c>
      <c r="M130">
        <v>1959</v>
      </c>
      <c r="N130">
        <v>2008</v>
      </c>
      <c r="O130">
        <f t="shared" si="4"/>
        <v>50</v>
      </c>
      <c r="Q130">
        <f>(87.17+(-90.4))/(O130/10)</f>
        <v>-0.6460000000000008</v>
      </c>
      <c r="R130" t="s">
        <v>41</v>
      </c>
      <c r="S130" t="s">
        <v>1051</v>
      </c>
      <c r="T130" t="s">
        <v>1045</v>
      </c>
    </row>
    <row r="131" spans="1:20">
      <c r="A131" t="s">
        <v>620</v>
      </c>
      <c r="D131">
        <v>2017</v>
      </c>
      <c r="E131" s="40">
        <v>45881</v>
      </c>
      <c r="F131" s="40" t="s">
        <v>74</v>
      </c>
      <c r="G131" t="s">
        <v>152</v>
      </c>
      <c r="H131" t="s">
        <v>1078</v>
      </c>
      <c r="I131" t="s">
        <v>1064</v>
      </c>
      <c r="J131" t="s">
        <v>400</v>
      </c>
      <c r="K131" t="s">
        <v>1126</v>
      </c>
      <c r="L131" t="s">
        <v>1041</v>
      </c>
      <c r="M131">
        <v>1959</v>
      </c>
      <c r="N131">
        <v>2008</v>
      </c>
      <c r="O131">
        <f t="shared" si="4"/>
        <v>50</v>
      </c>
      <c r="Q131">
        <f>(-103.6+(105.26))/(O131/10)</f>
        <v>0.33200000000000218</v>
      </c>
      <c r="R131" t="s">
        <v>694</v>
      </c>
      <c r="S131" t="s">
        <v>1051</v>
      </c>
      <c r="T131" t="s">
        <v>1045</v>
      </c>
    </row>
    <row r="132" spans="1:20">
      <c r="A132" t="s">
        <v>620</v>
      </c>
      <c r="D132">
        <v>2017</v>
      </c>
      <c r="E132" s="40">
        <v>45881</v>
      </c>
      <c r="F132" s="40" t="s">
        <v>74</v>
      </c>
      <c r="G132" t="s">
        <v>152</v>
      </c>
      <c r="H132" t="s">
        <v>1078</v>
      </c>
      <c r="I132" t="s">
        <v>1061</v>
      </c>
      <c r="J132" t="s">
        <v>400</v>
      </c>
      <c r="K132" t="s">
        <v>1126</v>
      </c>
      <c r="L132" t="s">
        <v>1041</v>
      </c>
      <c r="M132">
        <v>1959</v>
      </c>
      <c r="N132">
        <v>2008</v>
      </c>
      <c r="O132">
        <f t="shared" si="4"/>
        <v>50</v>
      </c>
      <c r="Q132">
        <f>(-62.5+(90.4))/(O132/10)</f>
        <v>5.580000000000001</v>
      </c>
      <c r="R132" t="s">
        <v>694</v>
      </c>
      <c r="S132" t="s">
        <v>1051</v>
      </c>
      <c r="T132" t="s">
        <v>1045</v>
      </c>
    </row>
    <row r="133" spans="1:20">
      <c r="A133" t="s">
        <v>620</v>
      </c>
      <c r="D133">
        <v>2017</v>
      </c>
      <c r="E133" s="40">
        <v>45881</v>
      </c>
      <c r="F133" s="40" t="s">
        <v>74</v>
      </c>
      <c r="G133" t="s">
        <v>152</v>
      </c>
      <c r="H133" t="s">
        <v>1078</v>
      </c>
      <c r="I133" t="s">
        <v>1075</v>
      </c>
      <c r="J133" t="s">
        <v>400</v>
      </c>
      <c r="K133" t="s">
        <v>1126</v>
      </c>
      <c r="L133" t="s">
        <v>1041</v>
      </c>
      <c r="M133">
        <v>1959</v>
      </c>
      <c r="N133">
        <v>2008</v>
      </c>
      <c r="O133">
        <f t="shared" si="4"/>
        <v>50</v>
      </c>
      <c r="Q133">
        <f>(-365.1+(407.9))/(O133/10)</f>
        <v>8.5599999999999916</v>
      </c>
      <c r="R133" t="s">
        <v>694</v>
      </c>
      <c r="S133" t="s">
        <v>1051</v>
      </c>
      <c r="T133" t="s">
        <v>1045</v>
      </c>
    </row>
    <row r="134" spans="1:20">
      <c r="A134" t="s">
        <v>620</v>
      </c>
      <c r="D134">
        <v>2017</v>
      </c>
      <c r="E134" s="40">
        <v>45881</v>
      </c>
      <c r="F134" s="40" t="s">
        <v>74</v>
      </c>
      <c r="G134" t="s">
        <v>152</v>
      </c>
      <c r="H134" t="s">
        <v>1078</v>
      </c>
      <c r="I134" t="s">
        <v>1066</v>
      </c>
      <c r="J134" t="s">
        <v>400</v>
      </c>
      <c r="K134" t="s">
        <v>1126</v>
      </c>
      <c r="L134" t="s">
        <v>1041</v>
      </c>
      <c r="M134">
        <v>1959</v>
      </c>
      <c r="N134">
        <v>2008</v>
      </c>
      <c r="O134">
        <f t="shared" si="4"/>
        <v>50</v>
      </c>
      <c r="Q134">
        <f>(-77.3+(151.3))/(O134/10)</f>
        <v>14.800000000000002</v>
      </c>
      <c r="R134" t="s">
        <v>694</v>
      </c>
      <c r="S134" t="s">
        <v>1051</v>
      </c>
      <c r="T134" t="s">
        <v>1045</v>
      </c>
    </row>
    <row r="135" spans="1:20">
      <c r="A135" t="s">
        <v>620</v>
      </c>
      <c r="D135">
        <v>2017</v>
      </c>
      <c r="E135" s="40">
        <v>45881</v>
      </c>
      <c r="F135" s="40" t="s">
        <v>74</v>
      </c>
      <c r="G135" t="s">
        <v>152</v>
      </c>
      <c r="H135" t="s">
        <v>1078</v>
      </c>
      <c r="I135" t="s">
        <v>1071</v>
      </c>
      <c r="J135" t="s">
        <v>400</v>
      </c>
      <c r="K135" t="s">
        <v>1126</v>
      </c>
      <c r="L135" t="s">
        <v>1041</v>
      </c>
      <c r="M135">
        <v>1959</v>
      </c>
      <c r="N135">
        <v>2008</v>
      </c>
      <c r="O135">
        <f t="shared" si="4"/>
        <v>50</v>
      </c>
      <c r="Q135">
        <f>(-100.3+(240.1))/(O135/10)</f>
        <v>27.96</v>
      </c>
      <c r="R135" t="s">
        <v>694</v>
      </c>
      <c r="S135" t="s">
        <v>1051</v>
      </c>
      <c r="T135" t="s">
        <v>1045</v>
      </c>
    </row>
    <row r="136" spans="1:20">
      <c r="A136" t="s">
        <v>620</v>
      </c>
      <c r="D136">
        <v>2017</v>
      </c>
      <c r="E136" s="40">
        <v>45881</v>
      </c>
      <c r="F136" s="40" t="s">
        <v>74</v>
      </c>
      <c r="G136" t="s">
        <v>152</v>
      </c>
      <c r="H136" t="s">
        <v>1078</v>
      </c>
      <c r="I136" t="s">
        <v>350</v>
      </c>
      <c r="J136" t="s">
        <v>400</v>
      </c>
      <c r="K136" t="s">
        <v>1126</v>
      </c>
      <c r="L136" t="s">
        <v>1041</v>
      </c>
      <c r="M136">
        <v>1959</v>
      </c>
      <c r="N136">
        <v>2008</v>
      </c>
      <c r="O136">
        <f t="shared" si="4"/>
        <v>50</v>
      </c>
      <c r="Q136">
        <f>(0+(213.8))/(O136/10)</f>
        <v>42.760000000000005</v>
      </c>
      <c r="R136" t="s">
        <v>694</v>
      </c>
      <c r="S136" t="s">
        <v>1051</v>
      </c>
      <c r="T136" t="s">
        <v>1045</v>
      </c>
    </row>
    <row r="137" spans="1:20">
      <c r="A137" t="s">
        <v>620</v>
      </c>
      <c r="D137">
        <v>2017</v>
      </c>
      <c r="E137" s="40">
        <v>45881</v>
      </c>
      <c r="F137" s="40" t="s">
        <v>74</v>
      </c>
      <c r="G137" t="s">
        <v>152</v>
      </c>
      <c r="H137" t="s">
        <v>1078</v>
      </c>
      <c r="I137" t="s">
        <v>1065</v>
      </c>
      <c r="J137" t="s">
        <v>400</v>
      </c>
      <c r="K137" t="s">
        <v>1126</v>
      </c>
      <c r="L137" t="s">
        <v>1041</v>
      </c>
      <c r="M137">
        <v>1959</v>
      </c>
      <c r="N137">
        <v>2008</v>
      </c>
      <c r="O137">
        <f t="shared" si="4"/>
        <v>50</v>
      </c>
      <c r="Q137">
        <f>(118.4+(121.7))/(O137/10)</f>
        <v>48.02</v>
      </c>
      <c r="R137" t="s">
        <v>694</v>
      </c>
      <c r="S137" t="s">
        <v>1051</v>
      </c>
      <c r="T137" t="s">
        <v>1045</v>
      </c>
    </row>
    <row r="138" spans="1:20">
      <c r="A138" t="s">
        <v>620</v>
      </c>
      <c r="D138">
        <v>2017</v>
      </c>
      <c r="E138" s="40">
        <v>45881</v>
      </c>
      <c r="F138" s="40" t="s">
        <v>74</v>
      </c>
      <c r="G138" t="s">
        <v>152</v>
      </c>
      <c r="H138" t="s">
        <v>1078</v>
      </c>
      <c r="I138" t="s">
        <v>1073</v>
      </c>
      <c r="J138" t="s">
        <v>400</v>
      </c>
      <c r="K138" t="s">
        <v>1126</v>
      </c>
      <c r="L138" t="s">
        <v>1041</v>
      </c>
      <c r="M138">
        <v>1959</v>
      </c>
      <c r="N138">
        <v>2008</v>
      </c>
      <c r="O138">
        <f t="shared" si="4"/>
        <v>50</v>
      </c>
      <c r="Q138">
        <f>(-6.5+(335.5))/(O138/10)</f>
        <v>65.8</v>
      </c>
      <c r="R138" t="s">
        <v>694</v>
      </c>
      <c r="S138" t="s">
        <v>1051</v>
      </c>
      <c r="T138" t="s">
        <v>1045</v>
      </c>
    </row>
    <row r="139" spans="1:20">
      <c r="A139" t="s">
        <v>620</v>
      </c>
      <c r="D139">
        <v>2017</v>
      </c>
      <c r="E139" s="40">
        <v>45881</v>
      </c>
      <c r="F139" s="40" t="s">
        <v>74</v>
      </c>
      <c r="G139" t="s">
        <v>152</v>
      </c>
      <c r="H139" t="s">
        <v>1078</v>
      </c>
      <c r="I139" t="s">
        <v>1076</v>
      </c>
      <c r="J139" t="s">
        <v>400</v>
      </c>
      <c r="K139" t="s">
        <v>1126</v>
      </c>
      <c r="L139" t="s">
        <v>1041</v>
      </c>
      <c r="M139">
        <v>1959</v>
      </c>
      <c r="N139">
        <v>2008</v>
      </c>
      <c r="O139">
        <f t="shared" si="4"/>
        <v>50</v>
      </c>
      <c r="P139" t="s">
        <v>1052</v>
      </c>
      <c r="Q139">
        <f>(-75.7+(575.6))/(O139/10)</f>
        <v>99.98</v>
      </c>
      <c r="R139" t="s">
        <v>694</v>
      </c>
      <c r="S139" t="s">
        <v>1051</v>
      </c>
      <c r="T139" t="s">
        <v>1045</v>
      </c>
    </row>
    <row r="140" spans="1:20">
      <c r="A140" t="s">
        <v>619</v>
      </c>
      <c r="D140">
        <v>2016</v>
      </c>
      <c r="E140" s="40">
        <v>45890</v>
      </c>
      <c r="F140" t="s">
        <v>1185</v>
      </c>
      <c r="G140" t="s">
        <v>152</v>
      </c>
      <c r="H140" t="s">
        <v>1077</v>
      </c>
      <c r="I140" t="s">
        <v>1422</v>
      </c>
      <c r="J140" t="s">
        <v>400</v>
      </c>
      <c r="K140" t="s">
        <v>1126</v>
      </c>
      <c r="M140">
        <v>1968</v>
      </c>
      <c r="P140">
        <v>1.1859999999999999</v>
      </c>
      <c r="Q140">
        <f>P140*10</f>
        <v>11.86</v>
      </c>
      <c r="R140" t="s">
        <v>694</v>
      </c>
      <c r="T140" t="s">
        <v>1423</v>
      </c>
    </row>
    <row r="141" spans="1:20">
      <c r="A141" t="s">
        <v>1148</v>
      </c>
      <c r="C141" s="47" t="s">
        <v>1149</v>
      </c>
      <c r="D141">
        <v>2016</v>
      </c>
      <c r="E141" s="40">
        <v>45884</v>
      </c>
      <c r="F141" s="40" t="s">
        <v>74</v>
      </c>
      <c r="G141" t="s">
        <v>205</v>
      </c>
      <c r="H141" t="s">
        <v>788</v>
      </c>
      <c r="I141" t="s">
        <v>1150</v>
      </c>
      <c r="J141" t="s">
        <v>1151</v>
      </c>
      <c r="K141" t="s">
        <v>1126</v>
      </c>
      <c r="L141" t="s">
        <v>1122</v>
      </c>
      <c r="M141">
        <v>1992</v>
      </c>
      <c r="N141">
        <v>2013</v>
      </c>
      <c r="O141">
        <f t="shared" ref="O141:O204" si="5">N141-M141+1</f>
        <v>22</v>
      </c>
      <c r="Q141">
        <f>((53-52.7)*111.32)/(O141/10)</f>
        <v>15.179999999999854</v>
      </c>
      <c r="R141" t="s">
        <v>694</v>
      </c>
      <c r="S141" t="s">
        <v>1152</v>
      </c>
    </row>
    <row r="142" spans="1:20">
      <c r="A142" t="s">
        <v>619</v>
      </c>
      <c r="C142" t="s">
        <v>1283</v>
      </c>
      <c r="D142">
        <v>2016</v>
      </c>
      <c r="E142" s="40">
        <v>45887</v>
      </c>
      <c r="F142" t="s">
        <v>1185</v>
      </c>
      <c r="G142" t="s">
        <v>205</v>
      </c>
      <c r="H142" t="s">
        <v>964</v>
      </c>
      <c r="I142" t="s">
        <v>535</v>
      </c>
      <c r="J142" t="s">
        <v>400</v>
      </c>
      <c r="K142" t="s">
        <v>1126</v>
      </c>
      <c r="L142" t="s">
        <v>1286</v>
      </c>
      <c r="M142">
        <v>1968</v>
      </c>
      <c r="N142">
        <v>2012</v>
      </c>
      <c r="O142">
        <f t="shared" si="5"/>
        <v>45</v>
      </c>
      <c r="Q142">
        <v>-23.189999999999998</v>
      </c>
      <c r="R142" t="s">
        <v>41</v>
      </c>
      <c r="T142" t="s">
        <v>1187</v>
      </c>
    </row>
    <row r="143" spans="1:20">
      <c r="A143" t="s">
        <v>619</v>
      </c>
      <c r="C143" t="s">
        <v>1284</v>
      </c>
      <c r="D143">
        <v>2016</v>
      </c>
      <c r="E143" s="40">
        <v>45887</v>
      </c>
      <c r="F143" t="s">
        <v>1185</v>
      </c>
      <c r="G143" t="s">
        <v>205</v>
      </c>
      <c r="H143" t="s">
        <v>964</v>
      </c>
      <c r="I143" t="s">
        <v>535</v>
      </c>
      <c r="J143" t="s">
        <v>400</v>
      </c>
      <c r="K143" t="s">
        <v>1126</v>
      </c>
      <c r="L143" t="s">
        <v>1286</v>
      </c>
      <c r="M143">
        <v>1968</v>
      </c>
      <c r="N143">
        <v>2012</v>
      </c>
      <c r="O143">
        <f t="shared" si="5"/>
        <v>45</v>
      </c>
      <c r="Q143">
        <v>2.2800000000000002</v>
      </c>
      <c r="R143" t="s">
        <v>694</v>
      </c>
      <c r="T143" t="s">
        <v>1187</v>
      </c>
    </row>
    <row r="144" spans="1:20">
      <c r="A144" t="s">
        <v>619</v>
      </c>
      <c r="C144" t="s">
        <v>1285</v>
      </c>
      <c r="D144">
        <v>2016</v>
      </c>
      <c r="E144" s="40">
        <v>45887</v>
      </c>
      <c r="F144" t="s">
        <v>1185</v>
      </c>
      <c r="G144" t="s">
        <v>205</v>
      </c>
      <c r="H144" t="s">
        <v>964</v>
      </c>
      <c r="I144" t="s">
        <v>535</v>
      </c>
      <c r="J144" t="s">
        <v>400</v>
      </c>
      <c r="K144" t="s">
        <v>1126</v>
      </c>
      <c r="L144" t="s">
        <v>1286</v>
      </c>
      <c r="M144">
        <v>1968</v>
      </c>
      <c r="N144">
        <v>2012</v>
      </c>
      <c r="O144">
        <f t="shared" si="5"/>
        <v>45</v>
      </c>
      <c r="Q144">
        <v>2.7800000000000002</v>
      </c>
      <c r="R144" t="s">
        <v>694</v>
      </c>
      <c r="T144" t="s">
        <v>1187</v>
      </c>
    </row>
    <row r="145" spans="1:20">
      <c r="A145" t="s">
        <v>611</v>
      </c>
      <c r="C145" s="47" t="s">
        <v>1188</v>
      </c>
      <c r="D145">
        <v>2015</v>
      </c>
      <c r="E145" s="40">
        <v>45887</v>
      </c>
      <c r="F145" t="s">
        <v>1185</v>
      </c>
      <c r="G145" t="s">
        <v>205</v>
      </c>
      <c r="H145" t="s">
        <v>1190</v>
      </c>
      <c r="I145" t="s">
        <v>417</v>
      </c>
      <c r="J145" t="s">
        <v>418</v>
      </c>
      <c r="K145" t="s">
        <v>1126</v>
      </c>
      <c r="L145" t="s">
        <v>62</v>
      </c>
      <c r="M145">
        <v>1986</v>
      </c>
      <c r="N145">
        <v>2000</v>
      </c>
      <c r="O145">
        <f t="shared" si="5"/>
        <v>15</v>
      </c>
      <c r="Q145">
        <v>-96.389999999999986</v>
      </c>
      <c r="R145" t="s">
        <v>41</v>
      </c>
      <c r="T145" t="s">
        <v>1187</v>
      </c>
    </row>
    <row r="146" spans="1:20">
      <c r="A146" t="s">
        <v>611</v>
      </c>
      <c r="C146" t="s">
        <v>1189</v>
      </c>
      <c r="D146">
        <v>2015</v>
      </c>
      <c r="E146" s="40">
        <v>45887</v>
      </c>
      <c r="F146" t="s">
        <v>1185</v>
      </c>
      <c r="G146" t="s">
        <v>205</v>
      </c>
      <c r="H146" t="s">
        <v>208</v>
      </c>
      <c r="I146" t="s">
        <v>430</v>
      </c>
      <c r="J146" t="s">
        <v>431</v>
      </c>
      <c r="K146" t="s">
        <v>1126</v>
      </c>
      <c r="L146" t="s">
        <v>62</v>
      </c>
      <c r="M146">
        <v>1986</v>
      </c>
      <c r="N146">
        <v>2000</v>
      </c>
      <c r="O146">
        <f t="shared" si="5"/>
        <v>15</v>
      </c>
      <c r="Q146">
        <v>-86.22</v>
      </c>
      <c r="R146" t="s">
        <v>41</v>
      </c>
      <c r="T146" t="s">
        <v>1187</v>
      </c>
    </row>
    <row r="147" spans="1:20">
      <c r="A147" t="s">
        <v>611</v>
      </c>
      <c r="C147" t="s">
        <v>1194</v>
      </c>
      <c r="D147">
        <v>2015</v>
      </c>
      <c r="E147" s="40">
        <v>45887</v>
      </c>
      <c r="F147" t="s">
        <v>1185</v>
      </c>
      <c r="G147" t="s">
        <v>205</v>
      </c>
      <c r="H147" t="s">
        <v>1192</v>
      </c>
      <c r="I147" t="s">
        <v>437</v>
      </c>
      <c r="J147" t="s">
        <v>418</v>
      </c>
      <c r="K147" t="s">
        <v>1126</v>
      </c>
      <c r="L147" t="s">
        <v>62</v>
      </c>
      <c r="M147">
        <v>1986</v>
      </c>
      <c r="N147">
        <v>2000</v>
      </c>
      <c r="O147">
        <f t="shared" si="5"/>
        <v>15</v>
      </c>
      <c r="Q147">
        <v>-44.690000000000005</v>
      </c>
      <c r="R147" t="s">
        <v>41</v>
      </c>
      <c r="T147" t="s">
        <v>1187</v>
      </c>
    </row>
    <row r="148" spans="1:20">
      <c r="A148" t="s">
        <v>611</v>
      </c>
      <c r="C148" t="s">
        <v>1195</v>
      </c>
      <c r="D148">
        <v>2015</v>
      </c>
      <c r="E148" s="40">
        <v>45887</v>
      </c>
      <c r="F148" t="s">
        <v>1185</v>
      </c>
      <c r="G148" t="s">
        <v>205</v>
      </c>
      <c r="H148" t="s">
        <v>1192</v>
      </c>
      <c r="I148" t="s">
        <v>441</v>
      </c>
      <c r="J148" t="s">
        <v>431</v>
      </c>
      <c r="K148" t="s">
        <v>1126</v>
      </c>
      <c r="L148" t="s">
        <v>62</v>
      </c>
      <c r="M148">
        <v>1986</v>
      </c>
      <c r="N148">
        <v>2000</v>
      </c>
      <c r="O148">
        <f t="shared" si="5"/>
        <v>15</v>
      </c>
      <c r="Q148">
        <v>-41.91</v>
      </c>
      <c r="R148" t="s">
        <v>41</v>
      </c>
      <c r="T148" t="s">
        <v>1187</v>
      </c>
    </row>
    <row r="149" spans="1:20">
      <c r="A149" t="s">
        <v>611</v>
      </c>
      <c r="C149" t="s">
        <v>1196</v>
      </c>
      <c r="D149">
        <v>2015</v>
      </c>
      <c r="E149" s="40">
        <v>45887</v>
      </c>
      <c r="F149" t="s">
        <v>1185</v>
      </c>
      <c r="G149" t="s">
        <v>205</v>
      </c>
      <c r="H149" t="s">
        <v>1193</v>
      </c>
      <c r="I149" t="s">
        <v>445</v>
      </c>
      <c r="J149" t="s">
        <v>418</v>
      </c>
      <c r="K149" t="s">
        <v>1126</v>
      </c>
      <c r="L149" t="s">
        <v>62</v>
      </c>
      <c r="M149">
        <v>1986</v>
      </c>
      <c r="N149">
        <v>2000</v>
      </c>
      <c r="O149">
        <f t="shared" si="5"/>
        <v>15</v>
      </c>
      <c r="Q149">
        <v>-39</v>
      </c>
      <c r="R149" t="s">
        <v>41</v>
      </c>
      <c r="T149" t="s">
        <v>1187</v>
      </c>
    </row>
    <row r="150" spans="1:20">
      <c r="A150" t="s">
        <v>611</v>
      </c>
      <c r="C150" t="s">
        <v>1197</v>
      </c>
      <c r="D150">
        <v>2015</v>
      </c>
      <c r="E150" s="40">
        <v>45887</v>
      </c>
      <c r="F150" t="s">
        <v>1185</v>
      </c>
      <c r="G150" t="s">
        <v>205</v>
      </c>
      <c r="H150" t="s">
        <v>208</v>
      </c>
      <c r="I150" t="s">
        <v>430</v>
      </c>
      <c r="J150" t="s">
        <v>400</v>
      </c>
      <c r="K150" t="s">
        <v>1126</v>
      </c>
      <c r="L150" t="s">
        <v>62</v>
      </c>
      <c r="M150">
        <v>1986</v>
      </c>
      <c r="N150">
        <v>2000</v>
      </c>
      <c r="O150">
        <f t="shared" si="5"/>
        <v>15</v>
      </c>
      <c r="Q150">
        <v>-36.770000000000003</v>
      </c>
      <c r="R150" t="s">
        <v>41</v>
      </c>
      <c r="T150" t="s">
        <v>1187</v>
      </c>
    </row>
    <row r="151" spans="1:20">
      <c r="A151" t="s">
        <v>611</v>
      </c>
      <c r="C151" t="s">
        <v>1198</v>
      </c>
      <c r="D151">
        <v>2015</v>
      </c>
      <c r="E151" s="40">
        <v>45887</v>
      </c>
      <c r="F151" t="s">
        <v>1185</v>
      </c>
      <c r="G151" t="s">
        <v>205</v>
      </c>
      <c r="H151" t="s">
        <v>1192</v>
      </c>
      <c r="I151" t="s">
        <v>446</v>
      </c>
      <c r="J151" t="s">
        <v>431</v>
      </c>
      <c r="K151" t="s">
        <v>1126</v>
      </c>
      <c r="L151" t="s">
        <v>62</v>
      </c>
      <c r="M151">
        <v>1986</v>
      </c>
      <c r="N151">
        <v>2000</v>
      </c>
      <c r="O151">
        <f t="shared" si="5"/>
        <v>15</v>
      </c>
      <c r="Q151">
        <v>-30.459999999999997</v>
      </c>
      <c r="R151" t="s">
        <v>41</v>
      </c>
      <c r="T151" t="s">
        <v>1187</v>
      </c>
    </row>
    <row r="152" spans="1:20">
      <c r="A152" t="s">
        <v>611</v>
      </c>
      <c r="C152" t="s">
        <v>1199</v>
      </c>
      <c r="D152">
        <v>2015</v>
      </c>
      <c r="E152" s="40">
        <v>45887</v>
      </c>
      <c r="F152" t="s">
        <v>1185</v>
      </c>
      <c r="G152" t="s">
        <v>205</v>
      </c>
      <c r="H152" t="s">
        <v>1192</v>
      </c>
      <c r="I152" t="s">
        <v>448</v>
      </c>
      <c r="J152" t="s">
        <v>418</v>
      </c>
      <c r="K152" t="s">
        <v>1126</v>
      </c>
      <c r="L152" t="s">
        <v>62</v>
      </c>
      <c r="M152">
        <v>1986</v>
      </c>
      <c r="N152">
        <v>2000</v>
      </c>
      <c r="O152">
        <f t="shared" si="5"/>
        <v>15</v>
      </c>
      <c r="Q152">
        <v>-19.119999999999997</v>
      </c>
      <c r="R152" t="s">
        <v>41</v>
      </c>
      <c r="T152" t="s">
        <v>1187</v>
      </c>
    </row>
    <row r="153" spans="1:20">
      <c r="A153" t="s">
        <v>611</v>
      </c>
      <c r="C153" t="s">
        <v>1200</v>
      </c>
      <c r="D153">
        <v>2015</v>
      </c>
      <c r="E153" s="40">
        <v>45887</v>
      </c>
      <c r="F153" t="s">
        <v>1185</v>
      </c>
      <c r="G153" t="s">
        <v>205</v>
      </c>
      <c r="H153" t="s">
        <v>1192</v>
      </c>
      <c r="I153" t="s">
        <v>448</v>
      </c>
      <c r="J153" t="s">
        <v>400</v>
      </c>
      <c r="K153" t="s">
        <v>1126</v>
      </c>
      <c r="L153" t="s">
        <v>62</v>
      </c>
      <c r="M153">
        <v>1986</v>
      </c>
      <c r="N153">
        <v>2000</v>
      </c>
      <c r="O153">
        <f t="shared" si="5"/>
        <v>15</v>
      </c>
      <c r="Q153">
        <v>-16.21</v>
      </c>
      <c r="R153" t="s">
        <v>41</v>
      </c>
      <c r="T153" t="s">
        <v>1187</v>
      </c>
    </row>
    <row r="154" spans="1:20">
      <c r="A154" t="s">
        <v>611</v>
      </c>
      <c r="C154" t="s">
        <v>1201</v>
      </c>
      <c r="D154">
        <v>2015</v>
      </c>
      <c r="E154" s="40">
        <v>45887</v>
      </c>
      <c r="F154" t="s">
        <v>1185</v>
      </c>
      <c r="G154" t="s">
        <v>205</v>
      </c>
      <c r="H154" t="s">
        <v>208</v>
      </c>
      <c r="I154" t="s">
        <v>430</v>
      </c>
      <c r="J154" t="s">
        <v>418</v>
      </c>
      <c r="K154" t="s">
        <v>1126</v>
      </c>
      <c r="L154" t="s">
        <v>62</v>
      </c>
      <c r="M154">
        <v>1986</v>
      </c>
      <c r="N154">
        <v>2000</v>
      </c>
      <c r="O154">
        <f t="shared" si="5"/>
        <v>15</v>
      </c>
      <c r="Q154">
        <v>-12.709999999999999</v>
      </c>
      <c r="R154" t="s">
        <v>41</v>
      </c>
      <c r="T154" t="s">
        <v>1187</v>
      </c>
    </row>
    <row r="155" spans="1:20">
      <c r="A155" t="s">
        <v>611</v>
      </c>
      <c r="C155" t="s">
        <v>1202</v>
      </c>
      <c r="D155">
        <v>2015</v>
      </c>
      <c r="E155" s="40">
        <v>45887</v>
      </c>
      <c r="F155" t="s">
        <v>1185</v>
      </c>
      <c r="G155" t="s">
        <v>205</v>
      </c>
      <c r="H155" t="s">
        <v>1192</v>
      </c>
      <c r="I155" t="s">
        <v>446</v>
      </c>
      <c r="J155" t="s">
        <v>400</v>
      </c>
      <c r="K155" t="s">
        <v>1126</v>
      </c>
      <c r="L155" t="s">
        <v>62</v>
      </c>
      <c r="M155">
        <v>1986</v>
      </c>
      <c r="N155">
        <v>2000</v>
      </c>
      <c r="O155">
        <f t="shared" si="5"/>
        <v>15</v>
      </c>
      <c r="Q155">
        <v>-9.58</v>
      </c>
      <c r="R155" t="s">
        <v>41</v>
      </c>
      <c r="T155" t="s">
        <v>1187</v>
      </c>
    </row>
    <row r="156" spans="1:20">
      <c r="A156" t="s">
        <v>611</v>
      </c>
      <c r="C156" t="s">
        <v>1203</v>
      </c>
      <c r="D156">
        <v>2015</v>
      </c>
      <c r="E156" s="40">
        <v>45887</v>
      </c>
      <c r="F156" t="s">
        <v>1185</v>
      </c>
      <c r="G156" t="s">
        <v>205</v>
      </c>
      <c r="H156" t="s">
        <v>910</v>
      </c>
      <c r="I156" t="s">
        <v>452</v>
      </c>
      <c r="J156" t="s">
        <v>418</v>
      </c>
      <c r="K156" t="s">
        <v>1126</v>
      </c>
      <c r="L156" t="s">
        <v>62</v>
      </c>
      <c r="M156">
        <v>1986</v>
      </c>
      <c r="N156">
        <v>2000</v>
      </c>
      <c r="O156">
        <f t="shared" si="5"/>
        <v>15</v>
      </c>
      <c r="Q156">
        <v>-9.2000000000000011</v>
      </c>
      <c r="R156" t="s">
        <v>41</v>
      </c>
      <c r="T156" t="s">
        <v>1187</v>
      </c>
    </row>
    <row r="157" spans="1:20">
      <c r="A157" t="s">
        <v>611</v>
      </c>
      <c r="C157" t="s">
        <v>1204</v>
      </c>
      <c r="D157">
        <v>2015</v>
      </c>
      <c r="E157" s="40">
        <v>45887</v>
      </c>
      <c r="F157" t="s">
        <v>1185</v>
      </c>
      <c r="G157" t="s">
        <v>205</v>
      </c>
      <c r="H157" t="s">
        <v>1192</v>
      </c>
      <c r="I157" t="s">
        <v>456</v>
      </c>
      <c r="J157" t="s">
        <v>418</v>
      </c>
      <c r="K157" t="s">
        <v>1126</v>
      </c>
      <c r="L157" t="s">
        <v>62</v>
      </c>
      <c r="M157">
        <v>1986</v>
      </c>
      <c r="N157">
        <v>2000</v>
      </c>
      <c r="O157">
        <f t="shared" si="5"/>
        <v>15</v>
      </c>
      <c r="Q157">
        <v>-6.62</v>
      </c>
      <c r="R157" t="s">
        <v>41</v>
      </c>
      <c r="T157" t="s">
        <v>1187</v>
      </c>
    </row>
    <row r="158" spans="1:20">
      <c r="A158" t="s">
        <v>611</v>
      </c>
      <c r="C158" t="s">
        <v>1205</v>
      </c>
      <c r="D158">
        <v>2015</v>
      </c>
      <c r="E158" s="40">
        <v>45887</v>
      </c>
      <c r="F158" t="s">
        <v>1185</v>
      </c>
      <c r="G158" t="s">
        <v>205</v>
      </c>
      <c r="H158" t="s">
        <v>208</v>
      </c>
      <c r="I158" t="s">
        <v>245</v>
      </c>
      <c r="J158" t="s">
        <v>418</v>
      </c>
      <c r="K158" t="s">
        <v>1126</v>
      </c>
      <c r="L158" t="s">
        <v>62</v>
      </c>
      <c r="M158">
        <v>1986</v>
      </c>
      <c r="N158">
        <v>2000</v>
      </c>
      <c r="O158">
        <f t="shared" si="5"/>
        <v>15</v>
      </c>
      <c r="Q158">
        <v>-2.6</v>
      </c>
      <c r="R158" t="s">
        <v>41</v>
      </c>
      <c r="T158" t="s">
        <v>1187</v>
      </c>
    </row>
    <row r="159" spans="1:20">
      <c r="A159" t="s">
        <v>611</v>
      </c>
      <c r="C159" t="s">
        <v>1206</v>
      </c>
      <c r="D159">
        <v>2015</v>
      </c>
      <c r="E159" s="40">
        <v>45887</v>
      </c>
      <c r="F159" t="s">
        <v>1185</v>
      </c>
      <c r="G159" t="s">
        <v>205</v>
      </c>
      <c r="H159" t="s">
        <v>1193</v>
      </c>
      <c r="I159" t="s">
        <v>417</v>
      </c>
      <c r="J159" t="s">
        <v>400</v>
      </c>
      <c r="K159" t="s">
        <v>1126</v>
      </c>
      <c r="L159" t="s">
        <v>62</v>
      </c>
      <c r="M159">
        <v>1986</v>
      </c>
      <c r="N159">
        <v>2000</v>
      </c>
      <c r="O159">
        <f t="shared" si="5"/>
        <v>15</v>
      </c>
      <c r="Q159">
        <v>3.75</v>
      </c>
      <c r="R159" t="s">
        <v>694</v>
      </c>
      <c r="T159" t="s">
        <v>1187</v>
      </c>
    </row>
    <row r="160" spans="1:20">
      <c r="A160" t="s">
        <v>611</v>
      </c>
      <c r="C160" t="s">
        <v>1207</v>
      </c>
      <c r="D160">
        <v>2015</v>
      </c>
      <c r="E160" s="40">
        <v>45887</v>
      </c>
      <c r="F160" t="s">
        <v>1185</v>
      </c>
      <c r="G160" t="s">
        <v>205</v>
      </c>
      <c r="H160" t="s">
        <v>1193</v>
      </c>
      <c r="I160" t="s">
        <v>461</v>
      </c>
      <c r="J160" t="s">
        <v>431</v>
      </c>
      <c r="K160" t="s">
        <v>1126</v>
      </c>
      <c r="L160" t="s">
        <v>62</v>
      </c>
      <c r="M160">
        <v>1986</v>
      </c>
      <c r="N160">
        <v>2000</v>
      </c>
      <c r="O160">
        <f t="shared" si="5"/>
        <v>15</v>
      </c>
      <c r="Q160">
        <v>8.86</v>
      </c>
      <c r="R160" t="s">
        <v>694</v>
      </c>
      <c r="T160" t="s">
        <v>1187</v>
      </c>
    </row>
    <row r="161" spans="1:20">
      <c r="A161" t="s">
        <v>611</v>
      </c>
      <c r="C161" t="s">
        <v>1208</v>
      </c>
      <c r="D161">
        <v>2015</v>
      </c>
      <c r="E161" s="40">
        <v>45887</v>
      </c>
      <c r="F161" t="s">
        <v>1185</v>
      </c>
      <c r="G161" t="s">
        <v>205</v>
      </c>
      <c r="H161" t="s">
        <v>1192</v>
      </c>
      <c r="I161" t="s">
        <v>462</v>
      </c>
      <c r="J161" t="s">
        <v>418</v>
      </c>
      <c r="K161" t="s">
        <v>1126</v>
      </c>
      <c r="L161" t="s">
        <v>62</v>
      </c>
      <c r="M161">
        <v>1986</v>
      </c>
      <c r="N161">
        <v>2000</v>
      </c>
      <c r="O161">
        <f t="shared" si="5"/>
        <v>15</v>
      </c>
      <c r="Q161">
        <v>9.9</v>
      </c>
      <c r="R161" t="s">
        <v>694</v>
      </c>
      <c r="T161" t="s">
        <v>1187</v>
      </c>
    </row>
    <row r="162" spans="1:20">
      <c r="A162" t="s">
        <v>611</v>
      </c>
      <c r="C162" t="s">
        <v>1209</v>
      </c>
      <c r="D162">
        <v>2015</v>
      </c>
      <c r="E162" s="40">
        <v>45887</v>
      </c>
      <c r="F162" t="s">
        <v>1185</v>
      </c>
      <c r="G162" t="s">
        <v>205</v>
      </c>
      <c r="H162" t="s">
        <v>910</v>
      </c>
      <c r="I162" t="s">
        <v>463</v>
      </c>
      <c r="J162" t="s">
        <v>418</v>
      </c>
      <c r="K162" t="s">
        <v>1126</v>
      </c>
      <c r="L162" t="s">
        <v>62</v>
      </c>
      <c r="M162">
        <v>1986</v>
      </c>
      <c r="N162">
        <v>2000</v>
      </c>
      <c r="O162">
        <f t="shared" si="5"/>
        <v>15</v>
      </c>
      <c r="Q162">
        <v>9.93</v>
      </c>
      <c r="R162" t="s">
        <v>694</v>
      </c>
      <c r="T162" t="s">
        <v>1187</v>
      </c>
    </row>
    <row r="163" spans="1:20">
      <c r="A163" t="s">
        <v>611</v>
      </c>
      <c r="C163" t="s">
        <v>1210</v>
      </c>
      <c r="D163">
        <v>2015</v>
      </c>
      <c r="E163" s="40">
        <v>45887</v>
      </c>
      <c r="F163" t="s">
        <v>1185</v>
      </c>
      <c r="G163" t="s">
        <v>205</v>
      </c>
      <c r="H163" t="s">
        <v>1192</v>
      </c>
      <c r="I163" t="s">
        <v>249</v>
      </c>
      <c r="J163" t="s">
        <v>418</v>
      </c>
      <c r="K163" t="s">
        <v>1126</v>
      </c>
      <c r="L163" t="s">
        <v>62</v>
      </c>
      <c r="M163">
        <v>1986</v>
      </c>
      <c r="N163">
        <v>2000</v>
      </c>
      <c r="O163">
        <f t="shared" si="5"/>
        <v>15</v>
      </c>
      <c r="Q163">
        <v>10.049999999999999</v>
      </c>
      <c r="R163" t="s">
        <v>694</v>
      </c>
      <c r="T163" t="s">
        <v>1187</v>
      </c>
    </row>
    <row r="164" spans="1:20">
      <c r="A164" t="s">
        <v>611</v>
      </c>
      <c r="C164" t="s">
        <v>1211</v>
      </c>
      <c r="D164">
        <v>2015</v>
      </c>
      <c r="E164" s="40">
        <v>45887</v>
      </c>
      <c r="F164" t="s">
        <v>1185</v>
      </c>
      <c r="G164" t="s">
        <v>205</v>
      </c>
      <c r="H164" t="s">
        <v>1192</v>
      </c>
      <c r="I164" t="s">
        <v>469</v>
      </c>
      <c r="J164" t="s">
        <v>418</v>
      </c>
      <c r="K164" t="s">
        <v>1126</v>
      </c>
      <c r="L164" t="s">
        <v>62</v>
      </c>
      <c r="M164">
        <v>1986</v>
      </c>
      <c r="N164">
        <v>2000</v>
      </c>
      <c r="O164">
        <f t="shared" si="5"/>
        <v>15</v>
      </c>
      <c r="Q164">
        <v>10.809999999999999</v>
      </c>
      <c r="R164" t="s">
        <v>694</v>
      </c>
      <c r="T164" t="s">
        <v>1187</v>
      </c>
    </row>
    <row r="165" spans="1:20">
      <c r="A165" t="s">
        <v>611</v>
      </c>
      <c r="C165" t="s">
        <v>1212</v>
      </c>
      <c r="D165">
        <v>2015</v>
      </c>
      <c r="E165" s="40">
        <v>45887</v>
      </c>
      <c r="F165" t="s">
        <v>1185</v>
      </c>
      <c r="G165" t="s">
        <v>205</v>
      </c>
      <c r="H165" t="s">
        <v>1192</v>
      </c>
      <c r="I165" t="s">
        <v>470</v>
      </c>
      <c r="J165" t="s">
        <v>400</v>
      </c>
      <c r="K165" t="s">
        <v>1126</v>
      </c>
      <c r="L165" t="s">
        <v>62</v>
      </c>
      <c r="M165">
        <v>1986</v>
      </c>
      <c r="N165">
        <v>2000</v>
      </c>
      <c r="O165">
        <f t="shared" si="5"/>
        <v>15</v>
      </c>
      <c r="Q165">
        <v>16.98</v>
      </c>
      <c r="R165" t="s">
        <v>694</v>
      </c>
      <c r="T165" t="s">
        <v>1187</v>
      </c>
    </row>
    <row r="166" spans="1:20">
      <c r="A166" t="s">
        <v>611</v>
      </c>
      <c r="C166" t="s">
        <v>1213</v>
      </c>
      <c r="D166">
        <v>2015</v>
      </c>
      <c r="E166" s="40">
        <v>45887</v>
      </c>
      <c r="F166" t="s">
        <v>1185</v>
      </c>
      <c r="G166" t="s">
        <v>205</v>
      </c>
      <c r="H166" t="s">
        <v>1192</v>
      </c>
      <c r="I166" t="s">
        <v>441</v>
      </c>
      <c r="J166" t="s">
        <v>400</v>
      </c>
      <c r="K166" t="s">
        <v>1126</v>
      </c>
      <c r="L166" t="s">
        <v>62</v>
      </c>
      <c r="M166">
        <v>1986</v>
      </c>
      <c r="N166">
        <v>2000</v>
      </c>
      <c r="O166">
        <f t="shared" si="5"/>
        <v>15</v>
      </c>
      <c r="Q166">
        <v>18.740000000000002</v>
      </c>
      <c r="R166" t="s">
        <v>694</v>
      </c>
      <c r="T166" t="s">
        <v>1187</v>
      </c>
    </row>
    <row r="167" spans="1:20">
      <c r="A167" t="s">
        <v>611</v>
      </c>
      <c r="C167" t="s">
        <v>1214</v>
      </c>
      <c r="D167">
        <v>2015</v>
      </c>
      <c r="E167" s="40">
        <v>45887</v>
      </c>
      <c r="F167" t="s">
        <v>1185</v>
      </c>
      <c r="G167" t="s">
        <v>205</v>
      </c>
      <c r="H167" t="s">
        <v>1192</v>
      </c>
      <c r="I167" t="s">
        <v>471</v>
      </c>
      <c r="J167" t="s">
        <v>418</v>
      </c>
      <c r="K167" t="s">
        <v>1126</v>
      </c>
      <c r="L167" t="s">
        <v>62</v>
      </c>
      <c r="M167">
        <v>1986</v>
      </c>
      <c r="N167">
        <v>2000</v>
      </c>
      <c r="O167">
        <f t="shared" si="5"/>
        <v>15</v>
      </c>
      <c r="Q167">
        <v>18.93</v>
      </c>
      <c r="R167" t="s">
        <v>694</v>
      </c>
      <c r="T167" t="s">
        <v>1187</v>
      </c>
    </row>
    <row r="168" spans="1:20">
      <c r="A168" t="s">
        <v>611</v>
      </c>
      <c r="C168" t="s">
        <v>1215</v>
      </c>
      <c r="D168">
        <v>2015</v>
      </c>
      <c r="E168" s="40">
        <v>45887</v>
      </c>
      <c r="F168" t="s">
        <v>1185</v>
      </c>
      <c r="G168" t="s">
        <v>205</v>
      </c>
      <c r="H168" t="s">
        <v>910</v>
      </c>
      <c r="I168" t="s">
        <v>472</v>
      </c>
      <c r="J168" t="s">
        <v>418</v>
      </c>
      <c r="K168" t="s">
        <v>1126</v>
      </c>
      <c r="L168" t="s">
        <v>62</v>
      </c>
      <c r="M168">
        <v>1986</v>
      </c>
      <c r="N168">
        <v>2000</v>
      </c>
      <c r="O168">
        <f t="shared" si="5"/>
        <v>15</v>
      </c>
      <c r="Q168">
        <v>19.03</v>
      </c>
      <c r="R168" t="s">
        <v>694</v>
      </c>
      <c r="T168" t="s">
        <v>1187</v>
      </c>
    </row>
    <row r="169" spans="1:20">
      <c r="A169" t="s">
        <v>611</v>
      </c>
      <c r="C169" t="s">
        <v>1216</v>
      </c>
      <c r="D169">
        <v>2015</v>
      </c>
      <c r="E169" s="40">
        <v>45887</v>
      </c>
      <c r="F169" t="s">
        <v>1185</v>
      </c>
      <c r="G169" t="s">
        <v>205</v>
      </c>
      <c r="H169" t="s">
        <v>910</v>
      </c>
      <c r="I169" t="s">
        <v>452</v>
      </c>
      <c r="J169" t="s">
        <v>400</v>
      </c>
      <c r="K169" t="s">
        <v>1126</v>
      </c>
      <c r="L169" t="s">
        <v>62</v>
      </c>
      <c r="M169">
        <v>1986</v>
      </c>
      <c r="N169">
        <v>2000</v>
      </c>
      <c r="O169">
        <f t="shared" si="5"/>
        <v>15</v>
      </c>
      <c r="Q169">
        <v>19.21</v>
      </c>
      <c r="R169" t="s">
        <v>694</v>
      </c>
      <c r="T169" t="s">
        <v>1187</v>
      </c>
    </row>
    <row r="170" spans="1:20">
      <c r="A170" t="s">
        <v>611</v>
      </c>
      <c r="C170" t="s">
        <v>1217</v>
      </c>
      <c r="D170">
        <v>2015</v>
      </c>
      <c r="E170" s="40">
        <v>45887</v>
      </c>
      <c r="F170" t="s">
        <v>1185</v>
      </c>
      <c r="G170" t="s">
        <v>205</v>
      </c>
      <c r="H170" t="s">
        <v>1192</v>
      </c>
      <c r="I170" t="s">
        <v>475</v>
      </c>
      <c r="J170" t="s">
        <v>418</v>
      </c>
      <c r="K170" t="s">
        <v>1126</v>
      </c>
      <c r="L170" t="s">
        <v>62</v>
      </c>
      <c r="M170">
        <v>1986</v>
      </c>
      <c r="N170">
        <v>2000</v>
      </c>
      <c r="O170">
        <f t="shared" si="5"/>
        <v>15</v>
      </c>
      <c r="Q170">
        <v>20.22</v>
      </c>
      <c r="R170" t="s">
        <v>694</v>
      </c>
      <c r="T170" t="s">
        <v>1187</v>
      </c>
    </row>
    <row r="171" spans="1:20">
      <c r="A171" t="s">
        <v>611</v>
      </c>
      <c r="C171" t="s">
        <v>1218</v>
      </c>
      <c r="D171">
        <v>2015</v>
      </c>
      <c r="E171" s="40">
        <v>45887</v>
      </c>
      <c r="F171" t="s">
        <v>1185</v>
      </c>
      <c r="G171" t="s">
        <v>205</v>
      </c>
      <c r="H171" t="s">
        <v>1193</v>
      </c>
      <c r="I171" t="s">
        <v>461</v>
      </c>
      <c r="J171" t="s">
        <v>418</v>
      </c>
      <c r="K171" t="s">
        <v>1126</v>
      </c>
      <c r="L171" t="s">
        <v>62</v>
      </c>
      <c r="M171">
        <v>1986</v>
      </c>
      <c r="N171">
        <v>2000</v>
      </c>
      <c r="O171">
        <f t="shared" si="5"/>
        <v>15</v>
      </c>
      <c r="Q171">
        <v>21.17</v>
      </c>
      <c r="R171" t="s">
        <v>694</v>
      </c>
      <c r="T171" t="s">
        <v>1187</v>
      </c>
    </row>
    <row r="172" spans="1:20">
      <c r="A172" t="s">
        <v>611</v>
      </c>
      <c r="C172" t="s">
        <v>1219</v>
      </c>
      <c r="D172">
        <v>2015</v>
      </c>
      <c r="E172" s="40">
        <v>45887</v>
      </c>
      <c r="F172" t="s">
        <v>1185</v>
      </c>
      <c r="G172" t="s">
        <v>205</v>
      </c>
      <c r="H172" t="s">
        <v>1193</v>
      </c>
      <c r="I172" t="s">
        <v>478</v>
      </c>
      <c r="J172" t="s">
        <v>418</v>
      </c>
      <c r="K172" t="s">
        <v>1126</v>
      </c>
      <c r="L172" t="s">
        <v>62</v>
      </c>
      <c r="M172">
        <v>1986</v>
      </c>
      <c r="N172">
        <v>2000</v>
      </c>
      <c r="O172">
        <f t="shared" si="5"/>
        <v>15</v>
      </c>
      <c r="Q172">
        <v>21.22</v>
      </c>
      <c r="R172" t="s">
        <v>694</v>
      </c>
      <c r="T172" t="s">
        <v>1187</v>
      </c>
    </row>
    <row r="173" spans="1:20">
      <c r="A173" t="s">
        <v>611</v>
      </c>
      <c r="C173" t="s">
        <v>1220</v>
      </c>
      <c r="D173">
        <v>2015</v>
      </c>
      <c r="E173" s="40">
        <v>45887</v>
      </c>
      <c r="F173" t="s">
        <v>1185</v>
      </c>
      <c r="G173" t="s">
        <v>205</v>
      </c>
      <c r="H173" t="s">
        <v>1192</v>
      </c>
      <c r="I173" t="s">
        <v>448</v>
      </c>
      <c r="J173" t="s">
        <v>431</v>
      </c>
      <c r="K173" t="s">
        <v>1126</v>
      </c>
      <c r="L173" t="s">
        <v>62</v>
      </c>
      <c r="M173">
        <v>1986</v>
      </c>
      <c r="N173">
        <v>2000</v>
      </c>
      <c r="O173">
        <f t="shared" si="5"/>
        <v>15</v>
      </c>
      <c r="Q173">
        <v>21.8</v>
      </c>
      <c r="R173" t="s">
        <v>694</v>
      </c>
      <c r="T173" t="s">
        <v>1187</v>
      </c>
    </row>
    <row r="174" spans="1:20">
      <c r="A174" t="s">
        <v>611</v>
      </c>
      <c r="C174" t="s">
        <v>1221</v>
      </c>
      <c r="D174">
        <v>2015</v>
      </c>
      <c r="E174" s="40">
        <v>45887</v>
      </c>
      <c r="F174" t="s">
        <v>1185</v>
      </c>
      <c r="G174" t="s">
        <v>205</v>
      </c>
      <c r="H174" t="s">
        <v>1192</v>
      </c>
      <c r="I174" t="s">
        <v>470</v>
      </c>
      <c r="J174" t="s">
        <v>418</v>
      </c>
      <c r="K174" t="s">
        <v>1126</v>
      </c>
      <c r="L174" t="s">
        <v>62</v>
      </c>
      <c r="M174">
        <v>1986</v>
      </c>
      <c r="N174">
        <v>2000</v>
      </c>
      <c r="O174">
        <f t="shared" si="5"/>
        <v>15</v>
      </c>
      <c r="Q174">
        <v>22.85</v>
      </c>
      <c r="R174" t="s">
        <v>694</v>
      </c>
      <c r="T174" t="s">
        <v>1187</v>
      </c>
    </row>
    <row r="175" spans="1:20">
      <c r="A175" t="s">
        <v>611</v>
      </c>
      <c r="C175" t="s">
        <v>1222</v>
      </c>
      <c r="D175">
        <v>2015</v>
      </c>
      <c r="E175" s="40">
        <v>45887</v>
      </c>
      <c r="F175" t="s">
        <v>1185</v>
      </c>
      <c r="G175" t="s">
        <v>205</v>
      </c>
      <c r="H175" t="s">
        <v>1193</v>
      </c>
      <c r="I175" t="s">
        <v>478</v>
      </c>
      <c r="J175" t="s">
        <v>400</v>
      </c>
      <c r="K175" t="s">
        <v>1126</v>
      </c>
      <c r="L175" t="s">
        <v>62</v>
      </c>
      <c r="M175">
        <v>1986</v>
      </c>
      <c r="N175">
        <v>2000</v>
      </c>
      <c r="O175">
        <f t="shared" si="5"/>
        <v>15</v>
      </c>
      <c r="Q175">
        <v>23.330000000000002</v>
      </c>
      <c r="R175" t="s">
        <v>694</v>
      </c>
      <c r="T175" t="s">
        <v>1187</v>
      </c>
    </row>
    <row r="176" spans="1:20">
      <c r="A176" t="s">
        <v>611</v>
      </c>
      <c r="C176" t="s">
        <v>1223</v>
      </c>
      <c r="D176">
        <v>2015</v>
      </c>
      <c r="E176" s="40">
        <v>45887</v>
      </c>
      <c r="F176" t="s">
        <v>1185</v>
      </c>
      <c r="G176" t="s">
        <v>205</v>
      </c>
      <c r="H176" t="s">
        <v>1193</v>
      </c>
      <c r="I176" t="s">
        <v>445</v>
      </c>
      <c r="J176" t="s">
        <v>400</v>
      </c>
      <c r="K176" t="s">
        <v>1126</v>
      </c>
      <c r="L176" t="s">
        <v>62</v>
      </c>
      <c r="M176">
        <v>1986</v>
      </c>
      <c r="N176">
        <v>2000</v>
      </c>
      <c r="O176">
        <f t="shared" si="5"/>
        <v>15</v>
      </c>
      <c r="Q176">
        <v>25</v>
      </c>
      <c r="R176" t="s">
        <v>694</v>
      </c>
      <c r="T176" t="s">
        <v>1187</v>
      </c>
    </row>
    <row r="177" spans="1:20">
      <c r="A177" t="s">
        <v>611</v>
      </c>
      <c r="C177" t="s">
        <v>1224</v>
      </c>
      <c r="D177">
        <v>2015</v>
      </c>
      <c r="E177" s="40">
        <v>45887</v>
      </c>
      <c r="F177" t="s">
        <v>1185</v>
      </c>
      <c r="G177" t="s">
        <v>205</v>
      </c>
      <c r="H177" t="s">
        <v>1192</v>
      </c>
      <c r="I177" t="s">
        <v>482</v>
      </c>
      <c r="J177" t="s">
        <v>418</v>
      </c>
      <c r="K177" t="s">
        <v>1126</v>
      </c>
      <c r="L177" t="s">
        <v>62</v>
      </c>
      <c r="M177">
        <v>1986</v>
      </c>
      <c r="N177">
        <v>2000</v>
      </c>
      <c r="O177">
        <f t="shared" si="5"/>
        <v>15</v>
      </c>
      <c r="Q177">
        <v>25.459999999999997</v>
      </c>
      <c r="R177" t="s">
        <v>694</v>
      </c>
      <c r="T177" t="s">
        <v>1187</v>
      </c>
    </row>
    <row r="178" spans="1:20">
      <c r="A178" t="s">
        <v>611</v>
      </c>
      <c r="C178" t="s">
        <v>1225</v>
      </c>
      <c r="D178">
        <v>2015</v>
      </c>
      <c r="E178" s="40">
        <v>45887</v>
      </c>
      <c r="F178" t="s">
        <v>1185</v>
      </c>
      <c r="G178" t="s">
        <v>205</v>
      </c>
      <c r="H178" t="s">
        <v>1192</v>
      </c>
      <c r="I178" t="s">
        <v>446</v>
      </c>
      <c r="J178" t="s">
        <v>418</v>
      </c>
      <c r="K178" t="s">
        <v>1126</v>
      </c>
      <c r="L178" t="s">
        <v>62</v>
      </c>
      <c r="M178">
        <v>1986</v>
      </c>
      <c r="N178">
        <v>2000</v>
      </c>
      <c r="O178">
        <f t="shared" si="5"/>
        <v>15</v>
      </c>
      <c r="Q178">
        <v>26.07</v>
      </c>
      <c r="R178" t="s">
        <v>694</v>
      </c>
      <c r="T178" t="s">
        <v>1187</v>
      </c>
    </row>
    <row r="179" spans="1:20">
      <c r="A179" t="s">
        <v>611</v>
      </c>
      <c r="C179" t="s">
        <v>1226</v>
      </c>
      <c r="D179">
        <v>2015</v>
      </c>
      <c r="E179" s="40">
        <v>45887</v>
      </c>
      <c r="F179" t="s">
        <v>1185</v>
      </c>
      <c r="G179" t="s">
        <v>205</v>
      </c>
      <c r="H179" t="s">
        <v>208</v>
      </c>
      <c r="I179" t="s">
        <v>245</v>
      </c>
      <c r="J179" t="s">
        <v>400</v>
      </c>
      <c r="K179" t="s">
        <v>1126</v>
      </c>
      <c r="L179" t="s">
        <v>62</v>
      </c>
      <c r="M179">
        <v>1986</v>
      </c>
      <c r="N179">
        <v>2000</v>
      </c>
      <c r="O179">
        <f t="shared" si="5"/>
        <v>15</v>
      </c>
      <c r="Q179">
        <v>28.64</v>
      </c>
      <c r="R179" t="s">
        <v>694</v>
      </c>
      <c r="T179" t="s">
        <v>1187</v>
      </c>
    </row>
    <row r="180" spans="1:20">
      <c r="A180" t="s">
        <v>611</v>
      </c>
      <c r="C180" t="s">
        <v>1227</v>
      </c>
      <c r="D180">
        <v>2015</v>
      </c>
      <c r="E180" s="40">
        <v>45887</v>
      </c>
      <c r="F180" t="s">
        <v>1185</v>
      </c>
      <c r="G180" t="s">
        <v>205</v>
      </c>
      <c r="H180" t="s">
        <v>910</v>
      </c>
      <c r="I180" t="s">
        <v>472</v>
      </c>
      <c r="J180" t="s">
        <v>400</v>
      </c>
      <c r="K180" t="s">
        <v>1126</v>
      </c>
      <c r="L180" t="s">
        <v>62</v>
      </c>
      <c r="M180">
        <v>1986</v>
      </c>
      <c r="N180">
        <v>2000</v>
      </c>
      <c r="O180">
        <f t="shared" si="5"/>
        <v>15</v>
      </c>
      <c r="Q180">
        <v>30.19</v>
      </c>
      <c r="R180" t="s">
        <v>694</v>
      </c>
      <c r="T180" t="s">
        <v>1187</v>
      </c>
    </row>
    <row r="181" spans="1:20">
      <c r="A181" t="s">
        <v>611</v>
      </c>
      <c r="C181" t="s">
        <v>1228</v>
      </c>
      <c r="D181">
        <v>2015</v>
      </c>
      <c r="E181" s="40">
        <v>45887</v>
      </c>
      <c r="F181" t="s">
        <v>1185</v>
      </c>
      <c r="G181" t="s">
        <v>205</v>
      </c>
      <c r="H181" t="s">
        <v>1192</v>
      </c>
      <c r="I181" t="s">
        <v>486</v>
      </c>
      <c r="J181" t="s">
        <v>431</v>
      </c>
      <c r="K181" t="s">
        <v>1126</v>
      </c>
      <c r="L181" t="s">
        <v>62</v>
      </c>
      <c r="M181">
        <v>1986</v>
      </c>
      <c r="N181">
        <v>2000</v>
      </c>
      <c r="O181">
        <f t="shared" si="5"/>
        <v>15</v>
      </c>
      <c r="Q181">
        <v>30.87</v>
      </c>
      <c r="R181" t="s">
        <v>694</v>
      </c>
      <c r="T181" t="s">
        <v>1187</v>
      </c>
    </row>
    <row r="182" spans="1:20">
      <c r="A182" t="s">
        <v>611</v>
      </c>
      <c r="C182" t="s">
        <v>1229</v>
      </c>
      <c r="D182">
        <v>2015</v>
      </c>
      <c r="E182" s="40">
        <v>45887</v>
      </c>
      <c r="F182" t="s">
        <v>1185</v>
      </c>
      <c r="G182" t="s">
        <v>205</v>
      </c>
      <c r="H182" t="s">
        <v>1193</v>
      </c>
      <c r="I182" t="s">
        <v>461</v>
      </c>
      <c r="J182" t="s">
        <v>400</v>
      </c>
      <c r="K182" t="s">
        <v>1126</v>
      </c>
      <c r="L182" t="s">
        <v>62</v>
      </c>
      <c r="M182">
        <v>1986</v>
      </c>
      <c r="N182">
        <v>2000</v>
      </c>
      <c r="O182">
        <f t="shared" si="5"/>
        <v>15</v>
      </c>
      <c r="Q182">
        <v>31.269999999999996</v>
      </c>
      <c r="R182" t="s">
        <v>694</v>
      </c>
      <c r="T182" t="s">
        <v>1187</v>
      </c>
    </row>
    <row r="183" spans="1:20">
      <c r="A183" t="s">
        <v>611</v>
      </c>
      <c r="C183" t="s">
        <v>1230</v>
      </c>
      <c r="D183">
        <v>2015</v>
      </c>
      <c r="E183" s="40">
        <v>45887</v>
      </c>
      <c r="F183" t="s">
        <v>1185</v>
      </c>
      <c r="G183" t="s">
        <v>205</v>
      </c>
      <c r="H183" t="s">
        <v>1192</v>
      </c>
      <c r="I183" t="s">
        <v>489</v>
      </c>
      <c r="J183" t="s">
        <v>418</v>
      </c>
      <c r="K183" t="s">
        <v>1126</v>
      </c>
      <c r="L183" t="s">
        <v>62</v>
      </c>
      <c r="M183">
        <v>1986</v>
      </c>
      <c r="N183">
        <v>2000</v>
      </c>
      <c r="O183">
        <f t="shared" si="5"/>
        <v>15</v>
      </c>
      <c r="Q183">
        <v>31.400000000000002</v>
      </c>
      <c r="R183" t="s">
        <v>694</v>
      </c>
      <c r="T183" t="s">
        <v>1187</v>
      </c>
    </row>
    <row r="184" spans="1:20">
      <c r="A184" t="s">
        <v>611</v>
      </c>
      <c r="C184" t="s">
        <v>1231</v>
      </c>
      <c r="D184">
        <v>2015</v>
      </c>
      <c r="E184" s="40">
        <v>45887</v>
      </c>
      <c r="F184" t="s">
        <v>1185</v>
      </c>
      <c r="G184" t="s">
        <v>205</v>
      </c>
      <c r="H184" t="s">
        <v>910</v>
      </c>
      <c r="I184" t="s">
        <v>452</v>
      </c>
      <c r="J184" t="s">
        <v>431</v>
      </c>
      <c r="K184" t="s">
        <v>1126</v>
      </c>
      <c r="L184" t="s">
        <v>62</v>
      </c>
      <c r="M184">
        <v>1986</v>
      </c>
      <c r="N184">
        <v>2000</v>
      </c>
      <c r="O184">
        <f t="shared" si="5"/>
        <v>15</v>
      </c>
      <c r="Q184">
        <v>31.78</v>
      </c>
      <c r="R184" t="s">
        <v>694</v>
      </c>
      <c r="T184" t="s">
        <v>1187</v>
      </c>
    </row>
    <row r="185" spans="1:20">
      <c r="A185" t="s">
        <v>611</v>
      </c>
      <c r="C185" t="s">
        <v>1232</v>
      </c>
      <c r="D185">
        <v>2015</v>
      </c>
      <c r="E185" s="40">
        <v>45887</v>
      </c>
      <c r="F185" t="s">
        <v>1185</v>
      </c>
      <c r="G185" t="s">
        <v>205</v>
      </c>
      <c r="H185" t="s">
        <v>1192</v>
      </c>
      <c r="I185" t="s">
        <v>493</v>
      </c>
      <c r="J185" t="s">
        <v>418</v>
      </c>
      <c r="K185" t="s">
        <v>1126</v>
      </c>
      <c r="L185" t="s">
        <v>62</v>
      </c>
      <c r="M185">
        <v>1986</v>
      </c>
      <c r="N185">
        <v>2000</v>
      </c>
      <c r="O185">
        <f t="shared" si="5"/>
        <v>15</v>
      </c>
      <c r="Q185">
        <v>32.08</v>
      </c>
      <c r="R185" t="s">
        <v>694</v>
      </c>
      <c r="T185" t="s">
        <v>1187</v>
      </c>
    </row>
    <row r="186" spans="1:20">
      <c r="A186" t="s">
        <v>611</v>
      </c>
      <c r="C186" t="s">
        <v>1233</v>
      </c>
      <c r="D186">
        <v>2015</v>
      </c>
      <c r="E186" s="40">
        <v>45887</v>
      </c>
      <c r="F186" t="s">
        <v>1185</v>
      </c>
      <c r="G186" t="s">
        <v>205</v>
      </c>
      <c r="H186" t="s">
        <v>1192</v>
      </c>
      <c r="I186" t="s">
        <v>456</v>
      </c>
      <c r="J186" t="s">
        <v>400</v>
      </c>
      <c r="K186" t="s">
        <v>1126</v>
      </c>
      <c r="L186" t="s">
        <v>62</v>
      </c>
      <c r="M186">
        <v>1986</v>
      </c>
      <c r="N186">
        <v>2000</v>
      </c>
      <c r="O186">
        <f t="shared" si="5"/>
        <v>15</v>
      </c>
      <c r="Q186">
        <v>32.78</v>
      </c>
      <c r="R186" t="s">
        <v>694</v>
      </c>
      <c r="T186" t="s">
        <v>1187</v>
      </c>
    </row>
    <row r="187" spans="1:20">
      <c r="A187" t="s">
        <v>611</v>
      </c>
      <c r="C187" t="s">
        <v>1234</v>
      </c>
      <c r="D187">
        <v>2015</v>
      </c>
      <c r="E187" s="40">
        <v>45887</v>
      </c>
      <c r="F187" t="s">
        <v>1185</v>
      </c>
      <c r="G187" t="s">
        <v>205</v>
      </c>
      <c r="H187" t="s">
        <v>910</v>
      </c>
      <c r="I187" t="s">
        <v>472</v>
      </c>
      <c r="J187" t="s">
        <v>431</v>
      </c>
      <c r="K187" t="s">
        <v>1126</v>
      </c>
      <c r="L187" t="s">
        <v>62</v>
      </c>
      <c r="M187">
        <v>1986</v>
      </c>
      <c r="N187">
        <v>2000</v>
      </c>
      <c r="O187">
        <f t="shared" si="5"/>
        <v>15</v>
      </c>
      <c r="Q187">
        <v>34.15</v>
      </c>
      <c r="R187" t="s">
        <v>694</v>
      </c>
      <c r="T187" t="s">
        <v>1187</v>
      </c>
    </row>
    <row r="188" spans="1:20">
      <c r="A188" t="s">
        <v>611</v>
      </c>
      <c r="C188" t="s">
        <v>1235</v>
      </c>
      <c r="D188">
        <v>2015</v>
      </c>
      <c r="E188" s="40">
        <v>45887</v>
      </c>
      <c r="F188" t="s">
        <v>1185</v>
      </c>
      <c r="G188" t="s">
        <v>205</v>
      </c>
      <c r="H188" t="s">
        <v>1193</v>
      </c>
      <c r="I188" t="s">
        <v>417</v>
      </c>
      <c r="J188" t="s">
        <v>431</v>
      </c>
      <c r="K188" t="s">
        <v>1126</v>
      </c>
      <c r="L188" t="s">
        <v>62</v>
      </c>
      <c r="M188">
        <v>1986</v>
      </c>
      <c r="N188">
        <v>2000</v>
      </c>
      <c r="O188">
        <f t="shared" si="5"/>
        <v>15</v>
      </c>
      <c r="Q188">
        <v>34.300000000000004</v>
      </c>
      <c r="R188" t="s">
        <v>694</v>
      </c>
      <c r="T188" t="s">
        <v>1187</v>
      </c>
    </row>
    <row r="189" spans="1:20">
      <c r="A189" t="s">
        <v>611</v>
      </c>
      <c r="C189" t="s">
        <v>1236</v>
      </c>
      <c r="D189">
        <v>2015</v>
      </c>
      <c r="E189" s="40">
        <v>45887</v>
      </c>
      <c r="F189" t="s">
        <v>1185</v>
      </c>
      <c r="G189" t="s">
        <v>205</v>
      </c>
      <c r="H189" t="s">
        <v>1192</v>
      </c>
      <c r="I189" t="s">
        <v>494</v>
      </c>
      <c r="J189" t="s">
        <v>418</v>
      </c>
      <c r="K189" t="s">
        <v>1126</v>
      </c>
      <c r="L189" t="s">
        <v>62</v>
      </c>
      <c r="M189">
        <v>1986</v>
      </c>
      <c r="N189">
        <v>2000</v>
      </c>
      <c r="O189">
        <f t="shared" si="5"/>
        <v>15</v>
      </c>
      <c r="Q189">
        <v>37.99</v>
      </c>
      <c r="R189" t="s">
        <v>694</v>
      </c>
      <c r="T189" t="s">
        <v>1187</v>
      </c>
    </row>
    <row r="190" spans="1:20">
      <c r="A190" t="s">
        <v>611</v>
      </c>
      <c r="C190" t="s">
        <v>1237</v>
      </c>
      <c r="D190">
        <v>2015</v>
      </c>
      <c r="E190" s="40">
        <v>45887</v>
      </c>
      <c r="F190" t="s">
        <v>1185</v>
      </c>
      <c r="G190" t="s">
        <v>205</v>
      </c>
      <c r="H190" t="s">
        <v>1192</v>
      </c>
      <c r="I190" t="s">
        <v>482</v>
      </c>
      <c r="J190" t="s">
        <v>400</v>
      </c>
      <c r="K190" t="s">
        <v>1126</v>
      </c>
      <c r="L190" t="s">
        <v>62</v>
      </c>
      <c r="M190">
        <v>1986</v>
      </c>
      <c r="N190">
        <v>2000</v>
      </c>
      <c r="O190">
        <f t="shared" si="5"/>
        <v>15</v>
      </c>
      <c r="Q190">
        <v>39.42</v>
      </c>
      <c r="R190" t="s">
        <v>694</v>
      </c>
      <c r="T190" t="s">
        <v>1187</v>
      </c>
    </row>
    <row r="191" spans="1:20">
      <c r="A191" t="s">
        <v>611</v>
      </c>
      <c r="C191" t="s">
        <v>1238</v>
      </c>
      <c r="D191">
        <v>2015</v>
      </c>
      <c r="E191" s="40">
        <v>45887</v>
      </c>
      <c r="F191" t="s">
        <v>1185</v>
      </c>
      <c r="G191" t="s">
        <v>205</v>
      </c>
      <c r="H191" t="s">
        <v>1192</v>
      </c>
      <c r="I191" t="s">
        <v>456</v>
      </c>
      <c r="J191" t="s">
        <v>431</v>
      </c>
      <c r="K191" t="s">
        <v>1126</v>
      </c>
      <c r="L191" t="s">
        <v>62</v>
      </c>
      <c r="M191">
        <v>1986</v>
      </c>
      <c r="N191">
        <v>2000</v>
      </c>
      <c r="O191">
        <f t="shared" si="5"/>
        <v>15</v>
      </c>
      <c r="Q191">
        <v>41.210000000000008</v>
      </c>
      <c r="R191" t="s">
        <v>694</v>
      </c>
      <c r="T191" t="s">
        <v>1187</v>
      </c>
    </row>
    <row r="192" spans="1:20">
      <c r="A192" t="s">
        <v>611</v>
      </c>
      <c r="C192" t="s">
        <v>1239</v>
      </c>
      <c r="D192">
        <v>2015</v>
      </c>
      <c r="E192" s="40">
        <v>45887</v>
      </c>
      <c r="F192" t="s">
        <v>1185</v>
      </c>
      <c r="G192" t="s">
        <v>205</v>
      </c>
      <c r="H192" t="s">
        <v>1192</v>
      </c>
      <c r="I192" t="s">
        <v>486</v>
      </c>
      <c r="J192" t="s">
        <v>400</v>
      </c>
      <c r="K192" t="s">
        <v>1126</v>
      </c>
      <c r="L192" t="s">
        <v>62</v>
      </c>
      <c r="M192">
        <v>1986</v>
      </c>
      <c r="N192">
        <v>2000</v>
      </c>
      <c r="O192">
        <f t="shared" si="5"/>
        <v>15</v>
      </c>
      <c r="Q192">
        <v>47.61</v>
      </c>
      <c r="R192" t="s">
        <v>694</v>
      </c>
      <c r="T192" t="s">
        <v>1187</v>
      </c>
    </row>
    <row r="193" spans="1:20">
      <c r="A193" t="s">
        <v>611</v>
      </c>
      <c r="C193" t="s">
        <v>1240</v>
      </c>
      <c r="D193">
        <v>2015</v>
      </c>
      <c r="E193" s="40">
        <v>45887</v>
      </c>
      <c r="F193" t="s">
        <v>1185</v>
      </c>
      <c r="G193" t="s">
        <v>205</v>
      </c>
      <c r="H193" t="s">
        <v>1192</v>
      </c>
      <c r="I193" t="s">
        <v>437</v>
      </c>
      <c r="J193" t="s">
        <v>400</v>
      </c>
      <c r="K193" t="s">
        <v>1126</v>
      </c>
      <c r="L193" t="s">
        <v>62</v>
      </c>
      <c r="M193">
        <v>1986</v>
      </c>
      <c r="N193">
        <v>2000</v>
      </c>
      <c r="O193">
        <f t="shared" si="5"/>
        <v>15</v>
      </c>
      <c r="Q193">
        <v>48.97</v>
      </c>
      <c r="R193" t="s">
        <v>694</v>
      </c>
      <c r="T193" t="s">
        <v>1187</v>
      </c>
    </row>
    <row r="194" spans="1:20">
      <c r="A194" t="s">
        <v>611</v>
      </c>
      <c r="C194" t="s">
        <v>1241</v>
      </c>
      <c r="D194">
        <v>2015</v>
      </c>
      <c r="E194" s="40">
        <v>45887</v>
      </c>
      <c r="F194" t="s">
        <v>1185</v>
      </c>
      <c r="G194" t="s">
        <v>205</v>
      </c>
      <c r="H194" t="s">
        <v>1192</v>
      </c>
      <c r="I194" t="s">
        <v>486</v>
      </c>
      <c r="J194" t="s">
        <v>418</v>
      </c>
      <c r="K194" t="s">
        <v>1126</v>
      </c>
      <c r="L194" t="s">
        <v>62</v>
      </c>
      <c r="M194">
        <v>1986</v>
      </c>
      <c r="N194">
        <v>2000</v>
      </c>
      <c r="O194">
        <f t="shared" si="5"/>
        <v>15</v>
      </c>
      <c r="Q194">
        <v>51.16</v>
      </c>
      <c r="R194" t="s">
        <v>694</v>
      </c>
      <c r="T194" t="s">
        <v>1187</v>
      </c>
    </row>
    <row r="195" spans="1:20">
      <c r="A195" t="s">
        <v>611</v>
      </c>
      <c r="C195" t="s">
        <v>1242</v>
      </c>
      <c r="D195">
        <v>2015</v>
      </c>
      <c r="E195" s="40">
        <v>45887</v>
      </c>
      <c r="F195" t="s">
        <v>1185</v>
      </c>
      <c r="G195" t="s">
        <v>205</v>
      </c>
      <c r="H195" t="s">
        <v>910</v>
      </c>
      <c r="I195" t="s">
        <v>463</v>
      </c>
      <c r="J195" t="s">
        <v>400</v>
      </c>
      <c r="K195" t="s">
        <v>1126</v>
      </c>
      <c r="L195" t="s">
        <v>62</v>
      </c>
      <c r="M195">
        <v>1986</v>
      </c>
      <c r="N195">
        <v>2000</v>
      </c>
      <c r="O195">
        <f t="shared" si="5"/>
        <v>15</v>
      </c>
      <c r="Q195">
        <v>52.019999999999996</v>
      </c>
      <c r="R195" t="s">
        <v>694</v>
      </c>
      <c r="T195" t="s">
        <v>1187</v>
      </c>
    </row>
    <row r="196" spans="1:20">
      <c r="A196" t="s">
        <v>611</v>
      </c>
      <c r="C196" t="s">
        <v>1243</v>
      </c>
      <c r="D196">
        <v>2015</v>
      </c>
      <c r="E196" s="40">
        <v>45887</v>
      </c>
      <c r="F196" t="s">
        <v>1185</v>
      </c>
      <c r="G196" t="s">
        <v>205</v>
      </c>
      <c r="H196" t="s">
        <v>1193</v>
      </c>
      <c r="I196" t="s">
        <v>478</v>
      </c>
      <c r="J196" t="s">
        <v>431</v>
      </c>
      <c r="K196" t="s">
        <v>1126</v>
      </c>
      <c r="L196" t="s">
        <v>62</v>
      </c>
      <c r="M196">
        <v>1986</v>
      </c>
      <c r="N196">
        <v>2000</v>
      </c>
      <c r="O196">
        <f t="shared" si="5"/>
        <v>15</v>
      </c>
      <c r="Q196">
        <v>52.089999999999996</v>
      </c>
      <c r="R196" t="s">
        <v>694</v>
      </c>
      <c r="T196" t="s">
        <v>1187</v>
      </c>
    </row>
    <row r="197" spans="1:20">
      <c r="A197" t="s">
        <v>611</v>
      </c>
      <c r="C197" t="s">
        <v>1244</v>
      </c>
      <c r="D197">
        <v>2015</v>
      </c>
      <c r="E197" s="40">
        <v>45887</v>
      </c>
      <c r="F197" t="s">
        <v>1185</v>
      </c>
      <c r="G197" t="s">
        <v>205</v>
      </c>
      <c r="H197" t="s">
        <v>1192</v>
      </c>
      <c r="I197" t="s">
        <v>471</v>
      </c>
      <c r="J197" t="s">
        <v>400</v>
      </c>
      <c r="K197" t="s">
        <v>1126</v>
      </c>
      <c r="L197" t="s">
        <v>62</v>
      </c>
      <c r="M197">
        <v>1986</v>
      </c>
      <c r="N197">
        <v>2000</v>
      </c>
      <c r="O197">
        <f t="shared" si="5"/>
        <v>15</v>
      </c>
      <c r="Q197">
        <v>55.86</v>
      </c>
      <c r="R197" t="s">
        <v>694</v>
      </c>
      <c r="T197" t="s">
        <v>1187</v>
      </c>
    </row>
    <row r="198" spans="1:20">
      <c r="A198" t="s">
        <v>611</v>
      </c>
      <c r="C198" t="s">
        <v>1245</v>
      </c>
      <c r="D198">
        <v>2015</v>
      </c>
      <c r="E198" s="40">
        <v>45887</v>
      </c>
      <c r="F198" t="s">
        <v>1185</v>
      </c>
      <c r="G198" t="s">
        <v>205</v>
      </c>
      <c r="H198" t="s">
        <v>1193</v>
      </c>
      <c r="I198" t="s">
        <v>445</v>
      </c>
      <c r="J198" t="s">
        <v>431</v>
      </c>
      <c r="K198" t="s">
        <v>1126</v>
      </c>
      <c r="L198" t="s">
        <v>62</v>
      </c>
      <c r="M198">
        <v>1986</v>
      </c>
      <c r="N198">
        <v>2000</v>
      </c>
      <c r="O198">
        <f t="shared" si="5"/>
        <v>15</v>
      </c>
      <c r="Q198">
        <v>56.820000000000007</v>
      </c>
      <c r="R198" t="s">
        <v>694</v>
      </c>
      <c r="T198" t="s">
        <v>1187</v>
      </c>
    </row>
    <row r="199" spans="1:20">
      <c r="A199" t="s">
        <v>611</v>
      </c>
      <c r="C199" t="s">
        <v>1246</v>
      </c>
      <c r="D199">
        <v>2015</v>
      </c>
      <c r="E199" s="40">
        <v>45887</v>
      </c>
      <c r="F199" t="s">
        <v>1185</v>
      </c>
      <c r="G199" t="s">
        <v>205</v>
      </c>
      <c r="H199" t="s">
        <v>1192</v>
      </c>
      <c r="I199" t="s">
        <v>462</v>
      </c>
      <c r="J199" t="s">
        <v>400</v>
      </c>
      <c r="K199" t="s">
        <v>1126</v>
      </c>
      <c r="L199" t="s">
        <v>62</v>
      </c>
      <c r="M199">
        <v>1986</v>
      </c>
      <c r="N199">
        <v>2000</v>
      </c>
      <c r="O199">
        <f t="shared" si="5"/>
        <v>15</v>
      </c>
      <c r="Q199">
        <v>58.81</v>
      </c>
      <c r="R199" t="s">
        <v>694</v>
      </c>
      <c r="T199" t="s">
        <v>1187</v>
      </c>
    </row>
    <row r="200" spans="1:20">
      <c r="A200" t="s">
        <v>611</v>
      </c>
      <c r="C200" t="s">
        <v>1247</v>
      </c>
      <c r="D200">
        <v>2015</v>
      </c>
      <c r="E200" s="40">
        <v>45887</v>
      </c>
      <c r="F200" t="s">
        <v>1185</v>
      </c>
      <c r="G200" t="s">
        <v>205</v>
      </c>
      <c r="H200" t="s">
        <v>1192</v>
      </c>
      <c r="I200" t="s">
        <v>493</v>
      </c>
      <c r="J200" t="s">
        <v>400</v>
      </c>
      <c r="K200" t="s">
        <v>1126</v>
      </c>
      <c r="L200" t="s">
        <v>62</v>
      </c>
      <c r="M200">
        <v>1986</v>
      </c>
      <c r="N200">
        <v>2000</v>
      </c>
      <c r="O200">
        <f t="shared" si="5"/>
        <v>15</v>
      </c>
      <c r="Q200">
        <v>59.19</v>
      </c>
      <c r="R200" t="s">
        <v>694</v>
      </c>
      <c r="T200" t="s">
        <v>1187</v>
      </c>
    </row>
    <row r="201" spans="1:20">
      <c r="A201" t="s">
        <v>611</v>
      </c>
      <c r="C201" t="s">
        <v>1248</v>
      </c>
      <c r="D201">
        <v>2015</v>
      </c>
      <c r="E201" s="40">
        <v>45887</v>
      </c>
      <c r="F201" t="s">
        <v>1185</v>
      </c>
      <c r="G201" t="s">
        <v>205</v>
      </c>
      <c r="H201" t="s">
        <v>1192</v>
      </c>
      <c r="I201" t="s">
        <v>462</v>
      </c>
      <c r="J201" t="s">
        <v>431</v>
      </c>
      <c r="K201" t="s">
        <v>1126</v>
      </c>
      <c r="L201" t="s">
        <v>62</v>
      </c>
      <c r="M201">
        <v>1986</v>
      </c>
      <c r="N201">
        <v>2000</v>
      </c>
      <c r="O201">
        <f t="shared" si="5"/>
        <v>15</v>
      </c>
      <c r="Q201">
        <v>66.040000000000006</v>
      </c>
      <c r="R201" t="s">
        <v>694</v>
      </c>
      <c r="T201" t="s">
        <v>1187</v>
      </c>
    </row>
    <row r="202" spans="1:20">
      <c r="A202" t="s">
        <v>611</v>
      </c>
      <c r="C202" t="s">
        <v>1249</v>
      </c>
      <c r="D202">
        <v>2015</v>
      </c>
      <c r="E202" s="40">
        <v>45887</v>
      </c>
      <c r="F202" t="s">
        <v>1185</v>
      </c>
      <c r="G202" t="s">
        <v>205</v>
      </c>
      <c r="H202" t="s">
        <v>1192</v>
      </c>
      <c r="I202" t="s">
        <v>494</v>
      </c>
      <c r="J202" t="s">
        <v>400</v>
      </c>
      <c r="K202" t="s">
        <v>1126</v>
      </c>
      <c r="L202" t="s">
        <v>62</v>
      </c>
      <c r="M202">
        <v>1986</v>
      </c>
      <c r="N202">
        <v>2000</v>
      </c>
      <c r="O202">
        <f t="shared" si="5"/>
        <v>15</v>
      </c>
      <c r="Q202">
        <v>74.429999999999993</v>
      </c>
      <c r="R202" t="s">
        <v>694</v>
      </c>
      <c r="T202" t="s">
        <v>1187</v>
      </c>
    </row>
    <row r="203" spans="1:20">
      <c r="A203" t="s">
        <v>611</v>
      </c>
      <c r="C203" t="s">
        <v>1250</v>
      </c>
      <c r="D203">
        <v>2015</v>
      </c>
      <c r="E203" s="40">
        <v>45887</v>
      </c>
      <c r="F203" t="s">
        <v>1185</v>
      </c>
      <c r="G203" t="s">
        <v>205</v>
      </c>
      <c r="H203" t="s">
        <v>1192</v>
      </c>
      <c r="I203" t="s">
        <v>494</v>
      </c>
      <c r="J203" t="s">
        <v>431</v>
      </c>
      <c r="K203" t="s">
        <v>1126</v>
      </c>
      <c r="L203" t="s">
        <v>62</v>
      </c>
      <c r="M203">
        <v>1986</v>
      </c>
      <c r="N203">
        <v>2000</v>
      </c>
      <c r="O203">
        <f t="shared" si="5"/>
        <v>15</v>
      </c>
      <c r="Q203">
        <v>77.84</v>
      </c>
      <c r="R203" t="s">
        <v>694</v>
      </c>
      <c r="T203" t="s">
        <v>1187</v>
      </c>
    </row>
    <row r="204" spans="1:20">
      <c r="A204" t="s">
        <v>611</v>
      </c>
      <c r="C204" t="s">
        <v>1251</v>
      </c>
      <c r="D204">
        <v>2015</v>
      </c>
      <c r="E204" s="40">
        <v>45887</v>
      </c>
      <c r="F204" t="s">
        <v>1185</v>
      </c>
      <c r="G204" t="s">
        <v>205</v>
      </c>
      <c r="H204" t="s">
        <v>1192</v>
      </c>
      <c r="I204" t="s">
        <v>470</v>
      </c>
      <c r="J204" t="s">
        <v>431</v>
      </c>
      <c r="K204" t="s">
        <v>1126</v>
      </c>
      <c r="L204" t="s">
        <v>62</v>
      </c>
      <c r="M204">
        <v>1986</v>
      </c>
      <c r="N204">
        <v>2000</v>
      </c>
      <c r="O204">
        <f t="shared" si="5"/>
        <v>15</v>
      </c>
      <c r="Q204">
        <v>79.77000000000001</v>
      </c>
      <c r="R204" t="s">
        <v>694</v>
      </c>
      <c r="T204" t="s">
        <v>1187</v>
      </c>
    </row>
    <row r="205" spans="1:20">
      <c r="A205" t="s">
        <v>611</v>
      </c>
      <c r="C205" t="s">
        <v>1252</v>
      </c>
      <c r="D205">
        <v>2015</v>
      </c>
      <c r="E205" s="40">
        <v>45887</v>
      </c>
      <c r="F205" t="s">
        <v>1185</v>
      </c>
      <c r="G205" t="s">
        <v>205</v>
      </c>
      <c r="H205" t="s">
        <v>208</v>
      </c>
      <c r="I205" t="s">
        <v>245</v>
      </c>
      <c r="J205" t="s">
        <v>431</v>
      </c>
      <c r="K205" t="s">
        <v>1126</v>
      </c>
      <c r="L205" t="s">
        <v>62</v>
      </c>
      <c r="M205">
        <v>1986</v>
      </c>
      <c r="N205">
        <v>2000</v>
      </c>
      <c r="O205">
        <f t="shared" ref="O205:O268" si="6">N205-M205+1</f>
        <v>15</v>
      </c>
      <c r="Q205">
        <v>82.8</v>
      </c>
      <c r="R205" t="s">
        <v>694</v>
      </c>
      <c r="T205" t="s">
        <v>1187</v>
      </c>
    </row>
    <row r="206" spans="1:20">
      <c r="A206" t="s">
        <v>611</v>
      </c>
      <c r="C206" t="s">
        <v>1253</v>
      </c>
      <c r="D206">
        <v>2015</v>
      </c>
      <c r="E206" s="40">
        <v>45887</v>
      </c>
      <c r="F206" t="s">
        <v>1185</v>
      </c>
      <c r="G206" t="s">
        <v>205</v>
      </c>
      <c r="H206" t="s">
        <v>910</v>
      </c>
      <c r="I206" t="s">
        <v>463</v>
      </c>
      <c r="J206" t="s">
        <v>431</v>
      </c>
      <c r="K206" t="s">
        <v>1126</v>
      </c>
      <c r="L206" t="s">
        <v>62</v>
      </c>
      <c r="M206">
        <v>1986</v>
      </c>
      <c r="N206">
        <v>2000</v>
      </c>
      <c r="O206">
        <f t="shared" si="6"/>
        <v>15</v>
      </c>
      <c r="Q206">
        <v>84.59</v>
      </c>
      <c r="R206" t="s">
        <v>694</v>
      </c>
      <c r="T206" t="s">
        <v>1187</v>
      </c>
    </row>
    <row r="207" spans="1:20">
      <c r="A207" t="s">
        <v>611</v>
      </c>
      <c r="C207" t="s">
        <v>1254</v>
      </c>
      <c r="D207">
        <v>2015</v>
      </c>
      <c r="E207" s="40">
        <v>45887</v>
      </c>
      <c r="F207" t="s">
        <v>1185</v>
      </c>
      <c r="G207" t="s">
        <v>205</v>
      </c>
      <c r="H207" t="s">
        <v>1192</v>
      </c>
      <c r="I207" t="s">
        <v>249</v>
      </c>
      <c r="J207" t="s">
        <v>400</v>
      </c>
      <c r="K207" t="s">
        <v>1126</v>
      </c>
      <c r="L207" t="s">
        <v>62</v>
      </c>
      <c r="M207">
        <v>1986</v>
      </c>
      <c r="N207">
        <v>2000</v>
      </c>
      <c r="O207">
        <f t="shared" si="6"/>
        <v>15</v>
      </c>
      <c r="Q207">
        <v>90.109999999999985</v>
      </c>
      <c r="R207" t="s">
        <v>694</v>
      </c>
      <c r="T207" t="s">
        <v>1187</v>
      </c>
    </row>
    <row r="208" spans="1:20">
      <c r="A208" t="s">
        <v>611</v>
      </c>
      <c r="C208" t="s">
        <v>1255</v>
      </c>
      <c r="D208">
        <v>2015</v>
      </c>
      <c r="E208" s="40">
        <v>45887</v>
      </c>
      <c r="F208" t="s">
        <v>1185</v>
      </c>
      <c r="G208" t="s">
        <v>205</v>
      </c>
      <c r="H208" t="s">
        <v>1192</v>
      </c>
      <c r="I208" t="s">
        <v>489</v>
      </c>
      <c r="J208" t="s">
        <v>400</v>
      </c>
      <c r="K208" t="s">
        <v>1126</v>
      </c>
      <c r="L208" t="s">
        <v>62</v>
      </c>
      <c r="M208">
        <v>1986</v>
      </c>
      <c r="N208">
        <v>2000</v>
      </c>
      <c r="O208">
        <f t="shared" si="6"/>
        <v>15</v>
      </c>
      <c r="Q208">
        <v>93.68</v>
      </c>
      <c r="R208" t="s">
        <v>694</v>
      </c>
      <c r="T208" t="s">
        <v>1187</v>
      </c>
    </row>
    <row r="209" spans="1:20">
      <c r="A209" t="s">
        <v>611</v>
      </c>
      <c r="C209" t="s">
        <v>1256</v>
      </c>
      <c r="D209">
        <v>2015</v>
      </c>
      <c r="E209" s="40">
        <v>45887</v>
      </c>
      <c r="F209" t="s">
        <v>1185</v>
      </c>
      <c r="G209" t="s">
        <v>205</v>
      </c>
      <c r="H209" t="s">
        <v>1192</v>
      </c>
      <c r="I209" t="s">
        <v>493</v>
      </c>
      <c r="J209" t="s">
        <v>431</v>
      </c>
      <c r="K209" t="s">
        <v>1126</v>
      </c>
      <c r="L209" t="s">
        <v>62</v>
      </c>
      <c r="M209">
        <v>1986</v>
      </c>
      <c r="N209">
        <v>2000</v>
      </c>
      <c r="O209">
        <f t="shared" si="6"/>
        <v>15</v>
      </c>
      <c r="Q209">
        <v>98.36</v>
      </c>
      <c r="R209" t="s">
        <v>694</v>
      </c>
      <c r="T209" t="s">
        <v>1187</v>
      </c>
    </row>
    <row r="210" spans="1:20">
      <c r="A210" t="s">
        <v>611</v>
      </c>
      <c r="C210" t="s">
        <v>1257</v>
      </c>
      <c r="D210">
        <v>2015</v>
      </c>
      <c r="E210" s="40">
        <v>45887</v>
      </c>
      <c r="F210" t="s">
        <v>1185</v>
      </c>
      <c r="G210" t="s">
        <v>205</v>
      </c>
      <c r="H210" t="s">
        <v>1192</v>
      </c>
      <c r="I210" t="s">
        <v>249</v>
      </c>
      <c r="J210" t="s">
        <v>431</v>
      </c>
      <c r="K210" t="s">
        <v>1126</v>
      </c>
      <c r="L210" t="s">
        <v>62</v>
      </c>
      <c r="M210">
        <v>1986</v>
      </c>
      <c r="N210">
        <v>2000</v>
      </c>
      <c r="O210">
        <f t="shared" si="6"/>
        <v>15</v>
      </c>
      <c r="Q210">
        <v>106.05000000000001</v>
      </c>
      <c r="R210" t="s">
        <v>694</v>
      </c>
      <c r="T210" t="s">
        <v>1187</v>
      </c>
    </row>
    <row r="211" spans="1:20">
      <c r="A211" t="s">
        <v>611</v>
      </c>
      <c r="C211" t="s">
        <v>1258</v>
      </c>
      <c r="D211">
        <v>2015</v>
      </c>
      <c r="E211" s="40">
        <v>45887</v>
      </c>
      <c r="F211" t="s">
        <v>1185</v>
      </c>
      <c r="G211" t="s">
        <v>205</v>
      </c>
      <c r="H211" t="s">
        <v>1192</v>
      </c>
      <c r="I211" t="s">
        <v>489</v>
      </c>
      <c r="J211" t="s">
        <v>431</v>
      </c>
      <c r="K211" t="s">
        <v>1126</v>
      </c>
      <c r="L211" t="s">
        <v>62</v>
      </c>
      <c r="M211">
        <v>1986</v>
      </c>
      <c r="N211">
        <v>2000</v>
      </c>
      <c r="O211">
        <f t="shared" si="6"/>
        <v>15</v>
      </c>
      <c r="Q211">
        <v>106.28</v>
      </c>
      <c r="R211" t="s">
        <v>694</v>
      </c>
      <c r="T211" t="s">
        <v>1187</v>
      </c>
    </row>
    <row r="212" spans="1:20">
      <c r="A212" t="s">
        <v>611</v>
      </c>
      <c r="C212" t="s">
        <v>1259</v>
      </c>
      <c r="D212">
        <v>2015</v>
      </c>
      <c r="E212" s="40">
        <v>45887</v>
      </c>
      <c r="F212" t="s">
        <v>1185</v>
      </c>
      <c r="G212" t="s">
        <v>205</v>
      </c>
      <c r="H212" t="s">
        <v>1192</v>
      </c>
      <c r="I212" t="s">
        <v>441</v>
      </c>
      <c r="J212" t="s">
        <v>418</v>
      </c>
      <c r="K212" t="s">
        <v>1126</v>
      </c>
      <c r="L212" t="s">
        <v>62</v>
      </c>
      <c r="M212">
        <v>1986</v>
      </c>
      <c r="N212">
        <v>2000</v>
      </c>
      <c r="O212">
        <f t="shared" si="6"/>
        <v>15</v>
      </c>
      <c r="Q212">
        <v>109.75</v>
      </c>
      <c r="R212" t="s">
        <v>694</v>
      </c>
      <c r="T212" t="s">
        <v>1187</v>
      </c>
    </row>
    <row r="213" spans="1:20">
      <c r="A213" t="s">
        <v>611</v>
      </c>
      <c r="C213" t="s">
        <v>1260</v>
      </c>
      <c r="D213">
        <v>2015</v>
      </c>
      <c r="E213" s="40">
        <v>45887</v>
      </c>
      <c r="F213" t="s">
        <v>1185</v>
      </c>
      <c r="G213" t="s">
        <v>205</v>
      </c>
      <c r="H213" t="s">
        <v>1192</v>
      </c>
      <c r="I213" t="s">
        <v>475</v>
      </c>
      <c r="J213" t="s">
        <v>400</v>
      </c>
      <c r="K213" t="s">
        <v>1126</v>
      </c>
      <c r="L213" t="s">
        <v>62</v>
      </c>
      <c r="M213">
        <v>1986</v>
      </c>
      <c r="N213">
        <v>2000</v>
      </c>
      <c r="O213">
        <f t="shared" si="6"/>
        <v>15</v>
      </c>
      <c r="Q213">
        <v>111.01</v>
      </c>
      <c r="R213" t="s">
        <v>694</v>
      </c>
      <c r="T213" t="s">
        <v>1187</v>
      </c>
    </row>
    <row r="214" spans="1:20">
      <c r="A214" t="s">
        <v>611</v>
      </c>
      <c r="C214" t="s">
        <v>1261</v>
      </c>
      <c r="D214">
        <v>2015</v>
      </c>
      <c r="E214" s="40">
        <v>45887</v>
      </c>
      <c r="F214" t="s">
        <v>1185</v>
      </c>
      <c r="G214" t="s">
        <v>205</v>
      </c>
      <c r="H214" t="s">
        <v>1192</v>
      </c>
      <c r="I214" t="s">
        <v>475</v>
      </c>
      <c r="J214" t="s">
        <v>431</v>
      </c>
      <c r="K214" t="s">
        <v>1126</v>
      </c>
      <c r="L214" t="s">
        <v>62</v>
      </c>
      <c r="M214">
        <v>1986</v>
      </c>
      <c r="N214">
        <v>2000</v>
      </c>
      <c r="O214">
        <f t="shared" si="6"/>
        <v>15</v>
      </c>
      <c r="Q214">
        <v>116.11000000000001</v>
      </c>
      <c r="R214" t="s">
        <v>694</v>
      </c>
      <c r="T214" t="s">
        <v>1187</v>
      </c>
    </row>
    <row r="215" spans="1:20">
      <c r="A215" t="s">
        <v>611</v>
      </c>
      <c r="C215" t="s">
        <v>1262</v>
      </c>
      <c r="D215">
        <v>2015</v>
      </c>
      <c r="E215" s="40">
        <v>45887</v>
      </c>
      <c r="F215" t="s">
        <v>1185</v>
      </c>
      <c r="G215" t="s">
        <v>205</v>
      </c>
      <c r="H215" t="s">
        <v>1192</v>
      </c>
      <c r="I215" t="s">
        <v>469</v>
      </c>
      <c r="J215" t="s">
        <v>400</v>
      </c>
      <c r="K215" t="s">
        <v>1126</v>
      </c>
      <c r="L215" t="s">
        <v>62</v>
      </c>
      <c r="M215">
        <v>1986</v>
      </c>
      <c r="N215">
        <v>2000</v>
      </c>
      <c r="O215">
        <f t="shared" si="6"/>
        <v>15</v>
      </c>
      <c r="Q215">
        <v>143.39000000000001</v>
      </c>
      <c r="R215" t="s">
        <v>694</v>
      </c>
      <c r="T215" t="s">
        <v>1187</v>
      </c>
    </row>
    <row r="216" spans="1:20">
      <c r="A216" t="s">
        <v>611</v>
      </c>
      <c r="C216" t="s">
        <v>1263</v>
      </c>
      <c r="D216">
        <v>2015</v>
      </c>
      <c r="E216" s="40">
        <v>45887</v>
      </c>
      <c r="F216" t="s">
        <v>1185</v>
      </c>
      <c r="G216" t="s">
        <v>205</v>
      </c>
      <c r="H216" t="s">
        <v>1192</v>
      </c>
      <c r="I216" t="s">
        <v>437</v>
      </c>
      <c r="J216" t="s">
        <v>431</v>
      </c>
      <c r="K216" t="s">
        <v>1126</v>
      </c>
      <c r="L216" t="s">
        <v>62</v>
      </c>
      <c r="M216">
        <v>1986</v>
      </c>
      <c r="N216">
        <v>2000</v>
      </c>
      <c r="O216">
        <f t="shared" si="6"/>
        <v>15</v>
      </c>
      <c r="Q216">
        <v>148.12</v>
      </c>
      <c r="R216" t="s">
        <v>694</v>
      </c>
      <c r="T216" t="s">
        <v>1187</v>
      </c>
    </row>
    <row r="217" spans="1:20">
      <c r="A217" t="s">
        <v>611</v>
      </c>
      <c r="C217" t="s">
        <v>1264</v>
      </c>
      <c r="D217">
        <v>2015</v>
      </c>
      <c r="E217" s="40">
        <v>45887</v>
      </c>
      <c r="F217" t="s">
        <v>1185</v>
      </c>
      <c r="G217" t="s">
        <v>205</v>
      </c>
      <c r="H217" t="s">
        <v>1192</v>
      </c>
      <c r="I217" t="s">
        <v>469</v>
      </c>
      <c r="J217" t="s">
        <v>431</v>
      </c>
      <c r="K217" t="s">
        <v>1126</v>
      </c>
      <c r="L217" t="s">
        <v>62</v>
      </c>
      <c r="M217">
        <v>1986</v>
      </c>
      <c r="N217">
        <v>2000</v>
      </c>
      <c r="O217">
        <f t="shared" si="6"/>
        <v>15</v>
      </c>
      <c r="Q217">
        <v>162.77000000000001</v>
      </c>
      <c r="R217" t="s">
        <v>694</v>
      </c>
      <c r="T217" t="s">
        <v>1187</v>
      </c>
    </row>
    <row r="218" spans="1:20">
      <c r="A218" t="s">
        <v>611</v>
      </c>
      <c r="C218" t="s">
        <v>1265</v>
      </c>
      <c r="D218">
        <v>2015</v>
      </c>
      <c r="E218" s="40">
        <v>45887</v>
      </c>
      <c r="F218" t="s">
        <v>1185</v>
      </c>
      <c r="G218" t="s">
        <v>205</v>
      </c>
      <c r="H218" t="s">
        <v>1192</v>
      </c>
      <c r="I218" t="s">
        <v>471</v>
      </c>
      <c r="J218" t="s">
        <v>431</v>
      </c>
      <c r="K218" t="s">
        <v>1126</v>
      </c>
      <c r="L218" t="s">
        <v>62</v>
      </c>
      <c r="M218">
        <v>1986</v>
      </c>
      <c r="N218">
        <v>2000</v>
      </c>
      <c r="O218">
        <f t="shared" si="6"/>
        <v>15</v>
      </c>
      <c r="Q218">
        <v>181.28</v>
      </c>
      <c r="R218" t="s">
        <v>694</v>
      </c>
      <c r="T218" t="s">
        <v>1187</v>
      </c>
    </row>
    <row r="219" spans="1:20">
      <c r="A219" t="s">
        <v>611</v>
      </c>
      <c r="C219" t="s">
        <v>1266</v>
      </c>
      <c r="D219">
        <v>2015</v>
      </c>
      <c r="E219" s="40">
        <v>45887</v>
      </c>
      <c r="F219" t="s">
        <v>1185</v>
      </c>
      <c r="G219" t="s">
        <v>205</v>
      </c>
      <c r="H219" t="s">
        <v>1192</v>
      </c>
      <c r="I219" t="s">
        <v>482</v>
      </c>
      <c r="J219" t="s">
        <v>431</v>
      </c>
      <c r="K219" t="s">
        <v>1126</v>
      </c>
      <c r="L219" t="s">
        <v>62</v>
      </c>
      <c r="M219">
        <v>1986</v>
      </c>
      <c r="N219">
        <v>2000</v>
      </c>
      <c r="O219">
        <f t="shared" si="6"/>
        <v>15</v>
      </c>
      <c r="Q219">
        <v>220.04999999999998</v>
      </c>
      <c r="R219" t="s">
        <v>694</v>
      </c>
      <c r="T219" t="s">
        <v>1187</v>
      </c>
    </row>
    <row r="220" spans="1:20">
      <c r="A220" t="s">
        <v>612</v>
      </c>
      <c r="C220" t="s">
        <v>1276</v>
      </c>
      <c r="D220">
        <v>2014</v>
      </c>
      <c r="E220" s="40">
        <v>45887</v>
      </c>
      <c r="F220" t="s">
        <v>1185</v>
      </c>
      <c r="G220" t="s">
        <v>199</v>
      </c>
      <c r="H220" t="s">
        <v>1014</v>
      </c>
      <c r="I220" t="s">
        <v>278</v>
      </c>
      <c r="J220" t="s">
        <v>400</v>
      </c>
      <c r="K220" t="s">
        <v>1126</v>
      </c>
      <c r="L220" t="s">
        <v>1280</v>
      </c>
      <c r="M220">
        <v>1959</v>
      </c>
      <c r="N220">
        <v>2004</v>
      </c>
      <c r="O220">
        <f t="shared" si="6"/>
        <v>46</v>
      </c>
      <c r="Q220">
        <v>-15.920000000000002</v>
      </c>
      <c r="R220" t="s">
        <v>41</v>
      </c>
      <c r="T220" t="s">
        <v>1271</v>
      </c>
    </row>
    <row r="221" spans="1:20">
      <c r="A221" t="s">
        <v>612</v>
      </c>
      <c r="C221" t="s">
        <v>1277</v>
      </c>
      <c r="D221">
        <v>2014</v>
      </c>
      <c r="E221" s="40">
        <v>45887</v>
      </c>
      <c r="F221" t="s">
        <v>1185</v>
      </c>
      <c r="G221" t="s">
        <v>199</v>
      </c>
      <c r="H221" t="s">
        <v>1014</v>
      </c>
      <c r="I221" t="s">
        <v>341</v>
      </c>
      <c r="J221" t="s">
        <v>400</v>
      </c>
      <c r="K221" t="s">
        <v>1126</v>
      </c>
      <c r="L221" t="s">
        <v>1280</v>
      </c>
      <c r="M221">
        <v>1959</v>
      </c>
      <c r="N221">
        <v>2004</v>
      </c>
      <c r="O221">
        <f t="shared" si="6"/>
        <v>46</v>
      </c>
      <c r="Q221">
        <v>-4.9000000000000004</v>
      </c>
      <c r="R221" t="s">
        <v>41</v>
      </c>
      <c r="T221" t="s">
        <v>1271</v>
      </c>
    </row>
    <row r="222" spans="1:20">
      <c r="A222" t="s">
        <v>612</v>
      </c>
      <c r="C222" t="s">
        <v>1278</v>
      </c>
      <c r="D222">
        <v>2014</v>
      </c>
      <c r="E222" s="40">
        <v>45887</v>
      </c>
      <c r="F222" t="s">
        <v>1185</v>
      </c>
      <c r="G222" t="s">
        <v>199</v>
      </c>
      <c r="H222" t="s">
        <v>1014</v>
      </c>
      <c r="I222" t="s">
        <v>66</v>
      </c>
      <c r="J222" t="s">
        <v>400</v>
      </c>
      <c r="K222" t="s">
        <v>1126</v>
      </c>
      <c r="L222" t="s">
        <v>1280</v>
      </c>
      <c r="M222">
        <v>1959</v>
      </c>
      <c r="N222">
        <v>2004</v>
      </c>
      <c r="O222">
        <f t="shared" si="6"/>
        <v>46</v>
      </c>
      <c r="Q222">
        <v>-2.12</v>
      </c>
      <c r="R222" t="s">
        <v>41</v>
      </c>
      <c r="T222" t="s">
        <v>1271</v>
      </c>
    </row>
    <row r="223" spans="1:20">
      <c r="A223" t="s">
        <v>612</v>
      </c>
      <c r="C223" t="s">
        <v>1279</v>
      </c>
      <c r="D223">
        <v>2014</v>
      </c>
      <c r="E223" s="40">
        <v>45887</v>
      </c>
      <c r="F223" t="s">
        <v>1185</v>
      </c>
      <c r="G223" t="s">
        <v>199</v>
      </c>
      <c r="H223" t="s">
        <v>1014</v>
      </c>
      <c r="I223" t="s">
        <v>65</v>
      </c>
      <c r="J223" t="s">
        <v>400</v>
      </c>
      <c r="K223" t="s">
        <v>1126</v>
      </c>
      <c r="L223" t="s">
        <v>1280</v>
      </c>
      <c r="M223">
        <v>1959</v>
      </c>
      <c r="N223">
        <v>2004</v>
      </c>
      <c r="O223">
        <f t="shared" si="6"/>
        <v>46</v>
      </c>
      <c r="Q223">
        <v>8.129999999999999</v>
      </c>
      <c r="R223" t="s">
        <v>694</v>
      </c>
      <c r="T223" t="s">
        <v>1271</v>
      </c>
    </row>
    <row r="224" spans="1:20">
      <c r="A224" t="s">
        <v>1306</v>
      </c>
      <c r="C224" t="s">
        <v>1307</v>
      </c>
      <c r="D224">
        <v>2014</v>
      </c>
      <c r="E224" s="40">
        <v>45887</v>
      </c>
      <c r="F224" t="s">
        <v>74</v>
      </c>
      <c r="G224" t="s">
        <v>205</v>
      </c>
      <c r="H224" t="s">
        <v>788</v>
      </c>
      <c r="I224" t="s">
        <v>1150</v>
      </c>
      <c r="J224" t="s">
        <v>431</v>
      </c>
      <c r="K224" t="s">
        <v>1126</v>
      </c>
      <c r="L224" t="s">
        <v>880</v>
      </c>
      <c r="M224">
        <v>1977</v>
      </c>
      <c r="N224">
        <v>2010</v>
      </c>
      <c r="O224">
        <f t="shared" si="6"/>
        <v>34</v>
      </c>
      <c r="Q224">
        <f>((61-55)*111.32)/(O224/10)</f>
        <v>196.4470588235294</v>
      </c>
      <c r="R224" t="s">
        <v>694</v>
      </c>
      <c r="S224" t="s">
        <v>1308</v>
      </c>
    </row>
    <row r="225" spans="1:20">
      <c r="A225" t="s">
        <v>1270</v>
      </c>
      <c r="C225" t="s">
        <v>1287</v>
      </c>
      <c r="D225">
        <v>2013</v>
      </c>
      <c r="E225" s="40">
        <v>45887</v>
      </c>
      <c r="F225" t="s">
        <v>1185</v>
      </c>
      <c r="G225" t="s">
        <v>205</v>
      </c>
      <c r="H225" t="s">
        <v>964</v>
      </c>
      <c r="I225" t="s">
        <v>395</v>
      </c>
      <c r="J225" t="s">
        <v>400</v>
      </c>
      <c r="K225" t="s">
        <v>1126</v>
      </c>
      <c r="L225" t="s">
        <v>1273</v>
      </c>
      <c r="M225">
        <v>1982</v>
      </c>
      <c r="N225">
        <v>2011</v>
      </c>
      <c r="O225">
        <f t="shared" si="6"/>
        <v>30</v>
      </c>
      <c r="Q225">
        <v>-12</v>
      </c>
      <c r="R225" t="s">
        <v>41</v>
      </c>
      <c r="T225" t="s">
        <v>1187</v>
      </c>
    </row>
    <row r="226" spans="1:20">
      <c r="A226" t="s">
        <v>1270</v>
      </c>
      <c r="C226" t="s">
        <v>1288</v>
      </c>
      <c r="D226">
        <v>2013</v>
      </c>
      <c r="E226" s="40">
        <v>45887</v>
      </c>
      <c r="F226" t="s">
        <v>1185</v>
      </c>
      <c r="G226" t="s">
        <v>205</v>
      </c>
      <c r="H226" t="s">
        <v>964</v>
      </c>
      <c r="I226" t="s">
        <v>412</v>
      </c>
      <c r="J226" t="s">
        <v>400</v>
      </c>
      <c r="K226" t="s">
        <v>1126</v>
      </c>
      <c r="L226" t="s">
        <v>1273</v>
      </c>
      <c r="M226">
        <v>1982</v>
      </c>
      <c r="N226">
        <v>2011</v>
      </c>
      <c r="O226">
        <f t="shared" si="6"/>
        <v>30</v>
      </c>
      <c r="Q226">
        <v>10.35</v>
      </c>
      <c r="R226" t="s">
        <v>694</v>
      </c>
      <c r="T226" t="s">
        <v>1187</v>
      </c>
    </row>
    <row r="227" spans="1:20">
      <c r="A227" t="s">
        <v>1316</v>
      </c>
      <c r="C227" s="47" t="s">
        <v>1941</v>
      </c>
      <c r="D227">
        <v>2012</v>
      </c>
      <c r="E227" s="40">
        <v>45887</v>
      </c>
      <c r="F227" t="s">
        <v>74</v>
      </c>
      <c r="G227" t="s">
        <v>152</v>
      </c>
      <c r="H227" t="s">
        <v>1177</v>
      </c>
      <c r="I227" t="s">
        <v>1320</v>
      </c>
      <c r="J227" t="s">
        <v>400</v>
      </c>
      <c r="K227" t="s">
        <v>1126</v>
      </c>
      <c r="L227" t="s">
        <v>880</v>
      </c>
      <c r="M227">
        <v>1990</v>
      </c>
      <c r="N227">
        <v>2009</v>
      </c>
      <c r="O227">
        <f t="shared" si="6"/>
        <v>20</v>
      </c>
      <c r="Q227" t="s">
        <v>40</v>
      </c>
      <c r="R227" t="s">
        <v>694</v>
      </c>
      <c r="S227" t="s">
        <v>1942</v>
      </c>
      <c r="T227" t="s">
        <v>1304</v>
      </c>
    </row>
    <row r="228" spans="1:20">
      <c r="A228" t="s">
        <v>1316</v>
      </c>
      <c r="C228" t="s">
        <v>1317</v>
      </c>
      <c r="D228">
        <v>2012</v>
      </c>
      <c r="E228" s="40">
        <v>45887</v>
      </c>
      <c r="F228" t="s">
        <v>74</v>
      </c>
      <c r="G228" t="s">
        <v>199</v>
      </c>
      <c r="H228" t="s">
        <v>1269</v>
      </c>
      <c r="I228" t="s">
        <v>679</v>
      </c>
      <c r="K228" t="s">
        <v>1126</v>
      </c>
      <c r="L228" t="s">
        <v>880</v>
      </c>
      <c r="M228">
        <v>1960</v>
      </c>
      <c r="N228">
        <v>2009</v>
      </c>
      <c r="O228">
        <f t="shared" si="6"/>
        <v>50</v>
      </c>
      <c r="S228" t="s">
        <v>1321</v>
      </c>
      <c r="T228" t="s">
        <v>1304</v>
      </c>
    </row>
    <row r="229" spans="1:20">
      <c r="A229" t="s">
        <v>1316</v>
      </c>
      <c r="C229" s="47" t="s">
        <v>1317</v>
      </c>
      <c r="D229">
        <v>2012</v>
      </c>
      <c r="E229" s="40">
        <v>45887</v>
      </c>
      <c r="F229" t="s">
        <v>74</v>
      </c>
      <c r="G229" t="s">
        <v>199</v>
      </c>
      <c r="H229" t="s">
        <v>1269</v>
      </c>
      <c r="I229" t="s">
        <v>1318</v>
      </c>
      <c r="K229" t="s">
        <v>1126</v>
      </c>
      <c r="L229" t="s">
        <v>880</v>
      </c>
      <c r="M229">
        <v>1960</v>
      </c>
      <c r="N229">
        <v>2009</v>
      </c>
      <c r="O229">
        <f t="shared" si="6"/>
        <v>50</v>
      </c>
      <c r="T229" t="s">
        <v>1304</v>
      </c>
    </row>
    <row r="230" spans="1:20">
      <c r="A230" t="s">
        <v>1316</v>
      </c>
      <c r="C230" t="s">
        <v>1317</v>
      </c>
      <c r="D230">
        <v>2012</v>
      </c>
      <c r="E230" s="40">
        <v>45887</v>
      </c>
      <c r="F230" t="s">
        <v>74</v>
      </c>
      <c r="G230" t="s">
        <v>205</v>
      </c>
      <c r="H230" t="s">
        <v>208</v>
      </c>
      <c r="I230" t="s">
        <v>855</v>
      </c>
      <c r="K230" t="s">
        <v>1126</v>
      </c>
      <c r="L230" t="s">
        <v>880</v>
      </c>
      <c r="M230">
        <v>1960</v>
      </c>
      <c r="N230">
        <v>2009</v>
      </c>
      <c r="O230">
        <f t="shared" si="6"/>
        <v>50</v>
      </c>
      <c r="T230" t="s">
        <v>1304</v>
      </c>
    </row>
    <row r="231" spans="1:20">
      <c r="A231" t="s">
        <v>1316</v>
      </c>
      <c r="C231" t="s">
        <v>1317</v>
      </c>
      <c r="D231">
        <v>2012</v>
      </c>
      <c r="E231" s="40">
        <v>45887</v>
      </c>
      <c r="F231" t="s">
        <v>74</v>
      </c>
      <c r="G231" t="s">
        <v>205</v>
      </c>
      <c r="H231" t="s">
        <v>1193</v>
      </c>
      <c r="I231" t="s">
        <v>1319</v>
      </c>
      <c r="K231" t="s">
        <v>1126</v>
      </c>
      <c r="L231" t="s">
        <v>880</v>
      </c>
      <c r="M231">
        <v>1960</v>
      </c>
      <c r="N231">
        <v>2009</v>
      </c>
      <c r="O231">
        <f t="shared" si="6"/>
        <v>50</v>
      </c>
      <c r="T231" t="s">
        <v>1304</v>
      </c>
    </row>
    <row r="232" spans="1:20">
      <c r="A232" t="s">
        <v>1316</v>
      </c>
      <c r="C232" t="s">
        <v>1317</v>
      </c>
      <c r="D232">
        <v>2012</v>
      </c>
      <c r="E232" s="40">
        <v>45887</v>
      </c>
      <c r="F232" t="s">
        <v>74</v>
      </c>
      <c r="G232" t="s">
        <v>199</v>
      </c>
      <c r="H232" t="s">
        <v>721</v>
      </c>
      <c r="I232" t="s">
        <v>721</v>
      </c>
      <c r="K232" t="s">
        <v>1126</v>
      </c>
      <c r="L232" t="s">
        <v>880</v>
      </c>
      <c r="M232">
        <v>1960</v>
      </c>
      <c r="N232">
        <v>2009</v>
      </c>
      <c r="O232">
        <f t="shared" si="6"/>
        <v>50</v>
      </c>
      <c r="T232" t="s">
        <v>1304</v>
      </c>
    </row>
    <row r="233" spans="1:20">
      <c r="A233" s="1" t="s">
        <v>1923</v>
      </c>
      <c r="C233" t="s">
        <v>1924</v>
      </c>
      <c r="D233">
        <v>2012</v>
      </c>
      <c r="F233" s="40" t="s">
        <v>74</v>
      </c>
      <c r="G233" t="s">
        <v>152</v>
      </c>
      <c r="H233" t="s">
        <v>1078</v>
      </c>
      <c r="I233" t="s">
        <v>350</v>
      </c>
      <c r="J233" t="s">
        <v>40</v>
      </c>
      <c r="K233" t="s">
        <v>1127</v>
      </c>
      <c r="L233" t="s">
        <v>724</v>
      </c>
      <c r="M233">
        <v>1860</v>
      </c>
      <c r="N233">
        <v>2010</v>
      </c>
      <c r="O233">
        <f t="shared" si="6"/>
        <v>151</v>
      </c>
      <c r="Q233" t="s">
        <v>40</v>
      </c>
      <c r="R233" t="s">
        <v>694</v>
      </c>
      <c r="S233" t="s">
        <v>1925</v>
      </c>
    </row>
    <row r="234" spans="1:20">
      <c r="A234" s="1" t="s">
        <v>1932</v>
      </c>
      <c r="C234" t="s">
        <v>1936</v>
      </c>
      <c r="D234">
        <v>2012</v>
      </c>
      <c r="F234" s="40" t="s">
        <v>74</v>
      </c>
      <c r="G234" t="s">
        <v>152</v>
      </c>
      <c r="H234" t="s">
        <v>1077</v>
      </c>
      <c r="I234" t="s">
        <v>1056</v>
      </c>
      <c r="K234" t="s">
        <v>1126</v>
      </c>
      <c r="L234" t="s">
        <v>62</v>
      </c>
      <c r="M234">
        <v>1960</v>
      </c>
      <c r="N234">
        <v>2009</v>
      </c>
      <c r="O234">
        <f t="shared" si="6"/>
        <v>50</v>
      </c>
      <c r="Q234" t="s">
        <v>40</v>
      </c>
      <c r="R234" t="s">
        <v>41</v>
      </c>
      <c r="S234" t="s">
        <v>1943</v>
      </c>
      <c r="T234" t="s">
        <v>1939</v>
      </c>
    </row>
    <row r="235" spans="1:20">
      <c r="A235" s="1" t="s">
        <v>1932</v>
      </c>
      <c r="C235" t="s">
        <v>1936</v>
      </c>
      <c r="D235">
        <v>2012</v>
      </c>
      <c r="F235" s="40" t="s">
        <v>74</v>
      </c>
      <c r="G235" t="s">
        <v>152</v>
      </c>
      <c r="H235" t="s">
        <v>1077</v>
      </c>
      <c r="I235" t="s">
        <v>1933</v>
      </c>
      <c r="K235" t="s">
        <v>1126</v>
      </c>
      <c r="L235" t="s">
        <v>62</v>
      </c>
      <c r="M235">
        <v>1960</v>
      </c>
      <c r="N235">
        <v>2009</v>
      </c>
      <c r="O235">
        <f t="shared" si="6"/>
        <v>50</v>
      </c>
      <c r="Q235" t="s">
        <v>40</v>
      </c>
      <c r="R235" t="s">
        <v>41</v>
      </c>
      <c r="S235" t="s">
        <v>1943</v>
      </c>
      <c r="T235" t="s">
        <v>1939</v>
      </c>
    </row>
    <row r="236" spans="1:20">
      <c r="A236" s="1" t="s">
        <v>1932</v>
      </c>
      <c r="C236" t="s">
        <v>1936</v>
      </c>
      <c r="D236">
        <v>2012</v>
      </c>
      <c r="F236" s="40" t="s">
        <v>74</v>
      </c>
      <c r="G236" t="s">
        <v>152</v>
      </c>
      <c r="H236" t="s">
        <v>1077</v>
      </c>
      <c r="I236" t="s">
        <v>1934</v>
      </c>
      <c r="K236" t="s">
        <v>1126</v>
      </c>
      <c r="L236" t="s">
        <v>62</v>
      </c>
      <c r="M236">
        <v>1960</v>
      </c>
      <c r="N236">
        <v>2009</v>
      </c>
      <c r="O236">
        <f t="shared" si="6"/>
        <v>50</v>
      </c>
      <c r="Q236" t="s">
        <v>40</v>
      </c>
      <c r="R236" t="s">
        <v>694</v>
      </c>
      <c r="S236" t="s">
        <v>1944</v>
      </c>
      <c r="T236" t="s">
        <v>1939</v>
      </c>
    </row>
    <row r="237" spans="1:20">
      <c r="A237" s="1" t="s">
        <v>1932</v>
      </c>
      <c r="C237" t="s">
        <v>1936</v>
      </c>
      <c r="D237">
        <v>2012</v>
      </c>
      <c r="F237" s="40" t="s">
        <v>74</v>
      </c>
      <c r="G237" t="s">
        <v>152</v>
      </c>
      <c r="H237" t="s">
        <v>1078</v>
      </c>
      <c r="I237" t="s">
        <v>1935</v>
      </c>
      <c r="K237" t="s">
        <v>1126</v>
      </c>
      <c r="L237" t="s">
        <v>62</v>
      </c>
      <c r="M237">
        <v>1960</v>
      </c>
      <c r="N237">
        <v>2009</v>
      </c>
      <c r="O237">
        <f t="shared" si="6"/>
        <v>50</v>
      </c>
      <c r="Q237" t="s">
        <v>40</v>
      </c>
      <c r="R237" t="s">
        <v>41</v>
      </c>
      <c r="S237" t="s">
        <v>1947</v>
      </c>
      <c r="T237" t="s">
        <v>1939</v>
      </c>
    </row>
    <row r="238" spans="1:20">
      <c r="A238" s="1" t="s">
        <v>1932</v>
      </c>
      <c r="C238" t="s">
        <v>1936</v>
      </c>
      <c r="D238">
        <v>2012</v>
      </c>
      <c r="F238" s="40" t="s">
        <v>74</v>
      </c>
      <c r="G238" t="s">
        <v>152</v>
      </c>
      <c r="H238" t="s">
        <v>1078</v>
      </c>
      <c r="I238" t="s">
        <v>1061</v>
      </c>
      <c r="K238" t="s">
        <v>1126</v>
      </c>
      <c r="L238" t="s">
        <v>62</v>
      </c>
      <c r="M238">
        <v>1960</v>
      </c>
      <c r="N238">
        <v>2009</v>
      </c>
      <c r="O238">
        <f t="shared" si="6"/>
        <v>50</v>
      </c>
      <c r="Q238" t="s">
        <v>40</v>
      </c>
      <c r="R238" t="s">
        <v>694</v>
      </c>
      <c r="S238" t="s">
        <v>1946</v>
      </c>
      <c r="T238" t="s">
        <v>1939</v>
      </c>
    </row>
    <row r="239" spans="1:20">
      <c r="A239" s="1" t="s">
        <v>1932</v>
      </c>
      <c r="C239" t="s">
        <v>1936</v>
      </c>
      <c r="D239">
        <v>2012</v>
      </c>
      <c r="F239" s="40" t="s">
        <v>74</v>
      </c>
      <c r="G239" t="s">
        <v>152</v>
      </c>
      <c r="H239" t="s">
        <v>1078</v>
      </c>
      <c r="I239" t="s">
        <v>1072</v>
      </c>
      <c r="K239" t="s">
        <v>1126</v>
      </c>
      <c r="L239" t="s">
        <v>62</v>
      </c>
      <c r="M239">
        <v>1960</v>
      </c>
      <c r="N239">
        <v>2009</v>
      </c>
      <c r="O239">
        <f t="shared" si="6"/>
        <v>50</v>
      </c>
      <c r="Q239" t="s">
        <v>40</v>
      </c>
      <c r="R239" t="s">
        <v>41</v>
      </c>
      <c r="S239" t="s">
        <v>1945</v>
      </c>
      <c r="T239" t="s">
        <v>1939</v>
      </c>
    </row>
    <row r="240" spans="1:20">
      <c r="A240" t="s">
        <v>615</v>
      </c>
      <c r="C240" t="s">
        <v>1289</v>
      </c>
      <c r="D240">
        <v>2010</v>
      </c>
      <c r="E240" s="40">
        <v>45887</v>
      </c>
      <c r="F240" t="s">
        <v>1185</v>
      </c>
      <c r="G240" t="s">
        <v>205</v>
      </c>
      <c r="H240" t="s">
        <v>1192</v>
      </c>
      <c r="I240" t="s">
        <v>540</v>
      </c>
      <c r="J240" t="s">
        <v>431</v>
      </c>
      <c r="K240" t="s">
        <v>1126</v>
      </c>
      <c r="L240" t="s">
        <v>265</v>
      </c>
      <c r="M240">
        <v>1898</v>
      </c>
      <c r="N240">
        <v>1923</v>
      </c>
      <c r="O240">
        <f t="shared" si="6"/>
        <v>26</v>
      </c>
      <c r="Q240">
        <v>-15.48</v>
      </c>
      <c r="R240" t="s">
        <v>41</v>
      </c>
      <c r="T240" t="s">
        <v>1187</v>
      </c>
    </row>
    <row r="241" spans="1:20">
      <c r="A241" t="s">
        <v>615</v>
      </c>
      <c r="C241" t="s">
        <v>1289</v>
      </c>
      <c r="D241">
        <v>2010</v>
      </c>
      <c r="E241" s="40">
        <v>45887</v>
      </c>
      <c r="F241" t="s">
        <v>1185</v>
      </c>
      <c r="G241" t="s">
        <v>205</v>
      </c>
      <c r="H241" t="s">
        <v>1192</v>
      </c>
      <c r="I241" t="s">
        <v>539</v>
      </c>
      <c r="J241" t="s">
        <v>431</v>
      </c>
      <c r="K241" t="s">
        <v>1126</v>
      </c>
      <c r="L241" t="s">
        <v>265</v>
      </c>
      <c r="M241">
        <v>1898</v>
      </c>
      <c r="N241">
        <v>1923</v>
      </c>
      <c r="O241">
        <f t="shared" si="6"/>
        <v>26</v>
      </c>
      <c r="Q241">
        <v>41.67</v>
      </c>
      <c r="R241" t="s">
        <v>694</v>
      </c>
      <c r="T241" t="s">
        <v>1187</v>
      </c>
    </row>
    <row r="242" spans="1:20">
      <c r="A242" t="s">
        <v>1293</v>
      </c>
      <c r="C242" t="s">
        <v>1294</v>
      </c>
      <c r="D242">
        <v>2010</v>
      </c>
      <c r="E242" s="40">
        <v>45887</v>
      </c>
      <c r="F242" t="s">
        <v>74</v>
      </c>
      <c r="G242" t="s">
        <v>199</v>
      </c>
      <c r="H242" t="s">
        <v>1857</v>
      </c>
      <c r="I242" t="s">
        <v>1295</v>
      </c>
      <c r="J242" t="s">
        <v>40</v>
      </c>
      <c r="K242" t="s">
        <v>1126</v>
      </c>
      <c r="L242" t="s">
        <v>1296</v>
      </c>
      <c r="M242">
        <v>1969</v>
      </c>
      <c r="N242">
        <v>1979</v>
      </c>
      <c r="O242">
        <f t="shared" si="6"/>
        <v>11</v>
      </c>
      <c r="Q242">
        <f>5.5*10</f>
        <v>55</v>
      </c>
      <c r="R242" t="s">
        <v>694</v>
      </c>
      <c r="S242" t="s">
        <v>1297</v>
      </c>
    </row>
    <row r="243" spans="1:20">
      <c r="A243" t="s">
        <v>1293</v>
      </c>
      <c r="C243" t="s">
        <v>1294</v>
      </c>
      <c r="D243">
        <v>2010</v>
      </c>
      <c r="E243" s="40">
        <v>45887</v>
      </c>
      <c r="F243" t="s">
        <v>74</v>
      </c>
      <c r="G243" t="s">
        <v>199</v>
      </c>
      <c r="H243" t="s">
        <v>1017</v>
      </c>
      <c r="I243" t="s">
        <v>1298</v>
      </c>
      <c r="J243" t="s">
        <v>40</v>
      </c>
      <c r="K243" t="s">
        <v>1126</v>
      </c>
      <c r="L243" t="s">
        <v>1299</v>
      </c>
      <c r="M243">
        <v>1969</v>
      </c>
      <c r="N243">
        <v>1999</v>
      </c>
      <c r="O243">
        <f t="shared" si="6"/>
        <v>31</v>
      </c>
      <c r="Q243">
        <f>33*10</f>
        <v>330</v>
      </c>
      <c r="R243" t="s">
        <v>694</v>
      </c>
      <c r="S243" t="s">
        <v>1300</v>
      </c>
    </row>
    <row r="244" spans="1:20">
      <c r="A244" t="s">
        <v>1036</v>
      </c>
      <c r="C244" t="s">
        <v>1130</v>
      </c>
      <c r="D244">
        <v>2009</v>
      </c>
      <c r="E244" s="40">
        <v>45883</v>
      </c>
      <c r="F244" s="40" t="s">
        <v>1272</v>
      </c>
      <c r="G244" t="s">
        <v>199</v>
      </c>
      <c r="H244" t="s">
        <v>1014</v>
      </c>
      <c r="I244" t="s">
        <v>1131</v>
      </c>
      <c r="J244" t="s">
        <v>431</v>
      </c>
      <c r="K244" t="s">
        <v>1126</v>
      </c>
      <c r="L244" t="s">
        <v>1140</v>
      </c>
      <c r="M244">
        <v>1958</v>
      </c>
      <c r="N244">
        <v>2005</v>
      </c>
      <c r="O244">
        <f t="shared" si="6"/>
        <v>48</v>
      </c>
      <c r="Q244">
        <v>231.6</v>
      </c>
      <c r="R244" t="s">
        <v>694</v>
      </c>
      <c r="S244" t="s">
        <v>1141</v>
      </c>
      <c r="T244" t="s">
        <v>1142</v>
      </c>
    </row>
    <row r="245" spans="1:20">
      <c r="A245" t="s">
        <v>1036</v>
      </c>
      <c r="C245" t="s">
        <v>1130</v>
      </c>
      <c r="D245">
        <v>2009</v>
      </c>
      <c r="E245" s="40">
        <v>45883</v>
      </c>
      <c r="F245" s="40" t="s">
        <v>1272</v>
      </c>
      <c r="G245" t="s">
        <v>199</v>
      </c>
      <c r="H245" t="s">
        <v>1014</v>
      </c>
      <c r="I245" t="s">
        <v>1132</v>
      </c>
      <c r="J245" t="s">
        <v>431</v>
      </c>
      <c r="K245" t="s">
        <v>1126</v>
      </c>
      <c r="L245" t="s">
        <v>1140</v>
      </c>
      <c r="M245">
        <v>1958</v>
      </c>
      <c r="N245">
        <v>2005</v>
      </c>
      <c r="O245">
        <f t="shared" si="6"/>
        <v>48</v>
      </c>
      <c r="Q245">
        <v>217.5</v>
      </c>
      <c r="R245" t="s">
        <v>694</v>
      </c>
      <c r="S245" t="s">
        <v>1141</v>
      </c>
      <c r="T245" t="s">
        <v>1142</v>
      </c>
    </row>
    <row r="246" spans="1:20">
      <c r="A246" t="s">
        <v>1036</v>
      </c>
      <c r="C246" t="s">
        <v>1130</v>
      </c>
      <c r="D246">
        <v>2009</v>
      </c>
      <c r="E246" s="40">
        <v>45883</v>
      </c>
      <c r="F246" s="40" t="s">
        <v>1272</v>
      </c>
      <c r="G246" t="s">
        <v>199</v>
      </c>
      <c r="H246" t="s">
        <v>1014</v>
      </c>
      <c r="I246" t="s">
        <v>1133</v>
      </c>
      <c r="J246" t="s">
        <v>418</v>
      </c>
      <c r="K246" t="s">
        <v>1126</v>
      </c>
      <c r="L246" t="s">
        <v>1140</v>
      </c>
      <c r="M246">
        <v>1958</v>
      </c>
      <c r="N246">
        <v>2005</v>
      </c>
      <c r="O246">
        <f t="shared" si="6"/>
        <v>48</v>
      </c>
      <c r="Q246">
        <v>161.88</v>
      </c>
      <c r="R246" t="s">
        <v>694</v>
      </c>
      <c r="S246" t="s">
        <v>1141</v>
      </c>
      <c r="T246" t="s">
        <v>1142</v>
      </c>
    </row>
    <row r="247" spans="1:20">
      <c r="A247" t="s">
        <v>1036</v>
      </c>
      <c r="C247" t="s">
        <v>1130</v>
      </c>
      <c r="D247">
        <v>2009</v>
      </c>
      <c r="E247" s="40">
        <v>45883</v>
      </c>
      <c r="F247" s="40" t="s">
        <v>1272</v>
      </c>
      <c r="G247" t="s">
        <v>199</v>
      </c>
      <c r="H247" t="s">
        <v>1014</v>
      </c>
      <c r="I247" t="s">
        <v>1134</v>
      </c>
      <c r="J247" t="s">
        <v>418</v>
      </c>
      <c r="K247" t="s">
        <v>1126</v>
      </c>
      <c r="L247" t="s">
        <v>1140</v>
      </c>
      <c r="M247">
        <v>1958</v>
      </c>
      <c r="N247">
        <v>2005</v>
      </c>
      <c r="O247">
        <f t="shared" si="6"/>
        <v>48</v>
      </c>
      <c r="Q247">
        <v>92.6</v>
      </c>
      <c r="R247" t="s">
        <v>694</v>
      </c>
      <c r="S247" t="s">
        <v>1141</v>
      </c>
      <c r="T247" t="s">
        <v>1142</v>
      </c>
    </row>
    <row r="248" spans="1:20">
      <c r="A248" t="s">
        <v>1036</v>
      </c>
      <c r="C248" t="s">
        <v>1130</v>
      </c>
      <c r="D248">
        <v>2009</v>
      </c>
      <c r="E248" s="40">
        <v>45883</v>
      </c>
      <c r="F248" s="40" t="s">
        <v>1272</v>
      </c>
      <c r="G248" t="s">
        <v>199</v>
      </c>
      <c r="H248" t="s">
        <v>1014</v>
      </c>
      <c r="I248" t="s">
        <v>1135</v>
      </c>
      <c r="J248" t="s">
        <v>431</v>
      </c>
      <c r="K248" t="s">
        <v>1126</v>
      </c>
      <c r="L248" t="s">
        <v>1140</v>
      </c>
      <c r="M248">
        <v>1958</v>
      </c>
      <c r="N248">
        <v>2005</v>
      </c>
      <c r="O248">
        <f t="shared" si="6"/>
        <v>48</v>
      </c>
      <c r="Q248">
        <v>138.75</v>
      </c>
      <c r="R248" t="s">
        <v>694</v>
      </c>
      <c r="S248" t="s">
        <v>1141</v>
      </c>
      <c r="T248" t="s">
        <v>1142</v>
      </c>
    </row>
    <row r="249" spans="1:20">
      <c r="A249" t="s">
        <v>1036</v>
      </c>
      <c r="C249" t="s">
        <v>1130</v>
      </c>
      <c r="D249">
        <v>2009</v>
      </c>
      <c r="E249" s="40">
        <v>45883</v>
      </c>
      <c r="F249" s="40" t="s">
        <v>1272</v>
      </c>
      <c r="G249" t="s">
        <v>199</v>
      </c>
      <c r="H249" t="s">
        <v>1014</v>
      </c>
      <c r="I249" t="s">
        <v>1136</v>
      </c>
      <c r="J249" t="s">
        <v>431</v>
      </c>
      <c r="K249" t="s">
        <v>1126</v>
      </c>
      <c r="L249" t="s">
        <v>1140</v>
      </c>
      <c r="M249">
        <v>1958</v>
      </c>
      <c r="N249">
        <v>2005</v>
      </c>
      <c r="O249">
        <f t="shared" si="6"/>
        <v>48</v>
      </c>
      <c r="Q249">
        <v>46.25</v>
      </c>
      <c r="R249" t="s">
        <v>694</v>
      </c>
      <c r="S249" t="s">
        <v>1141</v>
      </c>
      <c r="T249" t="s">
        <v>1142</v>
      </c>
    </row>
    <row r="250" spans="1:20">
      <c r="A250" t="s">
        <v>1036</v>
      </c>
      <c r="C250" t="s">
        <v>1130</v>
      </c>
      <c r="D250">
        <v>2009</v>
      </c>
      <c r="E250" s="40">
        <v>45883</v>
      </c>
      <c r="F250" s="40" t="s">
        <v>1272</v>
      </c>
      <c r="G250" t="s">
        <v>199</v>
      </c>
      <c r="H250" t="s">
        <v>1014</v>
      </c>
      <c r="I250" t="s">
        <v>1137</v>
      </c>
      <c r="J250" t="s">
        <v>431</v>
      </c>
      <c r="K250" t="s">
        <v>1126</v>
      </c>
      <c r="L250" t="s">
        <v>1140</v>
      </c>
      <c r="M250">
        <v>1958</v>
      </c>
      <c r="N250">
        <v>2005</v>
      </c>
      <c r="O250">
        <f t="shared" si="6"/>
        <v>48</v>
      </c>
      <c r="Q250">
        <v>46.25</v>
      </c>
      <c r="R250" t="s">
        <v>694</v>
      </c>
      <c r="S250" t="s">
        <v>1141</v>
      </c>
      <c r="T250" t="s">
        <v>1142</v>
      </c>
    </row>
    <row r="251" spans="1:20">
      <c r="A251" t="s">
        <v>1036</v>
      </c>
      <c r="C251" t="s">
        <v>1130</v>
      </c>
      <c r="D251">
        <v>2009</v>
      </c>
      <c r="E251" s="40">
        <v>45883</v>
      </c>
      <c r="F251" s="40" t="s">
        <v>1272</v>
      </c>
      <c r="G251" t="s">
        <v>199</v>
      </c>
      <c r="H251" t="s">
        <v>1014</v>
      </c>
      <c r="I251" t="s">
        <v>1138</v>
      </c>
      <c r="J251" t="s">
        <v>418</v>
      </c>
      <c r="K251" t="s">
        <v>1126</v>
      </c>
      <c r="L251" t="s">
        <v>1140</v>
      </c>
      <c r="M251">
        <v>1958</v>
      </c>
      <c r="N251">
        <v>2005</v>
      </c>
      <c r="O251">
        <f t="shared" si="6"/>
        <v>48</v>
      </c>
      <c r="Q251">
        <v>57.81</v>
      </c>
      <c r="R251" t="s">
        <v>694</v>
      </c>
      <c r="S251" t="s">
        <v>1141</v>
      </c>
      <c r="T251" t="s">
        <v>1142</v>
      </c>
    </row>
    <row r="252" spans="1:20">
      <c r="A252" t="s">
        <v>1036</v>
      </c>
      <c r="C252" t="s">
        <v>1130</v>
      </c>
      <c r="D252">
        <v>2009</v>
      </c>
      <c r="E252" s="40">
        <v>45883</v>
      </c>
      <c r="F252" s="40" t="s">
        <v>1272</v>
      </c>
      <c r="G252" t="s">
        <v>199</v>
      </c>
      <c r="H252" t="s">
        <v>1014</v>
      </c>
      <c r="I252" t="s">
        <v>1139</v>
      </c>
      <c r="J252" t="s">
        <v>418</v>
      </c>
      <c r="K252" t="s">
        <v>1126</v>
      </c>
      <c r="L252" t="s">
        <v>1140</v>
      </c>
      <c r="M252">
        <v>1958</v>
      </c>
      <c r="N252">
        <v>2005</v>
      </c>
      <c r="O252">
        <f t="shared" si="6"/>
        <v>48</v>
      </c>
      <c r="Q252">
        <v>46.25</v>
      </c>
      <c r="R252" t="s">
        <v>694</v>
      </c>
      <c r="S252" t="s">
        <v>1141</v>
      </c>
      <c r="T252" t="s">
        <v>1142</v>
      </c>
    </row>
    <row r="253" spans="1:20">
      <c r="A253" t="s">
        <v>1290</v>
      </c>
      <c r="C253" t="s">
        <v>1291</v>
      </c>
      <c r="D253">
        <v>2009</v>
      </c>
      <c r="E253" s="40">
        <v>45887</v>
      </c>
      <c r="F253" t="s">
        <v>74</v>
      </c>
      <c r="G253" t="s">
        <v>199</v>
      </c>
      <c r="H253" t="s">
        <v>1014</v>
      </c>
      <c r="I253" t="s">
        <v>65</v>
      </c>
      <c r="J253" t="s">
        <v>400</v>
      </c>
      <c r="K253" t="s">
        <v>1126</v>
      </c>
      <c r="L253" t="s">
        <v>880</v>
      </c>
      <c r="M253">
        <v>1960</v>
      </c>
      <c r="N253">
        <v>2005</v>
      </c>
      <c r="O253">
        <f t="shared" si="6"/>
        <v>46</v>
      </c>
      <c r="Q253">
        <f>((61-55)*111.32)/(O253/10)</f>
        <v>145.19999999999999</v>
      </c>
      <c r="R253" t="s">
        <v>694</v>
      </c>
      <c r="S253" t="s">
        <v>1292</v>
      </c>
    </row>
    <row r="254" spans="1:20">
      <c r="A254" t="s">
        <v>1864</v>
      </c>
      <c r="C254" t="s">
        <v>1621</v>
      </c>
      <c r="D254">
        <v>2009</v>
      </c>
      <c r="E254" s="40">
        <v>45925</v>
      </c>
      <c r="F254" s="40" t="s">
        <v>74</v>
      </c>
      <c r="G254" t="s">
        <v>205</v>
      </c>
      <c r="H254" t="s">
        <v>788</v>
      </c>
      <c r="I254" t="s">
        <v>967</v>
      </c>
      <c r="J254" t="s">
        <v>344</v>
      </c>
      <c r="K254" t="s">
        <v>1126</v>
      </c>
      <c r="L254" t="s">
        <v>1865</v>
      </c>
      <c r="M254">
        <v>1951</v>
      </c>
      <c r="N254">
        <v>1998</v>
      </c>
      <c r="O254">
        <f t="shared" si="6"/>
        <v>48</v>
      </c>
      <c r="P254" t="s">
        <v>1052</v>
      </c>
      <c r="Q254" t="s">
        <v>40</v>
      </c>
      <c r="R254" t="s">
        <v>694</v>
      </c>
      <c r="S254" t="s">
        <v>1867</v>
      </c>
      <c r="T254" t="s">
        <v>1638</v>
      </c>
    </row>
    <row r="255" spans="1:20">
      <c r="A255" t="s">
        <v>1864</v>
      </c>
      <c r="C255" t="s">
        <v>1621</v>
      </c>
      <c r="D255">
        <v>2009</v>
      </c>
      <c r="E255" s="40">
        <v>45925</v>
      </c>
      <c r="F255" s="40" t="s">
        <v>74</v>
      </c>
      <c r="G255" t="s">
        <v>205</v>
      </c>
      <c r="H255" t="s">
        <v>788</v>
      </c>
      <c r="I255" t="s">
        <v>971</v>
      </c>
      <c r="J255" t="s">
        <v>344</v>
      </c>
      <c r="K255" t="s">
        <v>1126</v>
      </c>
      <c r="L255" t="s">
        <v>1865</v>
      </c>
      <c r="M255">
        <v>1951</v>
      </c>
      <c r="N255">
        <v>1998</v>
      </c>
      <c r="O255">
        <f t="shared" si="6"/>
        <v>48</v>
      </c>
      <c r="P255" t="s">
        <v>1052</v>
      </c>
      <c r="Q255" t="s">
        <v>40</v>
      </c>
      <c r="R255" t="s">
        <v>694</v>
      </c>
      <c r="S255" t="s">
        <v>1867</v>
      </c>
      <c r="T255" t="s">
        <v>1638</v>
      </c>
    </row>
    <row r="256" spans="1:20">
      <c r="A256" t="s">
        <v>1864</v>
      </c>
      <c r="C256" t="s">
        <v>1621</v>
      </c>
      <c r="D256">
        <v>2009</v>
      </c>
      <c r="E256" s="40">
        <v>45925</v>
      </c>
      <c r="F256" s="40" t="s">
        <v>74</v>
      </c>
      <c r="G256" t="s">
        <v>205</v>
      </c>
      <c r="H256" t="s">
        <v>788</v>
      </c>
      <c r="I256" t="s">
        <v>288</v>
      </c>
      <c r="J256" t="s">
        <v>344</v>
      </c>
      <c r="K256" t="s">
        <v>1126</v>
      </c>
      <c r="L256" t="s">
        <v>1865</v>
      </c>
      <c r="M256">
        <v>1951</v>
      </c>
      <c r="N256">
        <v>1998</v>
      </c>
      <c r="O256">
        <f t="shared" si="6"/>
        <v>48</v>
      </c>
      <c r="P256" s="3" t="s">
        <v>1866</v>
      </c>
      <c r="Q256" t="s">
        <v>40</v>
      </c>
      <c r="R256" t="s">
        <v>41</v>
      </c>
      <c r="S256" t="s">
        <v>1867</v>
      </c>
      <c r="T256" t="s">
        <v>1638</v>
      </c>
    </row>
    <row r="257" spans="1:20">
      <c r="A257" t="s">
        <v>1864</v>
      </c>
      <c r="C257" t="s">
        <v>1621</v>
      </c>
      <c r="D257">
        <v>2009</v>
      </c>
      <c r="E257" s="40">
        <v>45925</v>
      </c>
      <c r="F257" s="40" t="s">
        <v>74</v>
      </c>
      <c r="G257" t="s">
        <v>205</v>
      </c>
      <c r="H257" t="s">
        <v>788</v>
      </c>
      <c r="I257" t="s">
        <v>299</v>
      </c>
      <c r="J257" t="s">
        <v>344</v>
      </c>
      <c r="K257" t="s">
        <v>1126</v>
      </c>
      <c r="L257" t="s">
        <v>1865</v>
      </c>
      <c r="M257">
        <v>1951</v>
      </c>
      <c r="N257">
        <v>1998</v>
      </c>
      <c r="O257">
        <f t="shared" si="6"/>
        <v>48</v>
      </c>
      <c r="P257" s="3" t="s">
        <v>1866</v>
      </c>
      <c r="Q257" t="s">
        <v>40</v>
      </c>
      <c r="R257" t="s">
        <v>694</v>
      </c>
      <c r="S257" t="s">
        <v>1867</v>
      </c>
      <c r="T257" t="s">
        <v>1639</v>
      </c>
    </row>
    <row r="258" spans="1:20">
      <c r="A258" t="s">
        <v>1864</v>
      </c>
      <c r="C258" t="s">
        <v>1621</v>
      </c>
      <c r="D258">
        <v>2009</v>
      </c>
      <c r="E258" s="40">
        <v>45925</v>
      </c>
      <c r="F258" s="40" t="s">
        <v>74</v>
      </c>
      <c r="G258" t="s">
        <v>205</v>
      </c>
      <c r="H258" t="s">
        <v>788</v>
      </c>
      <c r="I258" t="s">
        <v>295</v>
      </c>
      <c r="J258" t="s">
        <v>344</v>
      </c>
      <c r="K258" t="s">
        <v>1126</v>
      </c>
      <c r="L258" t="s">
        <v>1865</v>
      </c>
      <c r="M258">
        <v>1951</v>
      </c>
      <c r="N258">
        <v>1998</v>
      </c>
      <c r="O258">
        <f t="shared" si="6"/>
        <v>48</v>
      </c>
      <c r="P258" t="s">
        <v>1052</v>
      </c>
      <c r="Q258" t="s">
        <v>40</v>
      </c>
      <c r="R258" t="s">
        <v>694</v>
      </c>
      <c r="S258" t="s">
        <v>1867</v>
      </c>
      <c r="T258" t="s">
        <v>1638</v>
      </c>
    </row>
    <row r="259" spans="1:20">
      <c r="A259" t="s">
        <v>1864</v>
      </c>
      <c r="C259" t="s">
        <v>1621</v>
      </c>
      <c r="D259">
        <v>2009</v>
      </c>
      <c r="E259" s="40">
        <v>45925</v>
      </c>
      <c r="F259" s="40" t="s">
        <v>74</v>
      </c>
      <c r="G259" t="s">
        <v>205</v>
      </c>
      <c r="H259" t="s">
        <v>788</v>
      </c>
      <c r="I259" t="s">
        <v>1622</v>
      </c>
      <c r="J259" t="s">
        <v>344</v>
      </c>
      <c r="K259" t="s">
        <v>1126</v>
      </c>
      <c r="L259" t="s">
        <v>1865</v>
      </c>
      <c r="M259">
        <v>1951</v>
      </c>
      <c r="N259">
        <v>1998</v>
      </c>
      <c r="O259">
        <f t="shared" si="6"/>
        <v>48</v>
      </c>
      <c r="P259" s="3" t="s">
        <v>1866</v>
      </c>
      <c r="Q259" t="s">
        <v>40</v>
      </c>
      <c r="R259" t="s">
        <v>694</v>
      </c>
      <c r="S259" t="s">
        <v>1867</v>
      </c>
      <c r="T259" t="s">
        <v>1640</v>
      </c>
    </row>
    <row r="260" spans="1:20">
      <c r="A260" t="s">
        <v>1864</v>
      </c>
      <c r="C260" t="s">
        <v>1621</v>
      </c>
      <c r="D260">
        <v>2009</v>
      </c>
      <c r="E260" s="40">
        <v>45925</v>
      </c>
      <c r="F260" s="40" t="s">
        <v>74</v>
      </c>
      <c r="G260" t="s">
        <v>205</v>
      </c>
      <c r="H260" t="s">
        <v>788</v>
      </c>
      <c r="I260" t="s">
        <v>1623</v>
      </c>
      <c r="J260" t="s">
        <v>344</v>
      </c>
      <c r="K260" t="s">
        <v>1126</v>
      </c>
      <c r="L260" t="s">
        <v>1865</v>
      </c>
      <c r="M260">
        <v>1951</v>
      </c>
      <c r="N260">
        <v>1998</v>
      </c>
      <c r="O260">
        <f t="shared" si="6"/>
        <v>48</v>
      </c>
      <c r="P260" t="s">
        <v>1052</v>
      </c>
      <c r="Q260" t="s">
        <v>40</v>
      </c>
      <c r="R260" t="s">
        <v>41</v>
      </c>
      <c r="S260" t="s">
        <v>1867</v>
      </c>
      <c r="T260" t="s">
        <v>1640</v>
      </c>
    </row>
    <row r="261" spans="1:20">
      <c r="A261" t="s">
        <v>1864</v>
      </c>
      <c r="C261" t="s">
        <v>1621</v>
      </c>
      <c r="D261">
        <v>2009</v>
      </c>
      <c r="E261" s="40">
        <v>45925</v>
      </c>
      <c r="F261" s="40" t="s">
        <v>74</v>
      </c>
      <c r="G261" t="s">
        <v>205</v>
      </c>
      <c r="H261" t="s">
        <v>788</v>
      </c>
      <c r="I261" t="s">
        <v>1624</v>
      </c>
      <c r="J261" t="s">
        <v>344</v>
      </c>
      <c r="K261" t="s">
        <v>1126</v>
      </c>
      <c r="L261" t="s">
        <v>1865</v>
      </c>
      <c r="M261">
        <v>1951</v>
      </c>
      <c r="N261">
        <v>1998</v>
      </c>
      <c r="O261">
        <f t="shared" si="6"/>
        <v>48</v>
      </c>
      <c r="P261" t="s">
        <v>1052</v>
      </c>
      <c r="Q261" t="s">
        <v>40</v>
      </c>
      <c r="R261" t="s">
        <v>694</v>
      </c>
      <c r="S261" t="s">
        <v>1867</v>
      </c>
      <c r="T261" t="s">
        <v>1638</v>
      </c>
    </row>
    <row r="262" spans="1:20">
      <c r="A262" t="s">
        <v>1864</v>
      </c>
      <c r="C262" t="s">
        <v>1621</v>
      </c>
      <c r="D262">
        <v>2009</v>
      </c>
      <c r="E262" s="40">
        <v>45925</v>
      </c>
      <c r="F262" s="40" t="s">
        <v>74</v>
      </c>
      <c r="G262" t="s">
        <v>205</v>
      </c>
      <c r="H262" t="s">
        <v>788</v>
      </c>
      <c r="I262" t="s">
        <v>973</v>
      </c>
      <c r="J262" t="s">
        <v>344</v>
      </c>
      <c r="K262" t="s">
        <v>1126</v>
      </c>
      <c r="L262" t="s">
        <v>1865</v>
      </c>
      <c r="M262">
        <v>1951</v>
      </c>
      <c r="N262">
        <v>1998</v>
      </c>
      <c r="O262">
        <f t="shared" si="6"/>
        <v>48</v>
      </c>
      <c r="P262" t="s">
        <v>1052</v>
      </c>
      <c r="Q262" t="s">
        <v>40</v>
      </c>
      <c r="R262" t="s">
        <v>41</v>
      </c>
      <c r="S262" t="s">
        <v>1867</v>
      </c>
      <c r="T262" t="s">
        <v>1640</v>
      </c>
    </row>
    <row r="263" spans="1:20">
      <c r="A263" t="s">
        <v>1864</v>
      </c>
      <c r="C263" t="s">
        <v>1621</v>
      </c>
      <c r="D263">
        <v>2009</v>
      </c>
      <c r="E263" s="40">
        <v>45925</v>
      </c>
      <c r="F263" s="40" t="s">
        <v>74</v>
      </c>
      <c r="G263" t="s">
        <v>205</v>
      </c>
      <c r="H263" t="s">
        <v>788</v>
      </c>
      <c r="I263" t="s">
        <v>1625</v>
      </c>
      <c r="J263" t="s">
        <v>344</v>
      </c>
      <c r="K263" t="s">
        <v>1126</v>
      </c>
      <c r="L263" t="s">
        <v>1865</v>
      </c>
      <c r="M263">
        <v>1951</v>
      </c>
      <c r="N263">
        <v>1998</v>
      </c>
      <c r="O263">
        <f t="shared" si="6"/>
        <v>48</v>
      </c>
      <c r="P263" t="s">
        <v>1052</v>
      </c>
      <c r="Q263" t="s">
        <v>40</v>
      </c>
      <c r="R263" t="s">
        <v>41</v>
      </c>
      <c r="S263" t="s">
        <v>1867</v>
      </c>
      <c r="T263" t="s">
        <v>1640</v>
      </c>
    </row>
    <row r="264" spans="1:20">
      <c r="A264" t="s">
        <v>1864</v>
      </c>
      <c r="C264" t="s">
        <v>1621</v>
      </c>
      <c r="D264">
        <v>2009</v>
      </c>
      <c r="E264" s="40">
        <v>45925</v>
      </c>
      <c r="F264" s="40" t="s">
        <v>74</v>
      </c>
      <c r="G264" t="s">
        <v>205</v>
      </c>
      <c r="H264" t="s">
        <v>788</v>
      </c>
      <c r="I264" t="s">
        <v>296</v>
      </c>
      <c r="J264" t="s">
        <v>344</v>
      </c>
      <c r="K264" t="s">
        <v>1126</v>
      </c>
      <c r="L264" t="s">
        <v>1865</v>
      </c>
      <c r="M264">
        <v>1951</v>
      </c>
      <c r="N264">
        <v>1998</v>
      </c>
      <c r="O264">
        <f t="shared" si="6"/>
        <v>48</v>
      </c>
      <c r="P264" t="s">
        <v>1052</v>
      </c>
      <c r="Q264" t="s">
        <v>40</v>
      </c>
      <c r="R264" t="s">
        <v>694</v>
      </c>
      <c r="S264" t="s">
        <v>1867</v>
      </c>
      <c r="T264" t="s">
        <v>1639</v>
      </c>
    </row>
    <row r="265" spans="1:20">
      <c r="A265" t="s">
        <v>1864</v>
      </c>
      <c r="C265" t="s">
        <v>1621</v>
      </c>
      <c r="D265">
        <v>2009</v>
      </c>
      <c r="E265" s="40">
        <v>45925</v>
      </c>
      <c r="F265" s="40" t="s">
        <v>74</v>
      </c>
      <c r="G265" t="s">
        <v>205</v>
      </c>
      <c r="H265" t="s">
        <v>788</v>
      </c>
      <c r="I265" t="s">
        <v>799</v>
      </c>
      <c r="J265" t="s">
        <v>344</v>
      </c>
      <c r="K265" t="s">
        <v>1126</v>
      </c>
      <c r="L265" t="s">
        <v>1865</v>
      </c>
      <c r="M265">
        <v>1951</v>
      </c>
      <c r="N265">
        <v>1998</v>
      </c>
      <c r="O265">
        <f t="shared" si="6"/>
        <v>48</v>
      </c>
      <c r="P265" t="s">
        <v>1052</v>
      </c>
      <c r="Q265" t="s">
        <v>40</v>
      </c>
      <c r="R265" t="s">
        <v>694</v>
      </c>
      <c r="S265" t="s">
        <v>1867</v>
      </c>
      <c r="T265" t="s">
        <v>1638</v>
      </c>
    </row>
    <row r="266" spans="1:20">
      <c r="A266" t="s">
        <v>1864</v>
      </c>
      <c r="C266" t="s">
        <v>1621</v>
      </c>
      <c r="D266">
        <v>2009</v>
      </c>
      <c r="E266" s="40">
        <v>45925</v>
      </c>
      <c r="F266" s="40" t="s">
        <v>74</v>
      </c>
      <c r="G266" t="s">
        <v>205</v>
      </c>
      <c r="H266" t="s">
        <v>788</v>
      </c>
      <c r="I266" t="s">
        <v>1626</v>
      </c>
      <c r="J266" t="s">
        <v>344</v>
      </c>
      <c r="K266" t="s">
        <v>1126</v>
      </c>
      <c r="L266" t="s">
        <v>1865</v>
      </c>
      <c r="M266">
        <v>1951</v>
      </c>
      <c r="N266">
        <v>1998</v>
      </c>
      <c r="O266">
        <f t="shared" si="6"/>
        <v>48</v>
      </c>
      <c r="P266" t="s">
        <v>1052</v>
      </c>
      <c r="Q266" t="s">
        <v>40</v>
      </c>
      <c r="R266" t="s">
        <v>41</v>
      </c>
      <c r="S266" t="s">
        <v>1867</v>
      </c>
      <c r="T266" t="s">
        <v>1640</v>
      </c>
    </row>
    <row r="267" spans="1:20">
      <c r="A267" t="s">
        <v>1864</v>
      </c>
      <c r="C267" t="s">
        <v>1621</v>
      </c>
      <c r="D267">
        <v>2009</v>
      </c>
      <c r="E267" s="40">
        <v>45925</v>
      </c>
      <c r="F267" s="40" t="s">
        <v>74</v>
      </c>
      <c r="G267" t="s">
        <v>205</v>
      </c>
      <c r="H267" t="s">
        <v>788</v>
      </c>
      <c r="I267" t="s">
        <v>1627</v>
      </c>
      <c r="J267" t="s">
        <v>344</v>
      </c>
      <c r="K267" t="s">
        <v>1126</v>
      </c>
      <c r="L267" t="s">
        <v>1865</v>
      </c>
      <c r="M267">
        <v>1951</v>
      </c>
      <c r="N267">
        <v>1998</v>
      </c>
      <c r="O267">
        <f t="shared" si="6"/>
        <v>48</v>
      </c>
      <c r="P267" t="s">
        <v>1052</v>
      </c>
      <c r="Q267" t="s">
        <v>40</v>
      </c>
      <c r="R267" t="s">
        <v>694</v>
      </c>
      <c r="S267" t="s">
        <v>1867</v>
      </c>
      <c r="T267" t="s">
        <v>1638</v>
      </c>
    </row>
    <row r="268" spans="1:20">
      <c r="A268" t="s">
        <v>1864</v>
      </c>
      <c r="C268" t="s">
        <v>1621</v>
      </c>
      <c r="D268">
        <v>2009</v>
      </c>
      <c r="E268" s="40">
        <v>45925</v>
      </c>
      <c r="F268" s="40" t="s">
        <v>74</v>
      </c>
      <c r="G268" t="s">
        <v>205</v>
      </c>
      <c r="H268" t="s">
        <v>788</v>
      </c>
      <c r="I268" t="s">
        <v>1628</v>
      </c>
      <c r="J268" t="s">
        <v>344</v>
      </c>
      <c r="K268" t="s">
        <v>1126</v>
      </c>
      <c r="L268" t="s">
        <v>1865</v>
      </c>
      <c r="M268">
        <v>1951</v>
      </c>
      <c r="N268">
        <v>1998</v>
      </c>
      <c r="O268">
        <f t="shared" si="6"/>
        <v>48</v>
      </c>
      <c r="P268" t="s">
        <v>1052</v>
      </c>
      <c r="Q268" t="s">
        <v>40</v>
      </c>
      <c r="R268" t="s">
        <v>694</v>
      </c>
      <c r="S268" t="s">
        <v>1867</v>
      </c>
      <c r="T268" t="s">
        <v>40</v>
      </c>
    </row>
    <row r="269" spans="1:20">
      <c r="A269" t="s">
        <v>1864</v>
      </c>
      <c r="C269" t="s">
        <v>1621</v>
      </c>
      <c r="D269">
        <v>2009</v>
      </c>
      <c r="E269" s="40">
        <v>45925</v>
      </c>
      <c r="F269" s="40" t="s">
        <v>74</v>
      </c>
      <c r="G269" t="s">
        <v>205</v>
      </c>
      <c r="H269" t="s">
        <v>788</v>
      </c>
      <c r="I269" t="s">
        <v>1629</v>
      </c>
      <c r="J269" t="s">
        <v>344</v>
      </c>
      <c r="K269" t="s">
        <v>1126</v>
      </c>
      <c r="L269" t="s">
        <v>1865</v>
      </c>
      <c r="M269">
        <v>1951</v>
      </c>
      <c r="N269">
        <v>1998</v>
      </c>
      <c r="O269">
        <f t="shared" ref="O269:O332" si="7">N269-M269+1</f>
        <v>48</v>
      </c>
      <c r="P269" t="s">
        <v>1052</v>
      </c>
      <c r="Q269" t="s">
        <v>40</v>
      </c>
      <c r="R269" t="s">
        <v>41</v>
      </c>
      <c r="S269" t="s">
        <v>1867</v>
      </c>
      <c r="T269" t="s">
        <v>1640</v>
      </c>
    </row>
    <row r="270" spans="1:20">
      <c r="A270" t="s">
        <v>1864</v>
      </c>
      <c r="C270" t="s">
        <v>1621</v>
      </c>
      <c r="D270">
        <v>2009</v>
      </c>
      <c r="E270" s="40">
        <v>45925</v>
      </c>
      <c r="F270" s="40" t="s">
        <v>74</v>
      </c>
      <c r="G270" t="s">
        <v>205</v>
      </c>
      <c r="H270" t="s">
        <v>788</v>
      </c>
      <c r="I270" t="s">
        <v>1630</v>
      </c>
      <c r="J270" t="s">
        <v>344</v>
      </c>
      <c r="K270" t="s">
        <v>1126</v>
      </c>
      <c r="L270" t="s">
        <v>1865</v>
      </c>
      <c r="M270">
        <v>1951</v>
      </c>
      <c r="N270">
        <v>1998</v>
      </c>
      <c r="O270">
        <f t="shared" si="7"/>
        <v>48</v>
      </c>
      <c r="P270" t="s">
        <v>1052</v>
      </c>
      <c r="Q270" t="s">
        <v>40</v>
      </c>
      <c r="R270" t="s">
        <v>694</v>
      </c>
      <c r="S270" t="s">
        <v>1867</v>
      </c>
      <c r="T270" t="s">
        <v>1639</v>
      </c>
    </row>
    <row r="271" spans="1:20">
      <c r="A271" t="s">
        <v>1864</v>
      </c>
      <c r="C271" t="s">
        <v>1621</v>
      </c>
      <c r="D271">
        <v>2009</v>
      </c>
      <c r="E271" s="40">
        <v>45925</v>
      </c>
      <c r="F271" s="40" t="s">
        <v>74</v>
      </c>
      <c r="G271" t="s">
        <v>205</v>
      </c>
      <c r="H271" t="s">
        <v>788</v>
      </c>
      <c r="I271" t="s">
        <v>989</v>
      </c>
      <c r="J271" t="s">
        <v>344</v>
      </c>
      <c r="K271" t="s">
        <v>1126</v>
      </c>
      <c r="L271" t="s">
        <v>1865</v>
      </c>
      <c r="M271">
        <v>1951</v>
      </c>
      <c r="N271">
        <v>1998</v>
      </c>
      <c r="O271">
        <f t="shared" si="7"/>
        <v>48</v>
      </c>
      <c r="P271" t="s">
        <v>1052</v>
      </c>
      <c r="Q271" t="s">
        <v>40</v>
      </c>
      <c r="R271" t="s">
        <v>694</v>
      </c>
      <c r="S271" t="s">
        <v>1867</v>
      </c>
      <c r="T271" t="s">
        <v>1638</v>
      </c>
    </row>
    <row r="272" spans="1:20">
      <c r="A272" t="s">
        <v>1864</v>
      </c>
      <c r="C272" t="s">
        <v>1621</v>
      </c>
      <c r="D272">
        <v>2009</v>
      </c>
      <c r="E272" s="40">
        <v>45925</v>
      </c>
      <c r="F272" s="40" t="s">
        <v>74</v>
      </c>
      <c r="G272" t="s">
        <v>205</v>
      </c>
      <c r="H272" t="s">
        <v>788</v>
      </c>
      <c r="I272" t="s">
        <v>990</v>
      </c>
      <c r="J272" t="s">
        <v>344</v>
      </c>
      <c r="K272" t="s">
        <v>1126</v>
      </c>
      <c r="L272" t="s">
        <v>1865</v>
      </c>
      <c r="M272">
        <v>1951</v>
      </c>
      <c r="N272">
        <v>1998</v>
      </c>
      <c r="O272">
        <f t="shared" si="7"/>
        <v>48</v>
      </c>
      <c r="P272" t="s">
        <v>1052</v>
      </c>
      <c r="Q272" t="s">
        <v>40</v>
      </c>
      <c r="R272" t="s">
        <v>694</v>
      </c>
      <c r="S272" t="s">
        <v>1867</v>
      </c>
      <c r="T272" t="s">
        <v>1639</v>
      </c>
    </row>
    <row r="273" spans="1:20">
      <c r="A273" t="s">
        <v>1864</v>
      </c>
      <c r="C273" t="s">
        <v>1621</v>
      </c>
      <c r="D273">
        <v>2009</v>
      </c>
      <c r="E273" s="40">
        <v>45925</v>
      </c>
      <c r="F273" s="40" t="s">
        <v>74</v>
      </c>
      <c r="G273" t="s">
        <v>205</v>
      </c>
      <c r="H273" t="s">
        <v>788</v>
      </c>
      <c r="I273" t="s">
        <v>991</v>
      </c>
      <c r="J273" t="s">
        <v>344</v>
      </c>
      <c r="K273" t="s">
        <v>1126</v>
      </c>
      <c r="L273" t="s">
        <v>1865</v>
      </c>
      <c r="M273">
        <v>1951</v>
      </c>
      <c r="N273">
        <v>1998</v>
      </c>
      <c r="O273">
        <f t="shared" si="7"/>
        <v>48</v>
      </c>
      <c r="P273" t="s">
        <v>1052</v>
      </c>
      <c r="Q273" t="s">
        <v>40</v>
      </c>
      <c r="R273" t="s">
        <v>694</v>
      </c>
      <c r="S273" t="s">
        <v>1867</v>
      </c>
      <c r="T273" t="s">
        <v>1639</v>
      </c>
    </row>
    <row r="274" spans="1:20">
      <c r="A274" t="s">
        <v>1864</v>
      </c>
      <c r="C274" t="s">
        <v>1621</v>
      </c>
      <c r="D274">
        <v>2009</v>
      </c>
      <c r="E274" s="40">
        <v>45925</v>
      </c>
      <c r="F274" s="40" t="s">
        <v>74</v>
      </c>
      <c r="G274" t="s">
        <v>205</v>
      </c>
      <c r="H274" t="s">
        <v>788</v>
      </c>
      <c r="I274" t="s">
        <v>1631</v>
      </c>
      <c r="J274" t="s">
        <v>344</v>
      </c>
      <c r="K274" t="s">
        <v>1126</v>
      </c>
      <c r="L274" t="s">
        <v>1865</v>
      </c>
      <c r="M274">
        <v>1951</v>
      </c>
      <c r="N274">
        <v>1998</v>
      </c>
      <c r="O274">
        <f t="shared" si="7"/>
        <v>48</v>
      </c>
      <c r="P274" t="s">
        <v>1052</v>
      </c>
      <c r="Q274" t="s">
        <v>40</v>
      </c>
      <c r="R274" t="s">
        <v>694</v>
      </c>
      <c r="S274" t="s">
        <v>1867</v>
      </c>
      <c r="T274" t="s">
        <v>1639</v>
      </c>
    </row>
    <row r="275" spans="1:20">
      <c r="A275" t="s">
        <v>1864</v>
      </c>
      <c r="C275" t="s">
        <v>1621</v>
      </c>
      <c r="D275">
        <v>2009</v>
      </c>
      <c r="E275" s="40">
        <v>45925</v>
      </c>
      <c r="F275" s="40" t="s">
        <v>74</v>
      </c>
      <c r="G275" t="s">
        <v>205</v>
      </c>
      <c r="H275" t="s">
        <v>788</v>
      </c>
      <c r="I275" t="s">
        <v>1632</v>
      </c>
      <c r="J275" t="s">
        <v>344</v>
      </c>
      <c r="K275" t="s">
        <v>1126</v>
      </c>
      <c r="L275" t="s">
        <v>1865</v>
      </c>
      <c r="M275">
        <v>1951</v>
      </c>
      <c r="N275">
        <v>1998</v>
      </c>
      <c r="O275">
        <f t="shared" si="7"/>
        <v>48</v>
      </c>
      <c r="P275" s="3" t="s">
        <v>1866</v>
      </c>
      <c r="Q275" t="s">
        <v>40</v>
      </c>
      <c r="R275" t="s">
        <v>694</v>
      </c>
      <c r="S275" t="s">
        <v>1867</v>
      </c>
      <c r="T275" t="s">
        <v>1639</v>
      </c>
    </row>
    <row r="276" spans="1:20">
      <c r="A276" t="s">
        <v>1864</v>
      </c>
      <c r="C276" t="s">
        <v>1621</v>
      </c>
      <c r="D276">
        <v>2009</v>
      </c>
      <c r="E276" s="40">
        <v>45925</v>
      </c>
      <c r="F276" s="40" t="s">
        <v>74</v>
      </c>
      <c r="G276" t="s">
        <v>205</v>
      </c>
      <c r="H276" t="s">
        <v>788</v>
      </c>
      <c r="I276" t="s">
        <v>303</v>
      </c>
      <c r="J276" t="s">
        <v>344</v>
      </c>
      <c r="K276" t="s">
        <v>1126</v>
      </c>
      <c r="L276" t="s">
        <v>1865</v>
      </c>
      <c r="M276">
        <v>1951</v>
      </c>
      <c r="N276">
        <v>1998</v>
      </c>
      <c r="O276">
        <f t="shared" si="7"/>
        <v>48</v>
      </c>
      <c r="P276" t="s">
        <v>1052</v>
      </c>
      <c r="Q276" t="s">
        <v>40</v>
      </c>
      <c r="R276" t="s">
        <v>694</v>
      </c>
      <c r="S276" t="s">
        <v>1867</v>
      </c>
      <c r="T276" t="s">
        <v>1638</v>
      </c>
    </row>
    <row r="277" spans="1:20">
      <c r="A277" t="s">
        <v>1864</v>
      </c>
      <c r="C277" t="s">
        <v>1621</v>
      </c>
      <c r="D277">
        <v>2009</v>
      </c>
      <c r="E277" s="40">
        <v>45925</v>
      </c>
      <c r="F277" s="40" t="s">
        <v>74</v>
      </c>
      <c r="G277" t="s">
        <v>205</v>
      </c>
      <c r="H277" t="s">
        <v>788</v>
      </c>
      <c r="I277" t="s">
        <v>1633</v>
      </c>
      <c r="J277" t="s">
        <v>344</v>
      </c>
      <c r="K277" t="s">
        <v>1126</v>
      </c>
      <c r="L277" t="s">
        <v>1865</v>
      </c>
      <c r="M277">
        <v>1951</v>
      </c>
      <c r="N277">
        <v>1998</v>
      </c>
      <c r="O277">
        <f t="shared" si="7"/>
        <v>48</v>
      </c>
      <c r="P277" t="s">
        <v>1052</v>
      </c>
      <c r="Q277" t="s">
        <v>40</v>
      </c>
      <c r="R277" t="s">
        <v>694</v>
      </c>
      <c r="S277" t="s">
        <v>1867</v>
      </c>
      <c r="T277" t="s">
        <v>1639</v>
      </c>
    </row>
    <row r="278" spans="1:20">
      <c r="A278" t="s">
        <v>1864</v>
      </c>
      <c r="C278" t="s">
        <v>1621</v>
      </c>
      <c r="D278">
        <v>2009</v>
      </c>
      <c r="E278" s="40">
        <v>45925</v>
      </c>
      <c r="F278" s="40" t="s">
        <v>74</v>
      </c>
      <c r="G278" t="s">
        <v>205</v>
      </c>
      <c r="H278" t="s">
        <v>788</v>
      </c>
      <c r="I278" t="s">
        <v>1634</v>
      </c>
      <c r="J278" t="s">
        <v>344</v>
      </c>
      <c r="K278" t="s">
        <v>1126</v>
      </c>
      <c r="L278" t="s">
        <v>1865</v>
      </c>
      <c r="M278">
        <v>1951</v>
      </c>
      <c r="N278">
        <v>1998</v>
      </c>
      <c r="O278">
        <f t="shared" si="7"/>
        <v>48</v>
      </c>
      <c r="P278" s="3" t="s">
        <v>1866</v>
      </c>
      <c r="Q278" t="s">
        <v>40</v>
      </c>
      <c r="R278" t="s">
        <v>694</v>
      </c>
      <c r="S278" t="s">
        <v>1867</v>
      </c>
      <c r="T278" t="s">
        <v>1640</v>
      </c>
    </row>
    <row r="279" spans="1:20">
      <c r="A279" t="s">
        <v>1864</v>
      </c>
      <c r="C279" t="s">
        <v>1621</v>
      </c>
      <c r="D279">
        <v>2009</v>
      </c>
      <c r="E279" s="40">
        <v>45925</v>
      </c>
      <c r="F279" s="40" t="s">
        <v>74</v>
      </c>
      <c r="G279" t="s">
        <v>205</v>
      </c>
      <c r="H279" t="s">
        <v>788</v>
      </c>
      <c r="I279" t="s">
        <v>1635</v>
      </c>
      <c r="J279" t="s">
        <v>344</v>
      </c>
      <c r="K279" t="s">
        <v>1126</v>
      </c>
      <c r="L279" t="s">
        <v>1865</v>
      </c>
      <c r="M279">
        <v>1951</v>
      </c>
      <c r="N279">
        <v>1998</v>
      </c>
      <c r="O279">
        <f t="shared" si="7"/>
        <v>48</v>
      </c>
      <c r="P279" t="s">
        <v>1052</v>
      </c>
      <c r="Q279" t="s">
        <v>40</v>
      </c>
      <c r="R279" t="s">
        <v>694</v>
      </c>
      <c r="S279" t="s">
        <v>1867</v>
      </c>
      <c r="T279" t="s">
        <v>1639</v>
      </c>
    </row>
    <row r="280" spans="1:20">
      <c r="A280" t="s">
        <v>1864</v>
      </c>
      <c r="C280" t="s">
        <v>1621</v>
      </c>
      <c r="D280">
        <v>2009</v>
      </c>
      <c r="E280" s="40">
        <v>45925</v>
      </c>
      <c r="F280" s="40" t="s">
        <v>74</v>
      </c>
      <c r="G280" t="s">
        <v>205</v>
      </c>
      <c r="H280" t="s">
        <v>788</v>
      </c>
      <c r="I280" t="s">
        <v>304</v>
      </c>
      <c r="J280" t="s">
        <v>344</v>
      </c>
      <c r="K280" t="s">
        <v>1126</v>
      </c>
      <c r="L280" t="s">
        <v>1865</v>
      </c>
      <c r="M280">
        <v>1951</v>
      </c>
      <c r="N280">
        <v>1998</v>
      </c>
      <c r="O280">
        <f t="shared" si="7"/>
        <v>48</v>
      </c>
      <c r="P280" t="s">
        <v>1052</v>
      </c>
      <c r="Q280" t="s">
        <v>40</v>
      </c>
      <c r="R280" t="s">
        <v>694</v>
      </c>
      <c r="S280" t="s">
        <v>1867</v>
      </c>
      <c r="T280" t="s">
        <v>1638</v>
      </c>
    </row>
    <row r="281" spans="1:20">
      <c r="A281" t="s">
        <v>1864</v>
      </c>
      <c r="C281" t="s">
        <v>1621</v>
      </c>
      <c r="D281">
        <v>2009</v>
      </c>
      <c r="E281" s="40">
        <v>45925</v>
      </c>
      <c r="F281" s="40" t="s">
        <v>74</v>
      </c>
      <c r="G281" t="s">
        <v>205</v>
      </c>
      <c r="H281" t="s">
        <v>788</v>
      </c>
      <c r="I281" t="s">
        <v>1636</v>
      </c>
      <c r="J281" t="s">
        <v>344</v>
      </c>
      <c r="K281" t="s">
        <v>1126</v>
      </c>
      <c r="L281" t="s">
        <v>1865</v>
      </c>
      <c r="M281">
        <v>1951</v>
      </c>
      <c r="N281">
        <v>1998</v>
      </c>
      <c r="O281">
        <f t="shared" si="7"/>
        <v>48</v>
      </c>
      <c r="P281" s="3" t="s">
        <v>1866</v>
      </c>
      <c r="Q281" t="s">
        <v>40</v>
      </c>
      <c r="R281" t="s">
        <v>694</v>
      </c>
      <c r="S281" t="s">
        <v>1867</v>
      </c>
      <c r="T281" t="s">
        <v>1639</v>
      </c>
    </row>
    <row r="282" spans="1:20">
      <c r="A282" t="s">
        <v>1864</v>
      </c>
      <c r="C282" t="s">
        <v>1621</v>
      </c>
      <c r="D282">
        <v>2009</v>
      </c>
      <c r="E282" s="40">
        <v>45925</v>
      </c>
      <c r="F282" s="40" t="s">
        <v>74</v>
      </c>
      <c r="G282" t="s">
        <v>205</v>
      </c>
      <c r="H282" t="s">
        <v>788</v>
      </c>
      <c r="I282" t="s">
        <v>297</v>
      </c>
      <c r="J282" t="s">
        <v>344</v>
      </c>
      <c r="K282" t="s">
        <v>1126</v>
      </c>
      <c r="L282" t="s">
        <v>1865</v>
      </c>
      <c r="M282">
        <v>1951</v>
      </c>
      <c r="N282">
        <v>1998</v>
      </c>
      <c r="O282">
        <f t="shared" si="7"/>
        <v>48</v>
      </c>
      <c r="P282" t="s">
        <v>1052</v>
      </c>
      <c r="Q282" t="s">
        <v>40</v>
      </c>
      <c r="R282" t="s">
        <v>41</v>
      </c>
      <c r="S282" t="s">
        <v>1867</v>
      </c>
      <c r="T282" t="s">
        <v>1640</v>
      </c>
    </row>
    <row r="283" spans="1:20">
      <c r="A283" t="s">
        <v>1864</v>
      </c>
      <c r="C283" t="s">
        <v>1621</v>
      </c>
      <c r="D283">
        <v>2009</v>
      </c>
      <c r="E283" s="40">
        <v>45925</v>
      </c>
      <c r="F283" s="40" t="s">
        <v>74</v>
      </c>
      <c r="G283" t="s">
        <v>205</v>
      </c>
      <c r="H283" t="s">
        <v>788</v>
      </c>
      <c r="I283" t="s">
        <v>305</v>
      </c>
      <c r="J283" t="s">
        <v>344</v>
      </c>
      <c r="K283" t="s">
        <v>1126</v>
      </c>
      <c r="L283" t="s">
        <v>1865</v>
      </c>
      <c r="M283">
        <v>1951</v>
      </c>
      <c r="N283">
        <v>1998</v>
      </c>
      <c r="O283">
        <f t="shared" si="7"/>
        <v>48</v>
      </c>
      <c r="P283" t="s">
        <v>1052</v>
      </c>
      <c r="Q283" t="s">
        <v>40</v>
      </c>
      <c r="R283" t="s">
        <v>694</v>
      </c>
      <c r="S283" t="s">
        <v>1867</v>
      </c>
      <c r="T283" t="s">
        <v>1638</v>
      </c>
    </row>
    <row r="284" spans="1:20">
      <c r="A284" t="s">
        <v>1864</v>
      </c>
      <c r="C284" t="s">
        <v>1621</v>
      </c>
      <c r="D284">
        <v>2009</v>
      </c>
      <c r="E284" s="40">
        <v>45925</v>
      </c>
      <c r="F284" s="40" t="s">
        <v>74</v>
      </c>
      <c r="G284" t="s">
        <v>205</v>
      </c>
      <c r="H284" t="s">
        <v>788</v>
      </c>
      <c r="I284" t="s">
        <v>1637</v>
      </c>
      <c r="J284" t="s">
        <v>344</v>
      </c>
      <c r="K284" t="s">
        <v>1126</v>
      </c>
      <c r="L284" t="s">
        <v>1865</v>
      </c>
      <c r="M284">
        <v>1951</v>
      </c>
      <c r="N284">
        <v>1998</v>
      </c>
      <c r="O284">
        <f t="shared" si="7"/>
        <v>48</v>
      </c>
      <c r="P284" s="3" t="s">
        <v>1866</v>
      </c>
      <c r="Q284" t="s">
        <v>40</v>
      </c>
      <c r="R284" t="s">
        <v>41</v>
      </c>
      <c r="S284" t="s">
        <v>1867</v>
      </c>
      <c r="T284" t="s">
        <v>1638</v>
      </c>
    </row>
    <row r="285" spans="1:20">
      <c r="A285" t="s">
        <v>1864</v>
      </c>
      <c r="C285" t="s">
        <v>1621</v>
      </c>
      <c r="D285">
        <v>2009</v>
      </c>
      <c r="E285" s="40">
        <v>45925</v>
      </c>
      <c r="F285" s="40" t="s">
        <v>74</v>
      </c>
      <c r="G285" t="s">
        <v>205</v>
      </c>
      <c r="H285" t="s">
        <v>788</v>
      </c>
      <c r="I285" t="s">
        <v>306</v>
      </c>
      <c r="J285" t="s">
        <v>344</v>
      </c>
      <c r="K285" t="s">
        <v>1126</v>
      </c>
      <c r="L285" t="s">
        <v>1865</v>
      </c>
      <c r="M285">
        <v>1951</v>
      </c>
      <c r="N285">
        <v>1998</v>
      </c>
      <c r="O285">
        <f t="shared" si="7"/>
        <v>48</v>
      </c>
      <c r="P285" t="s">
        <v>1052</v>
      </c>
      <c r="Q285" t="s">
        <v>40</v>
      </c>
      <c r="R285" t="s">
        <v>694</v>
      </c>
      <c r="S285" t="s">
        <v>1867</v>
      </c>
      <c r="T285" t="s">
        <v>1638</v>
      </c>
    </row>
    <row r="286" spans="1:20">
      <c r="A286" t="s">
        <v>1864</v>
      </c>
      <c r="C286" t="s">
        <v>1621</v>
      </c>
      <c r="D286">
        <v>2009</v>
      </c>
      <c r="E286" s="40">
        <v>45925</v>
      </c>
      <c r="F286" s="40" t="s">
        <v>74</v>
      </c>
      <c r="G286" t="s">
        <v>205</v>
      </c>
      <c r="H286" t="s">
        <v>788</v>
      </c>
      <c r="I286" t="s">
        <v>307</v>
      </c>
      <c r="J286" t="s">
        <v>344</v>
      </c>
      <c r="K286" t="s">
        <v>1126</v>
      </c>
      <c r="L286" t="s">
        <v>1865</v>
      </c>
      <c r="M286">
        <v>1951</v>
      </c>
      <c r="N286">
        <v>1998</v>
      </c>
      <c r="O286">
        <f t="shared" si="7"/>
        <v>48</v>
      </c>
      <c r="P286" s="3" t="s">
        <v>1866</v>
      </c>
      <c r="Q286" t="s">
        <v>40</v>
      </c>
      <c r="R286" t="s">
        <v>694</v>
      </c>
      <c r="S286" t="s">
        <v>1867</v>
      </c>
      <c r="T286" t="s">
        <v>1640</v>
      </c>
    </row>
    <row r="287" spans="1:20">
      <c r="A287" t="s">
        <v>1864</v>
      </c>
      <c r="C287" t="s">
        <v>1621</v>
      </c>
      <c r="D287">
        <v>2009</v>
      </c>
      <c r="E287" s="40">
        <v>45925</v>
      </c>
      <c r="F287" s="40" t="s">
        <v>74</v>
      </c>
      <c r="G287" t="s">
        <v>205</v>
      </c>
      <c r="H287" t="s">
        <v>788</v>
      </c>
      <c r="I287" t="s">
        <v>294</v>
      </c>
      <c r="J287" t="s">
        <v>344</v>
      </c>
      <c r="K287" t="s">
        <v>1126</v>
      </c>
      <c r="L287" t="s">
        <v>1865</v>
      </c>
      <c r="M287">
        <v>1951</v>
      </c>
      <c r="N287">
        <v>1998</v>
      </c>
      <c r="O287">
        <f t="shared" si="7"/>
        <v>48</v>
      </c>
      <c r="P287" t="s">
        <v>1052</v>
      </c>
      <c r="Q287" t="s">
        <v>40</v>
      </c>
      <c r="R287" t="s">
        <v>41</v>
      </c>
      <c r="S287" t="s">
        <v>1867</v>
      </c>
      <c r="T287" t="s">
        <v>1640</v>
      </c>
    </row>
    <row r="288" spans="1:20">
      <c r="A288" t="s">
        <v>348</v>
      </c>
      <c r="C288" t="s">
        <v>1180</v>
      </c>
      <c r="D288">
        <v>2008</v>
      </c>
      <c r="E288" s="40">
        <v>45887</v>
      </c>
      <c r="F288" s="40" t="s">
        <v>1272</v>
      </c>
      <c r="G288" t="s">
        <v>152</v>
      </c>
      <c r="H288" t="s">
        <v>1078</v>
      </c>
      <c r="I288" t="s">
        <v>350</v>
      </c>
      <c r="J288" t="s">
        <v>431</v>
      </c>
      <c r="K288" t="s">
        <v>1127</v>
      </c>
      <c r="L288" t="s">
        <v>349</v>
      </c>
      <c r="M288">
        <v>1950</v>
      </c>
      <c r="N288">
        <v>2005</v>
      </c>
      <c r="O288">
        <f t="shared" si="7"/>
        <v>56</v>
      </c>
      <c r="P288" t="s">
        <v>1052</v>
      </c>
      <c r="Q288">
        <v>406</v>
      </c>
      <c r="R288" t="s">
        <v>694</v>
      </c>
      <c r="T288" t="s">
        <v>1163</v>
      </c>
    </row>
    <row r="289" spans="1:20">
      <c r="A289" t="s">
        <v>353</v>
      </c>
      <c r="C289" t="s">
        <v>1162</v>
      </c>
      <c r="D289">
        <v>2008</v>
      </c>
      <c r="E289" s="40">
        <v>45884</v>
      </c>
      <c r="F289" s="40" t="s">
        <v>1272</v>
      </c>
      <c r="G289" t="s">
        <v>205</v>
      </c>
      <c r="H289" t="s">
        <v>788</v>
      </c>
      <c r="I289" t="s">
        <v>318</v>
      </c>
      <c r="J289" t="s">
        <v>344</v>
      </c>
      <c r="K289" t="s">
        <v>1126</v>
      </c>
      <c r="L289" t="s">
        <v>283</v>
      </c>
      <c r="M289">
        <v>1951</v>
      </c>
      <c r="N289">
        <v>2002</v>
      </c>
      <c r="O289">
        <f t="shared" si="7"/>
        <v>52</v>
      </c>
      <c r="Q289">
        <v>3.24</v>
      </c>
      <c r="R289" t="s">
        <v>694</v>
      </c>
      <c r="T289" t="s">
        <v>1163</v>
      </c>
    </row>
    <row r="290" spans="1:20">
      <c r="A290" t="s">
        <v>353</v>
      </c>
      <c r="C290" t="s">
        <v>1162</v>
      </c>
      <c r="D290">
        <v>2008</v>
      </c>
      <c r="E290" s="40">
        <v>45884</v>
      </c>
      <c r="F290" s="40" t="s">
        <v>1272</v>
      </c>
      <c r="G290" t="s">
        <v>205</v>
      </c>
      <c r="H290" t="s">
        <v>788</v>
      </c>
      <c r="I290" t="s">
        <v>354</v>
      </c>
      <c r="J290" t="s">
        <v>344</v>
      </c>
      <c r="K290" t="s">
        <v>1126</v>
      </c>
      <c r="L290" t="s">
        <v>283</v>
      </c>
      <c r="M290">
        <v>1951</v>
      </c>
      <c r="N290">
        <v>2002</v>
      </c>
      <c r="O290">
        <f t="shared" si="7"/>
        <v>52</v>
      </c>
      <c r="Q290">
        <v>2.31</v>
      </c>
      <c r="R290" t="s">
        <v>694</v>
      </c>
      <c r="T290" t="s">
        <v>1163</v>
      </c>
    </row>
    <row r="291" spans="1:20">
      <c r="A291" t="s">
        <v>353</v>
      </c>
      <c r="C291" t="s">
        <v>1162</v>
      </c>
      <c r="D291">
        <v>2008</v>
      </c>
      <c r="E291" s="40">
        <v>45884</v>
      </c>
      <c r="F291" s="40" t="s">
        <v>1272</v>
      </c>
      <c r="G291" t="s">
        <v>205</v>
      </c>
      <c r="H291" t="s">
        <v>788</v>
      </c>
      <c r="I291" t="s">
        <v>324</v>
      </c>
      <c r="J291" t="s">
        <v>344</v>
      </c>
      <c r="K291" t="s">
        <v>1126</v>
      </c>
      <c r="L291" t="s">
        <v>283</v>
      </c>
      <c r="M291">
        <v>1951</v>
      </c>
      <c r="N291">
        <v>2002</v>
      </c>
      <c r="O291">
        <f t="shared" si="7"/>
        <v>52</v>
      </c>
      <c r="Q291">
        <v>3.23</v>
      </c>
      <c r="R291" t="s">
        <v>694</v>
      </c>
      <c r="T291" t="s">
        <v>1163</v>
      </c>
    </row>
    <row r="292" spans="1:20">
      <c r="A292" t="s">
        <v>353</v>
      </c>
      <c r="C292" t="s">
        <v>1162</v>
      </c>
      <c r="D292">
        <v>2008</v>
      </c>
      <c r="E292" s="40">
        <v>45884</v>
      </c>
      <c r="F292" s="40" t="s">
        <v>1272</v>
      </c>
      <c r="G292" t="s">
        <v>205</v>
      </c>
      <c r="H292" t="s">
        <v>788</v>
      </c>
      <c r="I292" t="s">
        <v>313</v>
      </c>
      <c r="J292" t="s">
        <v>344</v>
      </c>
      <c r="K292" t="s">
        <v>1126</v>
      </c>
      <c r="L292" t="s">
        <v>283</v>
      </c>
      <c r="M292">
        <v>1951</v>
      </c>
      <c r="N292">
        <v>2002</v>
      </c>
      <c r="O292">
        <f t="shared" si="7"/>
        <v>52</v>
      </c>
      <c r="Q292">
        <v>3.24</v>
      </c>
      <c r="R292" t="s">
        <v>694</v>
      </c>
      <c r="T292" t="s">
        <v>1163</v>
      </c>
    </row>
    <row r="293" spans="1:20">
      <c r="A293" t="s">
        <v>353</v>
      </c>
      <c r="C293" t="s">
        <v>1162</v>
      </c>
      <c r="D293">
        <v>2008</v>
      </c>
      <c r="E293" s="40">
        <v>45884</v>
      </c>
      <c r="F293" s="40" t="s">
        <v>1272</v>
      </c>
      <c r="G293" t="s">
        <v>205</v>
      </c>
      <c r="H293" t="s">
        <v>788</v>
      </c>
      <c r="I293" t="s">
        <v>290</v>
      </c>
      <c r="J293" t="s">
        <v>344</v>
      </c>
      <c r="K293" t="s">
        <v>1126</v>
      </c>
      <c r="L293" t="s">
        <v>283</v>
      </c>
      <c r="M293">
        <v>1951</v>
      </c>
      <c r="N293">
        <v>2002</v>
      </c>
      <c r="O293">
        <f t="shared" si="7"/>
        <v>52</v>
      </c>
      <c r="Q293">
        <v>2.31</v>
      </c>
      <c r="R293" t="s">
        <v>694</v>
      </c>
      <c r="T293" t="s">
        <v>1163</v>
      </c>
    </row>
    <row r="294" spans="1:20">
      <c r="A294" t="s">
        <v>353</v>
      </c>
      <c r="C294" t="s">
        <v>1162</v>
      </c>
      <c r="D294">
        <v>2008</v>
      </c>
      <c r="E294" s="40">
        <v>45884</v>
      </c>
      <c r="F294" s="40" t="s">
        <v>1272</v>
      </c>
      <c r="G294" t="s">
        <v>205</v>
      </c>
      <c r="H294" t="s">
        <v>788</v>
      </c>
      <c r="I294" t="s">
        <v>355</v>
      </c>
      <c r="J294" t="s">
        <v>344</v>
      </c>
      <c r="K294" t="s">
        <v>1126</v>
      </c>
      <c r="L294" t="s">
        <v>283</v>
      </c>
      <c r="M294">
        <v>1951</v>
      </c>
      <c r="N294">
        <v>2002</v>
      </c>
      <c r="O294">
        <f t="shared" si="7"/>
        <v>52</v>
      </c>
      <c r="Q294">
        <v>3.24</v>
      </c>
      <c r="R294" t="s">
        <v>694</v>
      </c>
      <c r="T294" t="s">
        <v>1163</v>
      </c>
    </row>
    <row r="295" spans="1:20">
      <c r="A295" t="s">
        <v>353</v>
      </c>
      <c r="C295" t="s">
        <v>1162</v>
      </c>
      <c r="D295">
        <v>2008</v>
      </c>
      <c r="E295" s="40">
        <v>45884</v>
      </c>
      <c r="F295" s="40" t="s">
        <v>1272</v>
      </c>
      <c r="G295" t="s">
        <v>205</v>
      </c>
      <c r="H295" t="s">
        <v>788</v>
      </c>
      <c r="I295" t="s">
        <v>326</v>
      </c>
      <c r="J295" t="s">
        <v>344</v>
      </c>
      <c r="K295" t="s">
        <v>1126</v>
      </c>
      <c r="L295" t="s">
        <v>283</v>
      </c>
      <c r="M295">
        <v>1951</v>
      </c>
      <c r="N295">
        <v>2002</v>
      </c>
      <c r="O295">
        <f t="shared" si="7"/>
        <v>52</v>
      </c>
      <c r="Q295">
        <v>5.09</v>
      </c>
      <c r="R295" t="s">
        <v>694</v>
      </c>
      <c r="T295" t="s">
        <v>1163</v>
      </c>
    </row>
    <row r="296" spans="1:20">
      <c r="A296" t="s">
        <v>353</v>
      </c>
      <c r="C296" t="s">
        <v>1162</v>
      </c>
      <c r="D296">
        <v>2008</v>
      </c>
      <c r="E296" s="40">
        <v>45884</v>
      </c>
      <c r="F296" s="40" t="s">
        <v>1272</v>
      </c>
      <c r="G296" t="s">
        <v>205</v>
      </c>
      <c r="H296" t="s">
        <v>788</v>
      </c>
      <c r="I296" t="s">
        <v>284</v>
      </c>
      <c r="J296" t="s">
        <v>344</v>
      </c>
      <c r="K296" t="s">
        <v>1126</v>
      </c>
      <c r="L296" t="s">
        <v>283</v>
      </c>
      <c r="M296">
        <v>1951</v>
      </c>
      <c r="N296">
        <v>2002</v>
      </c>
      <c r="O296">
        <f t="shared" si="7"/>
        <v>52</v>
      </c>
      <c r="Q296">
        <v>3.7</v>
      </c>
      <c r="R296" t="s">
        <v>694</v>
      </c>
      <c r="T296" t="s">
        <v>1163</v>
      </c>
    </row>
    <row r="297" spans="1:20">
      <c r="A297" t="s">
        <v>353</v>
      </c>
      <c r="C297" t="s">
        <v>1162</v>
      </c>
      <c r="D297">
        <v>2008</v>
      </c>
      <c r="E297" s="40">
        <v>45884</v>
      </c>
      <c r="F297" s="40" t="s">
        <v>1272</v>
      </c>
      <c r="G297" t="s">
        <v>205</v>
      </c>
      <c r="H297" t="s">
        <v>788</v>
      </c>
      <c r="I297" t="s">
        <v>356</v>
      </c>
      <c r="J297" t="s">
        <v>344</v>
      </c>
      <c r="K297" t="s">
        <v>1126</v>
      </c>
      <c r="L297" t="s">
        <v>283</v>
      </c>
      <c r="M297">
        <v>1951</v>
      </c>
      <c r="N297">
        <v>2002</v>
      </c>
      <c r="O297">
        <f t="shared" si="7"/>
        <v>52</v>
      </c>
      <c r="Q297">
        <v>6.01</v>
      </c>
      <c r="R297" t="s">
        <v>694</v>
      </c>
      <c r="T297" t="s">
        <v>1163</v>
      </c>
    </row>
    <row r="298" spans="1:20">
      <c r="A298" t="s">
        <v>353</v>
      </c>
      <c r="C298" t="s">
        <v>1162</v>
      </c>
      <c r="D298">
        <v>2008</v>
      </c>
      <c r="E298" s="40">
        <v>45884</v>
      </c>
      <c r="F298" s="40" t="s">
        <v>1272</v>
      </c>
      <c r="G298" t="s">
        <v>205</v>
      </c>
      <c r="H298" t="s">
        <v>788</v>
      </c>
      <c r="I298" t="s">
        <v>310</v>
      </c>
      <c r="J298" t="s">
        <v>344</v>
      </c>
      <c r="K298" t="s">
        <v>1126</v>
      </c>
      <c r="L298" t="s">
        <v>283</v>
      </c>
      <c r="M298">
        <v>1951</v>
      </c>
      <c r="N298">
        <v>2002</v>
      </c>
      <c r="O298">
        <f t="shared" si="7"/>
        <v>52</v>
      </c>
      <c r="Q298">
        <v>7.4</v>
      </c>
      <c r="R298" t="s">
        <v>694</v>
      </c>
      <c r="T298" t="s">
        <v>1163</v>
      </c>
    </row>
    <row r="299" spans="1:20">
      <c r="A299" t="s">
        <v>353</v>
      </c>
      <c r="C299" t="s">
        <v>1162</v>
      </c>
      <c r="D299">
        <v>2008</v>
      </c>
      <c r="E299" s="40">
        <v>45884</v>
      </c>
      <c r="F299" s="40" t="s">
        <v>1272</v>
      </c>
      <c r="G299" t="s">
        <v>205</v>
      </c>
      <c r="H299" t="s">
        <v>788</v>
      </c>
      <c r="I299" t="s">
        <v>315</v>
      </c>
      <c r="J299" t="s">
        <v>344</v>
      </c>
      <c r="K299" t="s">
        <v>1126</v>
      </c>
      <c r="L299" t="s">
        <v>283</v>
      </c>
      <c r="M299">
        <v>1951</v>
      </c>
      <c r="N299">
        <v>2002</v>
      </c>
      <c r="O299">
        <f t="shared" si="7"/>
        <v>52</v>
      </c>
      <c r="Q299">
        <v>7.4</v>
      </c>
      <c r="R299" t="s">
        <v>694</v>
      </c>
      <c r="T299" t="s">
        <v>1163</v>
      </c>
    </row>
    <row r="300" spans="1:20">
      <c r="A300" t="s">
        <v>353</v>
      </c>
      <c r="C300" t="s">
        <v>1162</v>
      </c>
      <c r="D300">
        <v>2008</v>
      </c>
      <c r="E300" s="40">
        <v>45884</v>
      </c>
      <c r="F300" s="40" t="s">
        <v>1272</v>
      </c>
      <c r="G300" t="s">
        <v>205</v>
      </c>
      <c r="H300" t="s">
        <v>788</v>
      </c>
      <c r="I300" t="s">
        <v>287</v>
      </c>
      <c r="J300" t="s">
        <v>344</v>
      </c>
      <c r="K300" t="s">
        <v>1126</v>
      </c>
      <c r="L300" t="s">
        <v>283</v>
      </c>
      <c r="M300">
        <v>1951</v>
      </c>
      <c r="N300">
        <v>2002</v>
      </c>
      <c r="O300">
        <f t="shared" si="7"/>
        <v>52</v>
      </c>
      <c r="Q300">
        <v>7.4</v>
      </c>
      <c r="R300" t="s">
        <v>694</v>
      </c>
      <c r="T300" t="s">
        <v>1163</v>
      </c>
    </row>
    <row r="301" spans="1:20">
      <c r="A301" t="s">
        <v>353</v>
      </c>
      <c r="C301" t="s">
        <v>1162</v>
      </c>
      <c r="D301">
        <v>2008</v>
      </c>
      <c r="E301" s="40">
        <v>45884</v>
      </c>
      <c r="F301" s="40" t="s">
        <v>1272</v>
      </c>
      <c r="G301" t="s">
        <v>205</v>
      </c>
      <c r="H301" t="s">
        <v>788</v>
      </c>
      <c r="I301" t="s">
        <v>357</v>
      </c>
      <c r="J301" t="s">
        <v>344</v>
      </c>
      <c r="K301" t="s">
        <v>1126</v>
      </c>
      <c r="L301" t="s">
        <v>283</v>
      </c>
      <c r="M301">
        <v>1951</v>
      </c>
      <c r="N301">
        <v>2002</v>
      </c>
      <c r="O301">
        <f t="shared" si="7"/>
        <v>52</v>
      </c>
      <c r="Q301">
        <v>7.4</v>
      </c>
      <c r="R301" t="s">
        <v>694</v>
      </c>
      <c r="T301" t="s">
        <v>1163</v>
      </c>
    </row>
    <row r="302" spans="1:20">
      <c r="A302" t="s">
        <v>353</v>
      </c>
      <c r="C302" t="s">
        <v>1162</v>
      </c>
      <c r="D302">
        <v>2008</v>
      </c>
      <c r="E302" s="40">
        <v>45884</v>
      </c>
      <c r="F302" s="40" t="s">
        <v>1272</v>
      </c>
      <c r="G302" t="s">
        <v>205</v>
      </c>
      <c r="H302" t="s">
        <v>788</v>
      </c>
      <c r="I302" t="s">
        <v>319</v>
      </c>
      <c r="J302" t="s">
        <v>344</v>
      </c>
      <c r="K302" t="s">
        <v>1126</v>
      </c>
      <c r="L302" t="s">
        <v>283</v>
      </c>
      <c r="M302">
        <v>1951</v>
      </c>
      <c r="N302">
        <v>2002</v>
      </c>
      <c r="O302">
        <f t="shared" si="7"/>
        <v>52</v>
      </c>
      <c r="Q302">
        <v>7.4</v>
      </c>
      <c r="R302" t="s">
        <v>694</v>
      </c>
      <c r="T302" t="s">
        <v>1163</v>
      </c>
    </row>
    <row r="303" spans="1:20">
      <c r="A303" t="s">
        <v>353</v>
      </c>
      <c r="C303" t="s">
        <v>1162</v>
      </c>
      <c r="D303">
        <v>2008</v>
      </c>
      <c r="E303" s="40">
        <v>45884</v>
      </c>
      <c r="F303" s="40" t="s">
        <v>1272</v>
      </c>
      <c r="G303" t="s">
        <v>205</v>
      </c>
      <c r="H303" t="s">
        <v>788</v>
      </c>
      <c r="I303" t="s">
        <v>358</v>
      </c>
      <c r="J303" t="s">
        <v>344</v>
      </c>
      <c r="K303" t="s">
        <v>1126</v>
      </c>
      <c r="L303" t="s">
        <v>283</v>
      </c>
      <c r="M303">
        <v>1951</v>
      </c>
      <c r="N303">
        <v>2002</v>
      </c>
      <c r="O303">
        <f t="shared" si="7"/>
        <v>52</v>
      </c>
      <c r="Q303">
        <v>7.86</v>
      </c>
      <c r="R303" t="s">
        <v>694</v>
      </c>
      <c r="T303" t="s">
        <v>1163</v>
      </c>
    </row>
    <row r="304" spans="1:20">
      <c r="A304" t="s">
        <v>353</v>
      </c>
      <c r="C304" t="s">
        <v>1162</v>
      </c>
      <c r="D304">
        <v>2008</v>
      </c>
      <c r="E304" s="40">
        <v>45884</v>
      </c>
      <c r="F304" s="40" t="s">
        <v>1272</v>
      </c>
      <c r="G304" t="s">
        <v>205</v>
      </c>
      <c r="H304" t="s">
        <v>788</v>
      </c>
      <c r="I304" t="s">
        <v>359</v>
      </c>
      <c r="J304" t="s">
        <v>344</v>
      </c>
      <c r="K304" t="s">
        <v>1126</v>
      </c>
      <c r="L304" t="s">
        <v>283</v>
      </c>
      <c r="M304">
        <v>1951</v>
      </c>
      <c r="N304">
        <v>2002</v>
      </c>
      <c r="O304">
        <f t="shared" si="7"/>
        <v>52</v>
      </c>
      <c r="Q304">
        <v>8.7899999999999991</v>
      </c>
      <c r="R304" t="s">
        <v>694</v>
      </c>
      <c r="T304" t="s">
        <v>1163</v>
      </c>
    </row>
    <row r="305" spans="1:20">
      <c r="A305" t="s">
        <v>353</v>
      </c>
      <c r="C305" t="s">
        <v>1162</v>
      </c>
      <c r="D305">
        <v>2008</v>
      </c>
      <c r="E305" s="40">
        <v>45884</v>
      </c>
      <c r="F305" s="40" t="s">
        <v>1272</v>
      </c>
      <c r="G305" t="s">
        <v>205</v>
      </c>
      <c r="H305" t="s">
        <v>788</v>
      </c>
      <c r="I305" t="s">
        <v>323</v>
      </c>
      <c r="J305" t="s">
        <v>344</v>
      </c>
      <c r="K305" t="s">
        <v>1126</v>
      </c>
      <c r="L305" t="s">
        <v>283</v>
      </c>
      <c r="M305">
        <v>1951</v>
      </c>
      <c r="N305">
        <v>2002</v>
      </c>
      <c r="O305">
        <f t="shared" si="7"/>
        <v>52</v>
      </c>
      <c r="Q305">
        <v>7.4</v>
      </c>
      <c r="R305" t="s">
        <v>694</v>
      </c>
      <c r="T305" t="s">
        <v>1163</v>
      </c>
    </row>
    <row r="306" spans="1:20">
      <c r="A306" t="s">
        <v>353</v>
      </c>
      <c r="C306" t="s">
        <v>1162</v>
      </c>
      <c r="D306">
        <v>2008</v>
      </c>
      <c r="E306" s="40">
        <v>45884</v>
      </c>
      <c r="F306" s="40" t="s">
        <v>1272</v>
      </c>
      <c r="G306" t="s">
        <v>205</v>
      </c>
      <c r="H306" t="s">
        <v>788</v>
      </c>
      <c r="I306" t="s">
        <v>286</v>
      </c>
      <c r="J306" t="s">
        <v>344</v>
      </c>
      <c r="K306" t="s">
        <v>1126</v>
      </c>
      <c r="L306" t="s">
        <v>283</v>
      </c>
      <c r="M306">
        <v>1951</v>
      </c>
      <c r="N306">
        <v>2002</v>
      </c>
      <c r="O306">
        <f t="shared" si="7"/>
        <v>52</v>
      </c>
      <c r="Q306">
        <v>10.18</v>
      </c>
      <c r="R306" t="s">
        <v>694</v>
      </c>
      <c r="T306" t="s">
        <v>1163</v>
      </c>
    </row>
    <row r="307" spans="1:20">
      <c r="A307" t="s">
        <v>353</v>
      </c>
      <c r="C307" t="s">
        <v>1162</v>
      </c>
      <c r="D307">
        <v>2008</v>
      </c>
      <c r="E307" s="40">
        <v>45884</v>
      </c>
      <c r="F307" s="40" t="s">
        <v>1272</v>
      </c>
      <c r="G307" t="s">
        <v>205</v>
      </c>
      <c r="H307" t="s">
        <v>788</v>
      </c>
      <c r="I307" t="s">
        <v>360</v>
      </c>
      <c r="J307" t="s">
        <v>344</v>
      </c>
      <c r="K307" t="s">
        <v>1126</v>
      </c>
      <c r="L307" t="s">
        <v>283</v>
      </c>
      <c r="M307">
        <v>1951</v>
      </c>
      <c r="N307">
        <v>2002</v>
      </c>
      <c r="O307">
        <f t="shared" si="7"/>
        <v>52</v>
      </c>
      <c r="Q307">
        <v>9.25</v>
      </c>
      <c r="R307" t="s">
        <v>694</v>
      </c>
      <c r="T307" t="s">
        <v>1163</v>
      </c>
    </row>
    <row r="308" spans="1:20">
      <c r="A308" t="s">
        <v>353</v>
      </c>
      <c r="C308" t="s">
        <v>1162</v>
      </c>
      <c r="D308">
        <v>2008</v>
      </c>
      <c r="E308" s="40">
        <v>45884</v>
      </c>
      <c r="F308" s="40" t="s">
        <v>1272</v>
      </c>
      <c r="G308" t="s">
        <v>205</v>
      </c>
      <c r="H308" t="s">
        <v>788</v>
      </c>
      <c r="I308" t="s">
        <v>325</v>
      </c>
      <c r="J308" t="s">
        <v>344</v>
      </c>
      <c r="K308" t="s">
        <v>1126</v>
      </c>
      <c r="L308" t="s">
        <v>283</v>
      </c>
      <c r="M308">
        <v>1951</v>
      </c>
      <c r="N308">
        <v>2002</v>
      </c>
      <c r="O308">
        <f t="shared" si="7"/>
        <v>52</v>
      </c>
      <c r="Q308">
        <v>10.64</v>
      </c>
      <c r="R308" t="s">
        <v>694</v>
      </c>
      <c r="T308" t="s">
        <v>1163</v>
      </c>
    </row>
    <row r="309" spans="1:20">
      <c r="A309" t="s">
        <v>353</v>
      </c>
      <c r="C309" t="s">
        <v>1162</v>
      </c>
      <c r="D309">
        <v>2008</v>
      </c>
      <c r="E309" s="40">
        <v>45884</v>
      </c>
      <c r="F309" s="40" t="s">
        <v>1272</v>
      </c>
      <c r="G309" t="s">
        <v>205</v>
      </c>
      <c r="H309" t="s">
        <v>788</v>
      </c>
      <c r="I309" t="s">
        <v>361</v>
      </c>
      <c r="J309" t="s">
        <v>344</v>
      </c>
      <c r="K309" t="s">
        <v>1126</v>
      </c>
      <c r="L309" t="s">
        <v>283</v>
      </c>
      <c r="M309">
        <v>1951</v>
      </c>
      <c r="N309">
        <v>2002</v>
      </c>
      <c r="O309">
        <f t="shared" si="7"/>
        <v>52</v>
      </c>
      <c r="Q309">
        <v>13.41</v>
      </c>
      <c r="R309" t="s">
        <v>694</v>
      </c>
      <c r="T309" t="s">
        <v>1163</v>
      </c>
    </row>
    <row r="310" spans="1:20">
      <c r="A310" t="s">
        <v>353</v>
      </c>
      <c r="C310" t="s">
        <v>1162</v>
      </c>
      <c r="D310">
        <v>2008</v>
      </c>
      <c r="E310" s="40">
        <v>45884</v>
      </c>
      <c r="F310" s="40" t="s">
        <v>1272</v>
      </c>
      <c r="G310" t="s">
        <v>205</v>
      </c>
      <c r="H310" t="s">
        <v>788</v>
      </c>
      <c r="I310" t="s">
        <v>308</v>
      </c>
      <c r="J310" t="s">
        <v>344</v>
      </c>
      <c r="K310" t="s">
        <v>1126</v>
      </c>
      <c r="L310" t="s">
        <v>283</v>
      </c>
      <c r="M310">
        <v>1951</v>
      </c>
      <c r="N310">
        <v>2002</v>
      </c>
      <c r="O310">
        <f t="shared" si="7"/>
        <v>52</v>
      </c>
      <c r="Q310">
        <v>17.579999999999998</v>
      </c>
      <c r="R310" t="s">
        <v>694</v>
      </c>
      <c r="T310" t="s">
        <v>1163</v>
      </c>
    </row>
    <row r="311" spans="1:20">
      <c r="A311" t="s">
        <v>353</v>
      </c>
      <c r="C311" t="s">
        <v>1162</v>
      </c>
      <c r="D311">
        <v>2008</v>
      </c>
      <c r="E311" s="40">
        <v>45884</v>
      </c>
      <c r="F311" s="40" t="s">
        <v>1272</v>
      </c>
      <c r="G311" t="s">
        <v>205</v>
      </c>
      <c r="H311" t="s">
        <v>788</v>
      </c>
      <c r="I311" t="s">
        <v>362</v>
      </c>
      <c r="J311" t="s">
        <v>344</v>
      </c>
      <c r="K311" t="s">
        <v>1126</v>
      </c>
      <c r="L311" t="s">
        <v>283</v>
      </c>
      <c r="M311">
        <v>1951</v>
      </c>
      <c r="N311">
        <v>2002</v>
      </c>
      <c r="O311">
        <f t="shared" si="7"/>
        <v>52</v>
      </c>
      <c r="Q311">
        <v>0</v>
      </c>
      <c r="R311" t="s">
        <v>41</v>
      </c>
      <c r="T311" t="s">
        <v>1163</v>
      </c>
    </row>
    <row r="312" spans="1:20">
      <c r="A312" t="s">
        <v>353</v>
      </c>
      <c r="C312" t="s">
        <v>1162</v>
      </c>
      <c r="D312">
        <v>2008</v>
      </c>
      <c r="E312" s="40">
        <v>45884</v>
      </c>
      <c r="F312" s="40" t="s">
        <v>1272</v>
      </c>
      <c r="G312" t="s">
        <v>205</v>
      </c>
      <c r="H312" t="s">
        <v>788</v>
      </c>
      <c r="I312" t="s">
        <v>320</v>
      </c>
      <c r="J312" t="s">
        <v>344</v>
      </c>
      <c r="K312" t="s">
        <v>1126</v>
      </c>
      <c r="L312" t="s">
        <v>283</v>
      </c>
      <c r="M312">
        <v>1951</v>
      </c>
      <c r="N312">
        <v>2002</v>
      </c>
      <c r="O312">
        <f t="shared" si="7"/>
        <v>52</v>
      </c>
      <c r="Q312">
        <v>0</v>
      </c>
      <c r="R312" t="s">
        <v>41</v>
      </c>
      <c r="T312" t="s">
        <v>1163</v>
      </c>
    </row>
    <row r="313" spans="1:20">
      <c r="A313" t="s">
        <v>353</v>
      </c>
      <c r="C313" t="s">
        <v>1162</v>
      </c>
      <c r="D313">
        <v>2008</v>
      </c>
      <c r="E313" s="40">
        <v>45884</v>
      </c>
      <c r="F313" s="40" t="s">
        <v>1272</v>
      </c>
      <c r="G313" t="s">
        <v>205</v>
      </c>
      <c r="H313" t="s">
        <v>788</v>
      </c>
      <c r="I313" t="s">
        <v>364</v>
      </c>
      <c r="J313" t="s">
        <v>344</v>
      </c>
      <c r="K313" t="s">
        <v>1126</v>
      </c>
      <c r="L313" t="s">
        <v>283</v>
      </c>
      <c r="M313">
        <v>1951</v>
      </c>
      <c r="N313">
        <v>2002</v>
      </c>
      <c r="O313">
        <f t="shared" si="7"/>
        <v>52</v>
      </c>
      <c r="Q313">
        <v>-17.11</v>
      </c>
      <c r="R313" t="s">
        <v>41</v>
      </c>
      <c r="T313" t="s">
        <v>1163</v>
      </c>
    </row>
    <row r="314" spans="1:20">
      <c r="A314" t="s">
        <v>353</v>
      </c>
      <c r="C314" t="s">
        <v>1162</v>
      </c>
      <c r="D314">
        <v>2008</v>
      </c>
      <c r="E314" s="40">
        <v>45884</v>
      </c>
      <c r="F314" s="40" t="s">
        <v>1272</v>
      </c>
      <c r="G314" t="s">
        <v>205</v>
      </c>
      <c r="H314" t="s">
        <v>788</v>
      </c>
      <c r="I314" t="s">
        <v>314</v>
      </c>
      <c r="J314" t="s">
        <v>344</v>
      </c>
      <c r="K314" t="s">
        <v>1126</v>
      </c>
      <c r="L314" t="s">
        <v>283</v>
      </c>
      <c r="M314">
        <v>1951</v>
      </c>
      <c r="N314">
        <v>2002</v>
      </c>
      <c r="O314">
        <f t="shared" si="7"/>
        <v>52</v>
      </c>
      <c r="Q314">
        <v>-3.24</v>
      </c>
      <c r="R314" t="s">
        <v>41</v>
      </c>
      <c r="T314" t="s">
        <v>1163</v>
      </c>
    </row>
    <row r="315" spans="1:20">
      <c r="A315" t="s">
        <v>353</v>
      </c>
      <c r="C315" t="s">
        <v>1162</v>
      </c>
      <c r="D315">
        <v>2008</v>
      </c>
      <c r="E315" s="40">
        <v>45884</v>
      </c>
      <c r="F315" s="40" t="s">
        <v>1272</v>
      </c>
      <c r="G315" t="s">
        <v>205</v>
      </c>
      <c r="H315" t="s">
        <v>788</v>
      </c>
      <c r="I315" t="s">
        <v>365</v>
      </c>
      <c r="J315" t="s">
        <v>344</v>
      </c>
      <c r="K315" t="s">
        <v>1126</v>
      </c>
      <c r="L315" t="s">
        <v>283</v>
      </c>
      <c r="M315">
        <v>1951</v>
      </c>
      <c r="N315">
        <v>2002</v>
      </c>
      <c r="O315">
        <f t="shared" si="7"/>
        <v>52</v>
      </c>
      <c r="Q315">
        <v>-2.31</v>
      </c>
      <c r="R315" t="s">
        <v>41</v>
      </c>
      <c r="T315" t="s">
        <v>1163</v>
      </c>
    </row>
    <row r="316" spans="1:20">
      <c r="A316" t="s">
        <v>353</v>
      </c>
      <c r="C316" t="s">
        <v>1162</v>
      </c>
      <c r="D316">
        <v>2008</v>
      </c>
      <c r="E316" s="40">
        <v>45884</v>
      </c>
      <c r="F316" s="40" t="s">
        <v>1272</v>
      </c>
      <c r="G316" t="s">
        <v>205</v>
      </c>
      <c r="H316" t="s">
        <v>788</v>
      </c>
      <c r="I316" t="s">
        <v>366</v>
      </c>
      <c r="J316" t="s">
        <v>344</v>
      </c>
      <c r="K316" t="s">
        <v>1126</v>
      </c>
      <c r="L316" t="s">
        <v>283</v>
      </c>
      <c r="M316">
        <v>1951</v>
      </c>
      <c r="N316">
        <v>2002</v>
      </c>
      <c r="O316">
        <f t="shared" si="7"/>
        <v>52</v>
      </c>
      <c r="Q316">
        <v>-3.24</v>
      </c>
      <c r="R316" t="s">
        <v>41</v>
      </c>
      <c r="T316" t="s">
        <v>1163</v>
      </c>
    </row>
    <row r="317" spans="1:20">
      <c r="A317" t="s">
        <v>353</v>
      </c>
      <c r="C317" t="s">
        <v>1162</v>
      </c>
      <c r="D317">
        <v>2008</v>
      </c>
      <c r="E317" s="40">
        <v>45884</v>
      </c>
      <c r="F317" s="40" t="s">
        <v>1272</v>
      </c>
      <c r="G317" t="s">
        <v>205</v>
      </c>
      <c r="H317" t="s">
        <v>788</v>
      </c>
      <c r="I317" t="s">
        <v>367</v>
      </c>
      <c r="J317" t="s">
        <v>344</v>
      </c>
      <c r="K317" t="s">
        <v>1126</v>
      </c>
      <c r="L317" t="s">
        <v>283</v>
      </c>
      <c r="M317">
        <v>1951</v>
      </c>
      <c r="N317">
        <v>2002</v>
      </c>
      <c r="O317">
        <f t="shared" si="7"/>
        <v>52</v>
      </c>
      <c r="Q317">
        <v>-1.39</v>
      </c>
      <c r="R317" t="s">
        <v>41</v>
      </c>
      <c r="T317" t="s">
        <v>1163</v>
      </c>
    </row>
    <row r="318" spans="1:20">
      <c r="A318" t="s">
        <v>610</v>
      </c>
      <c r="C318" s="47" t="s">
        <v>1182</v>
      </c>
      <c r="D318">
        <v>2008</v>
      </c>
      <c r="E318" s="40">
        <v>45887</v>
      </c>
      <c r="F318" t="s">
        <v>1185</v>
      </c>
      <c r="G318" t="s">
        <v>205</v>
      </c>
      <c r="H318" t="s">
        <v>964</v>
      </c>
      <c r="I318" t="s">
        <v>395</v>
      </c>
      <c r="J318" t="s">
        <v>400</v>
      </c>
      <c r="K318" t="s">
        <v>1126</v>
      </c>
      <c r="L318" t="s">
        <v>1273</v>
      </c>
      <c r="M318">
        <v>1982</v>
      </c>
      <c r="N318">
        <v>2006</v>
      </c>
      <c r="O318">
        <f t="shared" si="7"/>
        <v>25</v>
      </c>
      <c r="Q318">
        <v>-0.8</v>
      </c>
      <c r="R318" t="s">
        <v>41</v>
      </c>
      <c r="T318" t="s">
        <v>1187</v>
      </c>
    </row>
    <row r="319" spans="1:20">
      <c r="A319" t="s">
        <v>610</v>
      </c>
      <c r="C319" t="s">
        <v>1183</v>
      </c>
      <c r="D319">
        <v>2008</v>
      </c>
      <c r="E319" s="40">
        <v>45887</v>
      </c>
      <c r="F319" t="s">
        <v>1185</v>
      </c>
      <c r="G319" t="s">
        <v>205</v>
      </c>
      <c r="H319" t="s">
        <v>964</v>
      </c>
      <c r="I319" t="s">
        <v>410</v>
      </c>
      <c r="J319" t="s">
        <v>400</v>
      </c>
      <c r="K319" t="s">
        <v>1126</v>
      </c>
      <c r="L319" t="s">
        <v>1273</v>
      </c>
      <c r="M319">
        <v>1982</v>
      </c>
      <c r="N319">
        <v>2006</v>
      </c>
      <c r="O319">
        <f t="shared" si="7"/>
        <v>25</v>
      </c>
      <c r="Q319">
        <v>18.799999999999997</v>
      </c>
      <c r="R319" t="s">
        <v>694</v>
      </c>
      <c r="T319" t="s">
        <v>1187</v>
      </c>
    </row>
    <row r="320" spans="1:20">
      <c r="A320" t="s">
        <v>610</v>
      </c>
      <c r="C320" t="s">
        <v>1184</v>
      </c>
      <c r="D320">
        <v>2008</v>
      </c>
      <c r="E320" s="40">
        <v>45887</v>
      </c>
      <c r="F320" t="s">
        <v>1185</v>
      </c>
      <c r="G320" t="s">
        <v>205</v>
      </c>
      <c r="H320" t="s">
        <v>964</v>
      </c>
      <c r="I320" t="s">
        <v>411</v>
      </c>
      <c r="J320" t="s">
        <v>400</v>
      </c>
      <c r="K320" t="s">
        <v>1126</v>
      </c>
      <c r="L320" t="s">
        <v>1273</v>
      </c>
      <c r="M320">
        <v>1982</v>
      </c>
      <c r="N320">
        <v>2006</v>
      </c>
      <c r="O320">
        <f t="shared" si="7"/>
        <v>25</v>
      </c>
      <c r="Q320">
        <v>24.8</v>
      </c>
      <c r="R320" t="s">
        <v>694</v>
      </c>
      <c r="T320" t="s">
        <v>1187</v>
      </c>
    </row>
    <row r="321" spans="1:20">
      <c r="A321" t="s">
        <v>610</v>
      </c>
      <c r="C321" t="s">
        <v>1186</v>
      </c>
      <c r="D321">
        <v>2008</v>
      </c>
      <c r="E321" s="40">
        <v>45887</v>
      </c>
      <c r="F321" t="s">
        <v>1185</v>
      </c>
      <c r="G321" t="s">
        <v>205</v>
      </c>
      <c r="H321" t="s">
        <v>964</v>
      </c>
      <c r="I321" t="s">
        <v>412</v>
      </c>
      <c r="J321" t="s">
        <v>400</v>
      </c>
      <c r="K321" t="s">
        <v>1126</v>
      </c>
      <c r="L321" t="s">
        <v>1273</v>
      </c>
      <c r="M321">
        <v>1982</v>
      </c>
      <c r="N321">
        <v>2006</v>
      </c>
      <c r="O321">
        <f t="shared" si="7"/>
        <v>25</v>
      </c>
      <c r="Q321">
        <v>35.6</v>
      </c>
      <c r="R321" t="s">
        <v>694</v>
      </c>
      <c r="T321" t="s">
        <v>1187</v>
      </c>
    </row>
    <row r="322" spans="1:20">
      <c r="A322" t="s">
        <v>616</v>
      </c>
      <c r="C322" t="s">
        <v>1274</v>
      </c>
      <c r="D322">
        <v>2008</v>
      </c>
      <c r="E322" s="40">
        <v>45887</v>
      </c>
      <c r="F322" t="s">
        <v>1185</v>
      </c>
      <c r="G322" t="s">
        <v>205</v>
      </c>
      <c r="H322" t="s">
        <v>1192</v>
      </c>
      <c r="I322" t="s">
        <v>540</v>
      </c>
      <c r="J322" t="s">
        <v>431</v>
      </c>
      <c r="K322" t="s">
        <v>1126</v>
      </c>
      <c r="L322" t="s">
        <v>1275</v>
      </c>
      <c r="M322">
        <v>1872</v>
      </c>
      <c r="N322">
        <v>2006</v>
      </c>
      <c r="O322">
        <f t="shared" si="7"/>
        <v>135</v>
      </c>
      <c r="Q322">
        <v>35.71</v>
      </c>
      <c r="R322" t="s">
        <v>694</v>
      </c>
      <c r="T322" t="s">
        <v>1187</v>
      </c>
    </row>
    <row r="323" spans="1:20">
      <c r="A323" t="s">
        <v>1038</v>
      </c>
      <c r="C323" t="s">
        <v>1176</v>
      </c>
      <c r="D323">
        <v>2007</v>
      </c>
      <c r="E323" s="40">
        <v>45887</v>
      </c>
      <c r="F323" s="40" t="s">
        <v>1272</v>
      </c>
      <c r="G323" t="s">
        <v>152</v>
      </c>
      <c r="H323" t="s">
        <v>1177</v>
      </c>
      <c r="I323" t="s">
        <v>1178</v>
      </c>
      <c r="J323" t="s">
        <v>431</v>
      </c>
      <c r="K323" t="s">
        <v>1127</v>
      </c>
      <c r="L323" t="s">
        <v>1179</v>
      </c>
      <c r="M323">
        <v>1983</v>
      </c>
      <c r="N323">
        <v>2006</v>
      </c>
      <c r="O323">
        <f t="shared" si="7"/>
        <v>24</v>
      </c>
      <c r="P323" t="s">
        <v>1052</v>
      </c>
      <c r="Q323">
        <v>693.75</v>
      </c>
      <c r="R323" t="s">
        <v>694</v>
      </c>
      <c r="T323" t="s">
        <v>1163</v>
      </c>
    </row>
    <row r="324" spans="1:20">
      <c r="A324" t="s">
        <v>351</v>
      </c>
      <c r="C324" t="s">
        <v>1181</v>
      </c>
      <c r="D324">
        <v>2005</v>
      </c>
      <c r="E324" s="40">
        <v>45887</v>
      </c>
      <c r="F324" s="40" t="s">
        <v>1272</v>
      </c>
      <c r="G324" t="s">
        <v>152</v>
      </c>
      <c r="H324" t="s">
        <v>1078</v>
      </c>
      <c r="I324" t="s">
        <v>352</v>
      </c>
      <c r="J324" t="s">
        <v>431</v>
      </c>
      <c r="K324" t="s">
        <v>1126</v>
      </c>
      <c r="L324" t="s">
        <v>204</v>
      </c>
      <c r="M324">
        <v>1958</v>
      </c>
      <c r="N324">
        <v>2004</v>
      </c>
      <c r="O324">
        <f t="shared" si="7"/>
        <v>47</v>
      </c>
      <c r="P324" t="s">
        <v>1052</v>
      </c>
      <c r="Q324">
        <v>310</v>
      </c>
      <c r="R324" t="s">
        <v>694</v>
      </c>
      <c r="T324" t="s">
        <v>1163</v>
      </c>
    </row>
    <row r="325" spans="1:20">
      <c r="A325" t="s">
        <v>1037</v>
      </c>
      <c r="C325" t="s">
        <v>1143</v>
      </c>
      <c r="D325">
        <v>2005</v>
      </c>
      <c r="E325" s="40">
        <v>45883</v>
      </c>
      <c r="F325" s="40" t="s">
        <v>1272</v>
      </c>
      <c r="G325" t="s">
        <v>199</v>
      </c>
      <c r="H325" t="s">
        <v>1014</v>
      </c>
      <c r="I325" t="s">
        <v>66</v>
      </c>
      <c r="J325" t="s">
        <v>344</v>
      </c>
      <c r="K325" t="s">
        <v>1126</v>
      </c>
      <c r="L325" t="s">
        <v>1144</v>
      </c>
      <c r="M325">
        <v>1958</v>
      </c>
      <c r="N325">
        <v>2002</v>
      </c>
      <c r="O325">
        <f t="shared" si="7"/>
        <v>45</v>
      </c>
      <c r="Q325">
        <v>9.8699999999999992</v>
      </c>
      <c r="R325" t="s">
        <v>694</v>
      </c>
      <c r="S325" t="s">
        <v>1145</v>
      </c>
      <c r="T325" t="s">
        <v>1142</v>
      </c>
    </row>
    <row r="326" spans="1:20">
      <c r="A326" t="s">
        <v>1037</v>
      </c>
      <c r="C326" t="s">
        <v>1143</v>
      </c>
      <c r="D326">
        <v>2005</v>
      </c>
      <c r="E326" s="40">
        <v>45883</v>
      </c>
      <c r="F326" s="40" t="s">
        <v>1272</v>
      </c>
      <c r="G326" t="s">
        <v>199</v>
      </c>
      <c r="H326" t="s">
        <v>1014</v>
      </c>
      <c r="I326" t="s">
        <v>65</v>
      </c>
      <c r="J326" t="s">
        <v>344</v>
      </c>
      <c r="K326" t="s">
        <v>1126</v>
      </c>
      <c r="L326" t="s">
        <v>1144</v>
      </c>
      <c r="M326">
        <v>1958</v>
      </c>
      <c r="N326">
        <v>2002</v>
      </c>
      <c r="O326">
        <f t="shared" si="7"/>
        <v>45</v>
      </c>
      <c r="Q326">
        <v>12.33</v>
      </c>
      <c r="R326" t="s">
        <v>694</v>
      </c>
      <c r="S326" t="s">
        <v>1145</v>
      </c>
      <c r="T326" t="s">
        <v>1142</v>
      </c>
    </row>
    <row r="327" spans="1:20">
      <c r="A327" t="s">
        <v>1039</v>
      </c>
      <c r="C327" s="47" t="s">
        <v>1146</v>
      </c>
      <c r="D327">
        <v>2005</v>
      </c>
      <c r="E327" s="40">
        <v>45883</v>
      </c>
      <c r="F327" s="40" t="s">
        <v>1272</v>
      </c>
      <c r="G327" t="s">
        <v>199</v>
      </c>
      <c r="H327" t="s">
        <v>1014</v>
      </c>
      <c r="I327" t="s">
        <v>370</v>
      </c>
      <c r="J327" t="s">
        <v>431</v>
      </c>
      <c r="K327" t="s">
        <v>1126</v>
      </c>
      <c r="L327" t="s">
        <v>1144</v>
      </c>
      <c r="M327">
        <v>1978</v>
      </c>
      <c r="N327">
        <v>2000</v>
      </c>
      <c r="O327">
        <f t="shared" si="7"/>
        <v>23</v>
      </c>
      <c r="Q327">
        <v>157</v>
      </c>
      <c r="R327" t="s">
        <v>694</v>
      </c>
      <c r="S327" t="s">
        <v>1147</v>
      </c>
      <c r="T327" t="s">
        <v>1142</v>
      </c>
    </row>
    <row r="328" spans="1:20">
      <c r="A328" t="s">
        <v>1039</v>
      </c>
      <c r="C328" s="47" t="s">
        <v>1146</v>
      </c>
      <c r="D328">
        <v>2005</v>
      </c>
      <c r="E328" s="40">
        <v>45883</v>
      </c>
      <c r="F328" s="40" t="s">
        <v>1272</v>
      </c>
      <c r="G328" t="s">
        <v>199</v>
      </c>
      <c r="H328" t="s">
        <v>1014</v>
      </c>
      <c r="I328" t="s">
        <v>369</v>
      </c>
      <c r="J328" t="s">
        <v>431</v>
      </c>
      <c r="K328" t="s">
        <v>1126</v>
      </c>
      <c r="L328" t="s">
        <v>1144</v>
      </c>
      <c r="M328">
        <v>1978</v>
      </c>
      <c r="N328">
        <v>2000</v>
      </c>
      <c r="O328">
        <f t="shared" si="7"/>
        <v>23</v>
      </c>
      <c r="Q328">
        <v>157</v>
      </c>
      <c r="R328" t="s">
        <v>694</v>
      </c>
      <c r="S328" t="s">
        <v>1147</v>
      </c>
      <c r="T328" t="s">
        <v>1142</v>
      </c>
    </row>
    <row r="329" spans="1:20">
      <c r="A329" t="s">
        <v>613</v>
      </c>
      <c r="C329" s="47" t="s">
        <v>1267</v>
      </c>
      <c r="D329">
        <v>2004</v>
      </c>
      <c r="E329" s="40">
        <v>45887</v>
      </c>
      <c r="F329" t="s">
        <v>1185</v>
      </c>
      <c r="G329" t="s">
        <v>205</v>
      </c>
      <c r="H329" t="s">
        <v>964</v>
      </c>
      <c r="I329" t="s">
        <v>1268</v>
      </c>
      <c r="J329" t="s">
        <v>400</v>
      </c>
      <c r="K329" t="s">
        <v>1126</v>
      </c>
      <c r="L329" t="s">
        <v>1273</v>
      </c>
      <c r="M329">
        <v>1978</v>
      </c>
      <c r="N329">
        <v>2001</v>
      </c>
      <c r="O329">
        <f t="shared" si="7"/>
        <v>24</v>
      </c>
      <c r="Q329">
        <v>115.96000000000001</v>
      </c>
      <c r="R329" t="s">
        <v>694</v>
      </c>
      <c r="T329" t="s">
        <v>1187</v>
      </c>
    </row>
    <row r="330" spans="1:20">
      <c r="A330" t="s">
        <v>613</v>
      </c>
      <c r="C330" t="s">
        <v>1267</v>
      </c>
      <c r="D330">
        <v>2004</v>
      </c>
      <c r="E330" s="40">
        <v>45887</v>
      </c>
      <c r="F330" t="s">
        <v>1185</v>
      </c>
      <c r="G330" t="s">
        <v>205</v>
      </c>
      <c r="H330" t="s">
        <v>964</v>
      </c>
      <c r="I330" t="s">
        <v>506</v>
      </c>
      <c r="J330" t="s">
        <v>400</v>
      </c>
      <c r="K330" t="s">
        <v>1126</v>
      </c>
      <c r="L330" t="s">
        <v>1273</v>
      </c>
      <c r="M330">
        <v>1995</v>
      </c>
      <c r="N330">
        <v>2001</v>
      </c>
      <c r="O330">
        <f t="shared" si="7"/>
        <v>7</v>
      </c>
      <c r="Q330">
        <v>-120.19999999999999</v>
      </c>
      <c r="R330" t="s">
        <v>41</v>
      </c>
      <c r="T330" t="s">
        <v>1187</v>
      </c>
    </row>
    <row r="331" spans="1:20">
      <c r="A331" t="s">
        <v>613</v>
      </c>
      <c r="C331" t="s">
        <v>1267</v>
      </c>
      <c r="D331">
        <v>2004</v>
      </c>
      <c r="E331" s="40">
        <v>45887</v>
      </c>
      <c r="F331" t="s">
        <v>1185</v>
      </c>
      <c r="G331" t="s">
        <v>205</v>
      </c>
      <c r="H331" t="s">
        <v>964</v>
      </c>
      <c r="I331" t="s">
        <v>508</v>
      </c>
      <c r="J331" t="s">
        <v>400</v>
      </c>
      <c r="K331" t="s">
        <v>1126</v>
      </c>
      <c r="L331" t="s">
        <v>1273</v>
      </c>
      <c r="M331">
        <v>1995</v>
      </c>
      <c r="N331">
        <v>2001</v>
      </c>
      <c r="O331">
        <f t="shared" si="7"/>
        <v>7</v>
      </c>
      <c r="Q331">
        <v>-101.5</v>
      </c>
      <c r="R331" t="s">
        <v>41</v>
      </c>
      <c r="T331" t="s">
        <v>1187</v>
      </c>
    </row>
    <row r="332" spans="1:20">
      <c r="A332" t="s">
        <v>613</v>
      </c>
      <c r="C332" t="s">
        <v>1267</v>
      </c>
      <c r="D332">
        <v>2004</v>
      </c>
      <c r="E332" s="40">
        <v>45887</v>
      </c>
      <c r="F332" t="s">
        <v>1185</v>
      </c>
      <c r="G332" t="s">
        <v>205</v>
      </c>
      <c r="H332" t="s">
        <v>964</v>
      </c>
      <c r="I332" t="s">
        <v>509</v>
      </c>
      <c r="J332" t="s">
        <v>400</v>
      </c>
      <c r="K332" t="s">
        <v>1126</v>
      </c>
      <c r="L332" t="s">
        <v>1273</v>
      </c>
      <c r="M332">
        <v>1984</v>
      </c>
      <c r="N332">
        <v>2001</v>
      </c>
      <c r="O332">
        <f t="shared" si="7"/>
        <v>18</v>
      </c>
      <c r="Q332">
        <v>-42.1</v>
      </c>
      <c r="R332" t="s">
        <v>41</v>
      </c>
      <c r="T332" t="s">
        <v>1187</v>
      </c>
    </row>
    <row r="333" spans="1:20">
      <c r="A333" t="s">
        <v>613</v>
      </c>
      <c r="C333" t="s">
        <v>1267</v>
      </c>
      <c r="D333">
        <v>2004</v>
      </c>
      <c r="E333" s="40">
        <v>45887</v>
      </c>
      <c r="F333" t="s">
        <v>1185</v>
      </c>
      <c r="G333" t="s">
        <v>205</v>
      </c>
      <c r="H333" t="s">
        <v>964</v>
      </c>
      <c r="I333" t="s">
        <v>410</v>
      </c>
      <c r="J333" t="s">
        <v>400</v>
      </c>
      <c r="K333" t="s">
        <v>1126</v>
      </c>
      <c r="L333" t="s">
        <v>1273</v>
      </c>
      <c r="M333">
        <v>1995</v>
      </c>
      <c r="N333">
        <v>2001</v>
      </c>
      <c r="O333">
        <f t="shared" ref="O333:O351" si="8">N333-M333+1</f>
        <v>7</v>
      </c>
      <c r="Q333">
        <v>-38.17</v>
      </c>
      <c r="R333" t="s">
        <v>41</v>
      </c>
      <c r="T333" t="s">
        <v>1187</v>
      </c>
    </row>
    <row r="334" spans="1:20">
      <c r="A334" t="s">
        <v>613</v>
      </c>
      <c r="C334" t="s">
        <v>1267</v>
      </c>
      <c r="D334">
        <v>2004</v>
      </c>
      <c r="E334" s="40">
        <v>45887</v>
      </c>
      <c r="F334" t="s">
        <v>1185</v>
      </c>
      <c r="G334" t="s">
        <v>205</v>
      </c>
      <c r="H334" t="s">
        <v>964</v>
      </c>
      <c r="I334" t="s">
        <v>395</v>
      </c>
      <c r="J334" t="s">
        <v>400</v>
      </c>
      <c r="K334" t="s">
        <v>1126</v>
      </c>
      <c r="L334" t="s">
        <v>1273</v>
      </c>
      <c r="M334">
        <v>1984</v>
      </c>
      <c r="N334">
        <v>2001</v>
      </c>
      <c r="O334">
        <f t="shared" si="8"/>
        <v>18</v>
      </c>
      <c r="Q334">
        <v>-33.19</v>
      </c>
      <c r="R334" t="s">
        <v>41</v>
      </c>
      <c r="T334" t="s">
        <v>1187</v>
      </c>
    </row>
    <row r="335" spans="1:20">
      <c r="A335" t="s">
        <v>613</v>
      </c>
      <c r="C335" t="s">
        <v>1267</v>
      </c>
      <c r="D335">
        <v>2004</v>
      </c>
      <c r="E335" s="40">
        <v>45887</v>
      </c>
      <c r="F335" t="s">
        <v>1185</v>
      </c>
      <c r="G335" t="s">
        <v>205</v>
      </c>
      <c r="H335" t="s">
        <v>964</v>
      </c>
      <c r="I335" t="s">
        <v>511</v>
      </c>
      <c r="J335" t="s">
        <v>400</v>
      </c>
      <c r="K335" t="s">
        <v>1126</v>
      </c>
      <c r="L335" t="s">
        <v>1273</v>
      </c>
      <c r="M335">
        <v>1995</v>
      </c>
      <c r="N335">
        <v>2001</v>
      </c>
      <c r="O335">
        <f t="shared" si="8"/>
        <v>7</v>
      </c>
      <c r="Q335">
        <v>-29.88</v>
      </c>
      <c r="R335" t="s">
        <v>41</v>
      </c>
      <c r="T335" t="s">
        <v>1187</v>
      </c>
    </row>
    <row r="336" spans="1:20">
      <c r="A336" t="s">
        <v>613</v>
      </c>
      <c r="C336" t="s">
        <v>1267</v>
      </c>
      <c r="D336">
        <v>2004</v>
      </c>
      <c r="E336" s="40">
        <v>45887</v>
      </c>
      <c r="F336" t="s">
        <v>1185</v>
      </c>
      <c r="G336" t="s">
        <v>205</v>
      </c>
      <c r="H336" t="s">
        <v>788</v>
      </c>
      <c r="I336" t="s">
        <v>517</v>
      </c>
      <c r="J336" t="s">
        <v>400</v>
      </c>
      <c r="K336" t="s">
        <v>1126</v>
      </c>
      <c r="L336" t="s">
        <v>1273</v>
      </c>
      <c r="M336">
        <v>1977</v>
      </c>
      <c r="N336">
        <v>2001</v>
      </c>
      <c r="O336">
        <f t="shared" si="8"/>
        <v>25</v>
      </c>
      <c r="Q336">
        <v>-24.49</v>
      </c>
      <c r="R336" t="s">
        <v>41</v>
      </c>
      <c r="T336" t="s">
        <v>1187</v>
      </c>
    </row>
    <row r="337" spans="1:20">
      <c r="A337" t="s">
        <v>613</v>
      </c>
      <c r="C337" t="s">
        <v>1267</v>
      </c>
      <c r="D337">
        <v>2004</v>
      </c>
      <c r="E337" s="40">
        <v>45887</v>
      </c>
      <c r="F337" t="s">
        <v>1185</v>
      </c>
      <c r="G337" t="s">
        <v>205</v>
      </c>
      <c r="H337" t="s">
        <v>964</v>
      </c>
      <c r="I337" t="s">
        <v>519</v>
      </c>
      <c r="J337" t="s">
        <v>400</v>
      </c>
      <c r="K337" t="s">
        <v>1126</v>
      </c>
      <c r="L337" t="s">
        <v>1273</v>
      </c>
      <c r="M337">
        <v>1984</v>
      </c>
      <c r="N337">
        <v>2001</v>
      </c>
      <c r="O337">
        <f t="shared" si="8"/>
        <v>18</v>
      </c>
      <c r="Q337">
        <v>-23.98</v>
      </c>
      <c r="R337" t="s">
        <v>41</v>
      </c>
      <c r="T337" t="s">
        <v>1187</v>
      </c>
    </row>
    <row r="338" spans="1:20">
      <c r="A338" t="s">
        <v>613</v>
      </c>
      <c r="C338" t="s">
        <v>1267</v>
      </c>
      <c r="D338">
        <v>2004</v>
      </c>
      <c r="E338" s="40">
        <v>45887</v>
      </c>
      <c r="F338" t="s">
        <v>1185</v>
      </c>
      <c r="G338" t="s">
        <v>205</v>
      </c>
      <c r="H338" t="s">
        <v>964</v>
      </c>
      <c r="I338" t="s">
        <v>395</v>
      </c>
      <c r="J338" t="s">
        <v>400</v>
      </c>
      <c r="K338" t="s">
        <v>1126</v>
      </c>
      <c r="L338" t="s">
        <v>1273</v>
      </c>
      <c r="M338">
        <v>1982</v>
      </c>
      <c r="N338">
        <v>2001</v>
      </c>
      <c r="O338">
        <f t="shared" si="8"/>
        <v>20</v>
      </c>
      <c r="Q338">
        <v>-22.639999999999997</v>
      </c>
      <c r="R338" t="s">
        <v>41</v>
      </c>
      <c r="T338" t="s">
        <v>1187</v>
      </c>
    </row>
    <row r="339" spans="1:20">
      <c r="A339" t="s">
        <v>613</v>
      </c>
      <c r="C339" t="s">
        <v>1267</v>
      </c>
      <c r="D339">
        <v>2004</v>
      </c>
      <c r="E339" s="40">
        <v>45887</v>
      </c>
      <c r="F339" t="s">
        <v>1185</v>
      </c>
      <c r="G339" t="s">
        <v>205</v>
      </c>
      <c r="H339" t="s">
        <v>788</v>
      </c>
      <c r="I339" t="s">
        <v>521</v>
      </c>
      <c r="J339" t="s">
        <v>400</v>
      </c>
      <c r="K339" t="s">
        <v>1126</v>
      </c>
      <c r="L339" t="s">
        <v>1273</v>
      </c>
      <c r="M339">
        <v>1987</v>
      </c>
      <c r="N339">
        <v>2001</v>
      </c>
      <c r="O339">
        <f t="shared" si="8"/>
        <v>15</v>
      </c>
      <c r="Q339">
        <v>-19.190000000000001</v>
      </c>
      <c r="R339" t="s">
        <v>41</v>
      </c>
      <c r="T339" t="s">
        <v>1187</v>
      </c>
    </row>
    <row r="340" spans="1:20">
      <c r="A340" t="s">
        <v>613</v>
      </c>
      <c r="C340" t="s">
        <v>1267</v>
      </c>
      <c r="D340">
        <v>2004</v>
      </c>
      <c r="E340" s="40">
        <v>45887</v>
      </c>
      <c r="F340" t="s">
        <v>1185</v>
      </c>
      <c r="G340" t="s">
        <v>205</v>
      </c>
      <c r="H340" t="s">
        <v>964</v>
      </c>
      <c r="I340" t="s">
        <v>525</v>
      </c>
      <c r="J340" t="s">
        <v>400</v>
      </c>
      <c r="K340" t="s">
        <v>1126</v>
      </c>
      <c r="L340" t="s">
        <v>1273</v>
      </c>
      <c r="M340">
        <v>1987</v>
      </c>
      <c r="N340">
        <v>2001</v>
      </c>
      <c r="O340">
        <f t="shared" si="8"/>
        <v>15</v>
      </c>
      <c r="Q340">
        <v>-17.059999999999999</v>
      </c>
      <c r="R340" t="s">
        <v>41</v>
      </c>
      <c r="T340" t="s">
        <v>1187</v>
      </c>
    </row>
    <row r="341" spans="1:20">
      <c r="A341" t="s">
        <v>613</v>
      </c>
      <c r="C341" t="s">
        <v>1267</v>
      </c>
      <c r="D341">
        <v>2004</v>
      </c>
      <c r="E341" s="40">
        <v>45887</v>
      </c>
      <c r="F341" t="s">
        <v>1185</v>
      </c>
      <c r="G341" t="s">
        <v>205</v>
      </c>
      <c r="H341" t="s">
        <v>964</v>
      </c>
      <c r="I341" t="s">
        <v>394</v>
      </c>
      <c r="J341" t="s">
        <v>400</v>
      </c>
      <c r="K341" t="s">
        <v>1126</v>
      </c>
      <c r="L341" t="s">
        <v>1273</v>
      </c>
      <c r="M341">
        <v>1982</v>
      </c>
      <c r="N341">
        <v>2001</v>
      </c>
      <c r="O341">
        <f t="shared" si="8"/>
        <v>20</v>
      </c>
      <c r="Q341">
        <v>-3.54</v>
      </c>
      <c r="R341" t="s">
        <v>41</v>
      </c>
      <c r="T341" t="s">
        <v>1187</v>
      </c>
    </row>
    <row r="342" spans="1:20">
      <c r="A342" t="s">
        <v>613</v>
      </c>
      <c r="C342" t="s">
        <v>1267</v>
      </c>
      <c r="D342">
        <v>2004</v>
      </c>
      <c r="E342" s="40">
        <v>45887</v>
      </c>
      <c r="F342" t="s">
        <v>1185</v>
      </c>
      <c r="G342" t="s">
        <v>205</v>
      </c>
      <c r="H342" t="s">
        <v>208</v>
      </c>
      <c r="I342" t="s">
        <v>530</v>
      </c>
      <c r="J342" t="s">
        <v>400</v>
      </c>
      <c r="K342" t="s">
        <v>1126</v>
      </c>
      <c r="L342" t="s">
        <v>1273</v>
      </c>
      <c r="M342">
        <v>1982</v>
      </c>
      <c r="N342">
        <v>2001</v>
      </c>
      <c r="O342">
        <f t="shared" si="8"/>
        <v>20</v>
      </c>
      <c r="Q342">
        <v>-2.2200000000000002</v>
      </c>
      <c r="R342" t="s">
        <v>41</v>
      </c>
      <c r="T342" t="s">
        <v>1187</v>
      </c>
    </row>
    <row r="343" spans="1:20">
      <c r="A343" t="s">
        <v>613</v>
      </c>
      <c r="C343" t="s">
        <v>1267</v>
      </c>
      <c r="D343">
        <v>2004</v>
      </c>
      <c r="E343" s="40">
        <v>45887</v>
      </c>
      <c r="F343" t="s">
        <v>1185</v>
      </c>
      <c r="G343" t="s">
        <v>205</v>
      </c>
      <c r="H343" t="s">
        <v>964</v>
      </c>
      <c r="I343" t="s">
        <v>519</v>
      </c>
      <c r="J343" t="s">
        <v>400</v>
      </c>
      <c r="K343" t="s">
        <v>1126</v>
      </c>
      <c r="L343" t="s">
        <v>1273</v>
      </c>
      <c r="M343">
        <v>1982</v>
      </c>
      <c r="N343">
        <v>2001</v>
      </c>
      <c r="O343">
        <f t="shared" si="8"/>
        <v>20</v>
      </c>
      <c r="Q343">
        <v>8.66</v>
      </c>
      <c r="R343" t="s">
        <v>694</v>
      </c>
      <c r="T343" t="s">
        <v>1187</v>
      </c>
    </row>
    <row r="344" spans="1:20">
      <c r="A344" t="s">
        <v>613</v>
      </c>
      <c r="C344" t="s">
        <v>1267</v>
      </c>
      <c r="D344">
        <v>2004</v>
      </c>
      <c r="E344" s="40">
        <v>45887</v>
      </c>
      <c r="F344" t="s">
        <v>1185</v>
      </c>
      <c r="G344" t="s">
        <v>205</v>
      </c>
      <c r="H344" t="s">
        <v>964</v>
      </c>
      <c r="I344" t="s">
        <v>531</v>
      </c>
      <c r="J344" t="s">
        <v>400</v>
      </c>
      <c r="K344" t="s">
        <v>1126</v>
      </c>
      <c r="L344" t="s">
        <v>1273</v>
      </c>
      <c r="M344">
        <v>1987</v>
      </c>
      <c r="N344">
        <v>2001</v>
      </c>
      <c r="O344">
        <f t="shared" si="8"/>
        <v>15</v>
      </c>
      <c r="Q344">
        <v>12.190000000000001</v>
      </c>
      <c r="R344" t="s">
        <v>694</v>
      </c>
      <c r="T344" t="s">
        <v>1187</v>
      </c>
    </row>
    <row r="345" spans="1:20">
      <c r="A345" t="s">
        <v>613</v>
      </c>
      <c r="C345" t="s">
        <v>1267</v>
      </c>
      <c r="D345">
        <v>2004</v>
      </c>
      <c r="E345" s="40">
        <v>45887</v>
      </c>
      <c r="F345" t="s">
        <v>1185</v>
      </c>
      <c r="G345" t="s">
        <v>205</v>
      </c>
      <c r="H345" t="s">
        <v>964</v>
      </c>
      <c r="I345" t="s">
        <v>412</v>
      </c>
      <c r="J345" t="s">
        <v>400</v>
      </c>
      <c r="K345" t="s">
        <v>1126</v>
      </c>
      <c r="L345" t="s">
        <v>1273</v>
      </c>
      <c r="M345">
        <v>1982</v>
      </c>
      <c r="N345">
        <v>2001</v>
      </c>
      <c r="O345">
        <f t="shared" si="8"/>
        <v>20</v>
      </c>
      <c r="Q345">
        <v>20.18</v>
      </c>
      <c r="R345" t="s">
        <v>694</v>
      </c>
      <c r="T345" t="s">
        <v>1187</v>
      </c>
    </row>
    <row r="346" spans="1:20">
      <c r="A346" t="s">
        <v>613</v>
      </c>
      <c r="C346" t="s">
        <v>1267</v>
      </c>
      <c r="D346">
        <v>2004</v>
      </c>
      <c r="E346" s="40">
        <v>45887</v>
      </c>
      <c r="F346" t="s">
        <v>1185</v>
      </c>
      <c r="G346" t="s">
        <v>205</v>
      </c>
      <c r="H346" t="s">
        <v>964</v>
      </c>
      <c r="I346" t="s">
        <v>519</v>
      </c>
      <c r="J346" t="s">
        <v>400</v>
      </c>
      <c r="K346" t="s">
        <v>1126</v>
      </c>
      <c r="L346" t="s">
        <v>1273</v>
      </c>
      <c r="M346">
        <v>1980</v>
      </c>
      <c r="N346">
        <v>2001</v>
      </c>
      <c r="O346">
        <f t="shared" si="8"/>
        <v>22</v>
      </c>
      <c r="Q346">
        <v>28.72</v>
      </c>
      <c r="R346" t="s">
        <v>694</v>
      </c>
      <c r="T346" t="s">
        <v>1187</v>
      </c>
    </row>
    <row r="347" spans="1:20">
      <c r="A347" t="s">
        <v>613</v>
      </c>
      <c r="C347" t="s">
        <v>1267</v>
      </c>
      <c r="D347">
        <v>2004</v>
      </c>
      <c r="E347" s="40">
        <v>45887</v>
      </c>
      <c r="F347" t="s">
        <v>1185</v>
      </c>
      <c r="G347" t="s">
        <v>205</v>
      </c>
      <c r="H347" t="s">
        <v>964</v>
      </c>
      <c r="I347" t="s">
        <v>412</v>
      </c>
      <c r="J347" t="s">
        <v>400</v>
      </c>
      <c r="K347" t="s">
        <v>1126</v>
      </c>
      <c r="L347" t="s">
        <v>1273</v>
      </c>
      <c r="M347">
        <v>1995</v>
      </c>
      <c r="N347">
        <v>2001</v>
      </c>
      <c r="O347">
        <f t="shared" si="8"/>
        <v>7</v>
      </c>
      <c r="Q347">
        <v>60.300000000000004</v>
      </c>
      <c r="R347" t="s">
        <v>694</v>
      </c>
      <c r="T347" t="s">
        <v>1187</v>
      </c>
    </row>
    <row r="348" spans="1:20">
      <c r="A348" t="s">
        <v>613</v>
      </c>
      <c r="C348" t="s">
        <v>1267</v>
      </c>
      <c r="D348">
        <v>2004</v>
      </c>
      <c r="E348" s="40">
        <v>45887</v>
      </c>
      <c r="F348" t="s">
        <v>1185</v>
      </c>
      <c r="G348" t="s">
        <v>205</v>
      </c>
      <c r="H348" t="s">
        <v>964</v>
      </c>
      <c r="I348" t="s">
        <v>395</v>
      </c>
      <c r="J348" t="s">
        <v>400</v>
      </c>
      <c r="K348" t="s">
        <v>1126</v>
      </c>
      <c r="L348" t="s">
        <v>1273</v>
      </c>
      <c r="M348">
        <v>1980</v>
      </c>
      <c r="N348">
        <v>2001</v>
      </c>
      <c r="O348">
        <f t="shared" si="8"/>
        <v>22</v>
      </c>
      <c r="Q348">
        <v>68.16</v>
      </c>
      <c r="R348" t="s">
        <v>694</v>
      </c>
      <c r="T348" t="s">
        <v>1187</v>
      </c>
    </row>
    <row r="349" spans="1:20">
      <c r="A349" t="s">
        <v>613</v>
      </c>
      <c r="C349" t="s">
        <v>1267</v>
      </c>
      <c r="D349">
        <v>2004</v>
      </c>
      <c r="E349" s="40">
        <v>45887</v>
      </c>
      <c r="F349" t="s">
        <v>1185</v>
      </c>
      <c r="G349" t="s">
        <v>205</v>
      </c>
      <c r="H349" t="s">
        <v>964</v>
      </c>
      <c r="I349" t="s">
        <v>535</v>
      </c>
      <c r="J349" t="s">
        <v>400</v>
      </c>
      <c r="K349" t="s">
        <v>1126</v>
      </c>
      <c r="L349" t="s">
        <v>1273</v>
      </c>
      <c r="M349">
        <v>1968</v>
      </c>
      <c r="N349">
        <v>2001</v>
      </c>
      <c r="O349">
        <f t="shared" si="8"/>
        <v>34</v>
      </c>
      <c r="Q349">
        <v>68.849999999999994</v>
      </c>
      <c r="R349" t="s">
        <v>694</v>
      </c>
      <c r="T349" t="s">
        <v>1187</v>
      </c>
    </row>
    <row r="350" spans="1:20">
      <c r="A350" t="s">
        <v>1870</v>
      </c>
      <c r="C350" t="s">
        <v>1873</v>
      </c>
      <c r="D350">
        <v>2004</v>
      </c>
      <c r="E350" s="40">
        <v>45925</v>
      </c>
      <c r="F350" s="40" t="s">
        <v>74</v>
      </c>
      <c r="G350" t="s">
        <v>199</v>
      </c>
      <c r="H350" t="s">
        <v>1017</v>
      </c>
      <c r="I350" t="s">
        <v>1298</v>
      </c>
      <c r="J350" t="s">
        <v>40</v>
      </c>
      <c r="K350" t="s">
        <v>1126</v>
      </c>
      <c r="L350" t="s">
        <v>1299</v>
      </c>
      <c r="M350">
        <v>1969</v>
      </c>
      <c r="N350">
        <v>1999</v>
      </c>
      <c r="O350">
        <f t="shared" si="8"/>
        <v>31</v>
      </c>
      <c r="P350" t="s">
        <v>1052</v>
      </c>
      <c r="Q350">
        <f>33*10</f>
        <v>330</v>
      </c>
      <c r="R350" t="s">
        <v>694</v>
      </c>
      <c r="S350" t="s">
        <v>1871</v>
      </c>
    </row>
    <row r="351" spans="1:20">
      <c r="A351" t="s">
        <v>1868</v>
      </c>
      <c r="C351" t="s">
        <v>1872</v>
      </c>
      <c r="D351">
        <v>2002</v>
      </c>
      <c r="E351" s="40">
        <v>45925</v>
      </c>
      <c r="F351" s="40" t="s">
        <v>74</v>
      </c>
      <c r="G351" t="s">
        <v>199</v>
      </c>
      <c r="H351" t="s">
        <v>1014</v>
      </c>
      <c r="I351" t="s">
        <v>1869</v>
      </c>
      <c r="J351" t="s">
        <v>40</v>
      </c>
      <c r="K351" t="s">
        <v>1126</v>
      </c>
      <c r="L351" t="s">
        <v>880</v>
      </c>
      <c r="M351">
        <v>1960</v>
      </c>
      <c r="N351">
        <v>1999</v>
      </c>
      <c r="O351">
        <f t="shared" si="8"/>
        <v>40</v>
      </c>
      <c r="P351" s="3" t="s">
        <v>1052</v>
      </c>
      <c r="Q351">
        <f>28.2*10</f>
        <v>282</v>
      </c>
      <c r="R351" t="s">
        <v>694</v>
      </c>
      <c r="S351" t="s">
        <v>1871</v>
      </c>
    </row>
    <row r="352" spans="1:20">
      <c r="A352" t="s">
        <v>612</v>
      </c>
      <c r="E352" s="40">
        <v>45890</v>
      </c>
      <c r="F352" t="s">
        <v>1185</v>
      </c>
      <c r="G352" t="s">
        <v>199</v>
      </c>
      <c r="H352" t="s">
        <v>499</v>
      </c>
      <c r="I352" t="s">
        <v>278</v>
      </c>
      <c r="J352" t="s">
        <v>400</v>
      </c>
      <c r="K352" t="s">
        <v>1126</v>
      </c>
      <c r="M352">
        <v>1959</v>
      </c>
      <c r="P352">
        <v>-1.5920000000000001</v>
      </c>
      <c r="Q352">
        <f t="shared" ref="Q352:Q382" si="9">P352*10</f>
        <v>-15.920000000000002</v>
      </c>
      <c r="R352" t="s">
        <v>41</v>
      </c>
      <c r="T352" t="s">
        <v>1423</v>
      </c>
    </row>
    <row r="353" spans="1:20">
      <c r="A353" t="s">
        <v>612</v>
      </c>
      <c r="E353" s="40">
        <v>45890</v>
      </c>
      <c r="F353" t="s">
        <v>1185</v>
      </c>
      <c r="G353" t="s">
        <v>199</v>
      </c>
      <c r="H353" t="s">
        <v>499</v>
      </c>
      <c r="I353" t="s">
        <v>341</v>
      </c>
      <c r="J353" t="s">
        <v>400</v>
      </c>
      <c r="K353" t="s">
        <v>1126</v>
      </c>
      <c r="M353">
        <v>1959</v>
      </c>
      <c r="P353">
        <v>-0.49</v>
      </c>
      <c r="Q353">
        <f t="shared" si="9"/>
        <v>-4.9000000000000004</v>
      </c>
      <c r="R353" t="s">
        <v>41</v>
      </c>
      <c r="T353" t="s">
        <v>1423</v>
      </c>
    </row>
    <row r="354" spans="1:20">
      <c r="A354" t="s">
        <v>612</v>
      </c>
      <c r="E354" s="40">
        <v>45890</v>
      </c>
      <c r="F354" t="s">
        <v>1185</v>
      </c>
      <c r="G354" t="s">
        <v>199</v>
      </c>
      <c r="H354" t="s">
        <v>499</v>
      </c>
      <c r="I354" t="s">
        <v>66</v>
      </c>
      <c r="J354" t="s">
        <v>400</v>
      </c>
      <c r="K354" t="s">
        <v>1126</v>
      </c>
      <c r="M354">
        <v>1959</v>
      </c>
      <c r="P354">
        <v>-0.21199999999999999</v>
      </c>
      <c r="Q354">
        <f t="shared" si="9"/>
        <v>-2.12</v>
      </c>
      <c r="R354" t="s">
        <v>41</v>
      </c>
      <c r="T354" t="s">
        <v>1423</v>
      </c>
    </row>
    <row r="355" spans="1:20">
      <c r="A355" t="s">
        <v>612</v>
      </c>
      <c r="E355" s="40">
        <v>45890</v>
      </c>
      <c r="F355" t="s">
        <v>1185</v>
      </c>
      <c r="G355" t="s">
        <v>199</v>
      </c>
      <c r="H355" t="s">
        <v>499</v>
      </c>
      <c r="I355" t="s">
        <v>65</v>
      </c>
      <c r="J355" t="s">
        <v>400</v>
      </c>
      <c r="K355" t="s">
        <v>1126</v>
      </c>
      <c r="M355">
        <v>1959</v>
      </c>
      <c r="P355">
        <v>0.81299999999999994</v>
      </c>
      <c r="Q355">
        <f t="shared" si="9"/>
        <v>8.129999999999999</v>
      </c>
      <c r="R355" t="s">
        <v>694</v>
      </c>
      <c r="T355" t="s">
        <v>1423</v>
      </c>
    </row>
    <row r="356" spans="1:20">
      <c r="A356" t="s">
        <v>617</v>
      </c>
      <c r="E356" s="40">
        <v>45890</v>
      </c>
      <c r="F356" t="s">
        <v>1185</v>
      </c>
      <c r="G356" t="s">
        <v>199</v>
      </c>
      <c r="H356" t="s">
        <v>499</v>
      </c>
      <c r="I356" t="s">
        <v>370</v>
      </c>
      <c r="J356" t="s">
        <v>431</v>
      </c>
      <c r="K356" t="s">
        <v>1126</v>
      </c>
      <c r="M356">
        <v>1978</v>
      </c>
      <c r="P356">
        <v>15.7</v>
      </c>
      <c r="Q356">
        <f t="shared" si="9"/>
        <v>157</v>
      </c>
      <c r="R356" t="s">
        <v>694</v>
      </c>
      <c r="T356" t="s">
        <v>1423</v>
      </c>
    </row>
    <row r="357" spans="1:20">
      <c r="A357" t="s">
        <v>617</v>
      </c>
      <c r="E357" s="40">
        <v>45890</v>
      </c>
      <c r="F357" t="s">
        <v>1185</v>
      </c>
      <c r="G357" t="s">
        <v>199</v>
      </c>
      <c r="H357" t="s">
        <v>499</v>
      </c>
      <c r="I357" t="s">
        <v>369</v>
      </c>
      <c r="J357" t="s">
        <v>431</v>
      </c>
      <c r="K357" t="s">
        <v>1126</v>
      </c>
      <c r="M357">
        <v>1978</v>
      </c>
      <c r="P357">
        <v>15.7</v>
      </c>
      <c r="Q357">
        <f t="shared" si="9"/>
        <v>157</v>
      </c>
      <c r="R357" t="s">
        <v>694</v>
      </c>
      <c r="T357" t="s">
        <v>1423</v>
      </c>
    </row>
    <row r="358" spans="1:20">
      <c r="A358" t="s">
        <v>618</v>
      </c>
      <c r="E358" s="40">
        <v>45890</v>
      </c>
      <c r="F358" t="s">
        <v>1185</v>
      </c>
      <c r="G358" t="s">
        <v>199</v>
      </c>
      <c r="H358" t="s">
        <v>499</v>
      </c>
      <c r="I358" t="s">
        <v>341</v>
      </c>
      <c r="J358" t="s">
        <v>418</v>
      </c>
      <c r="K358" t="s">
        <v>1126</v>
      </c>
      <c r="M358">
        <v>1958</v>
      </c>
      <c r="P358">
        <v>4.625</v>
      </c>
      <c r="Q358">
        <f t="shared" si="9"/>
        <v>46.25</v>
      </c>
      <c r="R358" t="s">
        <v>694</v>
      </c>
      <c r="T358" t="s">
        <v>1423</v>
      </c>
    </row>
    <row r="359" spans="1:20">
      <c r="A359" t="s">
        <v>618</v>
      </c>
      <c r="E359" s="40">
        <v>45890</v>
      </c>
      <c r="F359" t="s">
        <v>1185</v>
      </c>
      <c r="G359" t="s">
        <v>199</v>
      </c>
      <c r="H359" t="s">
        <v>499</v>
      </c>
      <c r="I359" t="s">
        <v>336</v>
      </c>
      <c r="J359" t="s">
        <v>431</v>
      </c>
      <c r="K359" t="s">
        <v>1126</v>
      </c>
      <c r="M359">
        <v>1958</v>
      </c>
      <c r="P359">
        <v>4.625</v>
      </c>
      <c r="Q359">
        <f t="shared" si="9"/>
        <v>46.25</v>
      </c>
      <c r="R359" t="s">
        <v>694</v>
      </c>
      <c r="T359" t="s">
        <v>1423</v>
      </c>
    </row>
    <row r="360" spans="1:20">
      <c r="A360" t="s">
        <v>618</v>
      </c>
      <c r="E360" s="40">
        <v>45890</v>
      </c>
      <c r="F360" t="s">
        <v>1185</v>
      </c>
      <c r="G360" t="s">
        <v>199</v>
      </c>
      <c r="H360" t="s">
        <v>499</v>
      </c>
      <c r="I360" t="s">
        <v>110</v>
      </c>
      <c r="J360" t="s">
        <v>418</v>
      </c>
      <c r="K360" t="s">
        <v>1126</v>
      </c>
      <c r="M360">
        <v>1958</v>
      </c>
      <c r="P360">
        <v>5.7809999999999997</v>
      </c>
      <c r="Q360">
        <f t="shared" si="9"/>
        <v>57.809999999999995</v>
      </c>
      <c r="R360" t="s">
        <v>694</v>
      </c>
      <c r="T360" t="s">
        <v>1423</v>
      </c>
    </row>
    <row r="361" spans="1:20">
      <c r="A361" t="s">
        <v>618</v>
      </c>
      <c r="E361" s="40">
        <v>45890</v>
      </c>
      <c r="F361" t="s">
        <v>1185</v>
      </c>
      <c r="G361" t="s">
        <v>199</v>
      </c>
      <c r="H361" t="s">
        <v>499</v>
      </c>
      <c r="I361" t="s">
        <v>335</v>
      </c>
      <c r="J361" t="s">
        <v>431</v>
      </c>
      <c r="K361" t="s">
        <v>1126</v>
      </c>
      <c r="M361">
        <v>1958</v>
      </c>
      <c r="P361">
        <v>13.875</v>
      </c>
      <c r="Q361">
        <f t="shared" si="9"/>
        <v>138.75</v>
      </c>
      <c r="R361" t="s">
        <v>694</v>
      </c>
      <c r="T361" t="s">
        <v>1423</v>
      </c>
    </row>
    <row r="362" spans="1:20">
      <c r="A362" t="s">
        <v>618</v>
      </c>
      <c r="E362" s="40">
        <v>45890</v>
      </c>
      <c r="F362" t="s">
        <v>1185</v>
      </c>
      <c r="G362" t="s">
        <v>199</v>
      </c>
      <c r="H362" t="s">
        <v>499</v>
      </c>
      <c r="I362" t="s">
        <v>337</v>
      </c>
      <c r="J362" t="s">
        <v>418</v>
      </c>
      <c r="K362" t="s">
        <v>1126</v>
      </c>
      <c r="M362">
        <v>1958</v>
      </c>
      <c r="P362">
        <v>16.187999999999999</v>
      </c>
      <c r="Q362">
        <f t="shared" si="9"/>
        <v>161.88</v>
      </c>
      <c r="R362" t="s">
        <v>694</v>
      </c>
      <c r="T362" t="s">
        <v>1423</v>
      </c>
    </row>
    <row r="363" spans="1:20">
      <c r="A363" t="s">
        <v>618</v>
      </c>
      <c r="E363" s="40">
        <v>45890</v>
      </c>
      <c r="F363" t="s">
        <v>1185</v>
      </c>
      <c r="G363" t="s">
        <v>199</v>
      </c>
      <c r="H363" t="s">
        <v>499</v>
      </c>
      <c r="I363" t="s">
        <v>66</v>
      </c>
      <c r="J363" t="s">
        <v>431</v>
      </c>
      <c r="K363" t="s">
        <v>1126</v>
      </c>
      <c r="M363">
        <v>1958</v>
      </c>
      <c r="P363">
        <v>21.75</v>
      </c>
      <c r="Q363">
        <f t="shared" si="9"/>
        <v>217.5</v>
      </c>
      <c r="R363" t="s">
        <v>694</v>
      </c>
      <c r="T363" t="s">
        <v>1423</v>
      </c>
    </row>
    <row r="364" spans="1:20">
      <c r="A364" t="s">
        <v>618</v>
      </c>
      <c r="E364" s="40">
        <v>45890</v>
      </c>
      <c r="F364" t="s">
        <v>1185</v>
      </c>
      <c r="G364" t="s">
        <v>199</v>
      </c>
      <c r="H364" t="s">
        <v>499</v>
      </c>
      <c r="I364" t="s">
        <v>332</v>
      </c>
      <c r="J364" t="s">
        <v>431</v>
      </c>
      <c r="K364" t="s">
        <v>1126</v>
      </c>
      <c r="M364">
        <v>1958</v>
      </c>
      <c r="P364">
        <v>23.16</v>
      </c>
      <c r="Q364">
        <f t="shared" si="9"/>
        <v>231.6</v>
      </c>
      <c r="R364" t="s">
        <v>694</v>
      </c>
      <c r="T364" t="s">
        <v>1423</v>
      </c>
    </row>
    <row r="365" spans="1:20">
      <c r="A365" t="s">
        <v>620</v>
      </c>
      <c r="E365" s="40">
        <v>45890</v>
      </c>
      <c r="F365" t="s">
        <v>1185</v>
      </c>
      <c r="G365" t="s">
        <v>199</v>
      </c>
      <c r="H365" t="s">
        <v>499</v>
      </c>
      <c r="I365" t="s">
        <v>569</v>
      </c>
      <c r="J365" t="s">
        <v>400</v>
      </c>
      <c r="K365" t="s">
        <v>1126</v>
      </c>
      <c r="M365">
        <v>1959</v>
      </c>
      <c r="P365">
        <v>-18.925000000000001</v>
      </c>
      <c r="Q365">
        <f t="shared" si="9"/>
        <v>-189.25</v>
      </c>
      <c r="R365" t="s">
        <v>41</v>
      </c>
      <c r="T365" t="s">
        <v>1423</v>
      </c>
    </row>
    <row r="366" spans="1:20">
      <c r="A366" t="s">
        <v>620</v>
      </c>
      <c r="E366" s="40">
        <v>45890</v>
      </c>
      <c r="F366" t="s">
        <v>1185</v>
      </c>
      <c r="G366" t="s">
        <v>199</v>
      </c>
      <c r="H366" t="s">
        <v>499</v>
      </c>
      <c r="I366" t="s">
        <v>571</v>
      </c>
      <c r="J366" t="s">
        <v>400</v>
      </c>
      <c r="K366" t="s">
        <v>1126</v>
      </c>
      <c r="M366">
        <v>1984</v>
      </c>
      <c r="P366">
        <v>-4.8029999999999999</v>
      </c>
      <c r="Q366">
        <f t="shared" si="9"/>
        <v>-48.03</v>
      </c>
      <c r="R366" t="s">
        <v>41</v>
      </c>
      <c r="T366" t="s">
        <v>1423</v>
      </c>
    </row>
    <row r="367" spans="1:20">
      <c r="A367" t="s">
        <v>620</v>
      </c>
      <c r="E367" s="40">
        <v>45890</v>
      </c>
      <c r="F367" t="s">
        <v>1185</v>
      </c>
      <c r="G367" t="s">
        <v>199</v>
      </c>
      <c r="H367" t="s">
        <v>499</v>
      </c>
      <c r="I367" t="s">
        <v>572</v>
      </c>
      <c r="J367" t="s">
        <v>400</v>
      </c>
      <c r="K367" t="s">
        <v>1126</v>
      </c>
      <c r="M367">
        <v>1959</v>
      </c>
      <c r="P367">
        <v>-3.3650000000000002</v>
      </c>
      <c r="Q367">
        <f t="shared" si="9"/>
        <v>-33.650000000000006</v>
      </c>
      <c r="R367" t="s">
        <v>41</v>
      </c>
      <c r="T367" t="s">
        <v>1423</v>
      </c>
    </row>
    <row r="368" spans="1:20">
      <c r="A368" t="s">
        <v>620</v>
      </c>
      <c r="E368" s="40">
        <v>45890</v>
      </c>
      <c r="F368" t="s">
        <v>1185</v>
      </c>
      <c r="G368" t="s">
        <v>199</v>
      </c>
      <c r="H368" t="s">
        <v>499</v>
      </c>
      <c r="I368" t="s">
        <v>573</v>
      </c>
      <c r="J368" t="s">
        <v>400</v>
      </c>
      <c r="K368" t="s">
        <v>1126</v>
      </c>
      <c r="M368">
        <v>1984</v>
      </c>
      <c r="P368">
        <v>-3.3519999999999999</v>
      </c>
      <c r="Q368">
        <f t="shared" si="9"/>
        <v>-33.519999999999996</v>
      </c>
      <c r="R368" t="s">
        <v>41</v>
      </c>
      <c r="T368" t="s">
        <v>1423</v>
      </c>
    </row>
    <row r="369" spans="1:20">
      <c r="A369" t="s">
        <v>620</v>
      </c>
      <c r="E369" s="40">
        <v>45890</v>
      </c>
      <c r="F369" t="s">
        <v>1185</v>
      </c>
      <c r="G369" t="s">
        <v>199</v>
      </c>
      <c r="H369" t="s">
        <v>499</v>
      </c>
      <c r="I369" t="s">
        <v>572</v>
      </c>
      <c r="J369" t="s">
        <v>400</v>
      </c>
      <c r="K369" t="s">
        <v>1126</v>
      </c>
      <c r="M369">
        <v>1984</v>
      </c>
      <c r="P369">
        <v>-1.825</v>
      </c>
      <c r="Q369">
        <f t="shared" si="9"/>
        <v>-18.25</v>
      </c>
      <c r="R369" t="s">
        <v>41</v>
      </c>
      <c r="T369" t="s">
        <v>1423</v>
      </c>
    </row>
    <row r="370" spans="1:20">
      <c r="A370" t="s">
        <v>620</v>
      </c>
      <c r="E370" s="40">
        <v>45890</v>
      </c>
      <c r="F370" t="s">
        <v>1185</v>
      </c>
      <c r="G370" t="s">
        <v>199</v>
      </c>
      <c r="H370" t="s">
        <v>499</v>
      </c>
      <c r="I370" t="s">
        <v>336</v>
      </c>
      <c r="J370" t="s">
        <v>400</v>
      </c>
      <c r="K370" t="s">
        <v>1126</v>
      </c>
      <c r="M370">
        <v>1959</v>
      </c>
      <c r="P370">
        <v>-0.17399999999999999</v>
      </c>
      <c r="Q370">
        <f t="shared" si="9"/>
        <v>-1.7399999999999998</v>
      </c>
      <c r="R370" t="s">
        <v>41</v>
      </c>
      <c r="T370" t="s">
        <v>1423</v>
      </c>
    </row>
    <row r="371" spans="1:20">
      <c r="A371" t="s">
        <v>620</v>
      </c>
      <c r="E371" s="40">
        <v>45890</v>
      </c>
      <c r="F371" t="s">
        <v>1185</v>
      </c>
      <c r="G371" t="s">
        <v>199</v>
      </c>
      <c r="H371" t="s">
        <v>499</v>
      </c>
      <c r="I371" t="s">
        <v>66</v>
      </c>
      <c r="J371" t="s">
        <v>400</v>
      </c>
      <c r="K371" t="s">
        <v>1126</v>
      </c>
      <c r="M371">
        <v>1959</v>
      </c>
      <c r="P371">
        <v>0.47499999999999998</v>
      </c>
      <c r="Q371">
        <f t="shared" si="9"/>
        <v>4.75</v>
      </c>
      <c r="R371" t="s">
        <v>694</v>
      </c>
      <c r="T371" t="s">
        <v>1423</v>
      </c>
    </row>
    <row r="372" spans="1:20">
      <c r="A372" t="s">
        <v>620</v>
      </c>
      <c r="E372" s="40">
        <v>45890</v>
      </c>
      <c r="F372" t="s">
        <v>1185</v>
      </c>
      <c r="G372" t="s">
        <v>199</v>
      </c>
      <c r="H372" t="s">
        <v>499</v>
      </c>
      <c r="I372" t="s">
        <v>574</v>
      </c>
      <c r="J372" t="s">
        <v>400</v>
      </c>
      <c r="K372" t="s">
        <v>1126</v>
      </c>
      <c r="M372">
        <v>1959</v>
      </c>
      <c r="P372">
        <v>1.4490000000000001</v>
      </c>
      <c r="Q372">
        <f t="shared" si="9"/>
        <v>14.49</v>
      </c>
      <c r="R372" t="s">
        <v>694</v>
      </c>
      <c r="T372" t="s">
        <v>1423</v>
      </c>
    </row>
    <row r="373" spans="1:20">
      <c r="A373" t="s">
        <v>620</v>
      </c>
      <c r="E373" s="40">
        <v>45890</v>
      </c>
      <c r="F373" t="s">
        <v>1185</v>
      </c>
      <c r="G373" t="s">
        <v>199</v>
      </c>
      <c r="H373" t="s">
        <v>499</v>
      </c>
      <c r="I373" t="s">
        <v>65</v>
      </c>
      <c r="J373" t="s">
        <v>400</v>
      </c>
      <c r="K373" t="s">
        <v>1126</v>
      </c>
      <c r="M373">
        <v>1959</v>
      </c>
      <c r="P373">
        <v>1.7729999999999999</v>
      </c>
      <c r="Q373">
        <f t="shared" si="9"/>
        <v>17.73</v>
      </c>
      <c r="R373" t="s">
        <v>694</v>
      </c>
      <c r="T373" t="s">
        <v>1423</v>
      </c>
    </row>
    <row r="374" spans="1:20">
      <c r="A374" t="s">
        <v>620</v>
      </c>
      <c r="E374" s="40">
        <v>45890</v>
      </c>
      <c r="F374" t="s">
        <v>1185</v>
      </c>
      <c r="G374" t="s">
        <v>199</v>
      </c>
      <c r="H374" t="s">
        <v>499</v>
      </c>
      <c r="I374" t="s">
        <v>574</v>
      </c>
      <c r="J374" t="s">
        <v>400</v>
      </c>
      <c r="K374" t="s">
        <v>1126</v>
      </c>
      <c r="M374">
        <v>1984</v>
      </c>
      <c r="P374">
        <v>2.7509999999999999</v>
      </c>
      <c r="Q374">
        <f t="shared" si="9"/>
        <v>27.509999999999998</v>
      </c>
      <c r="R374" t="s">
        <v>694</v>
      </c>
      <c r="T374" t="s">
        <v>1423</v>
      </c>
    </row>
    <row r="375" spans="1:20">
      <c r="A375" t="s">
        <v>620</v>
      </c>
      <c r="E375" s="40">
        <v>45890</v>
      </c>
      <c r="F375" t="s">
        <v>1185</v>
      </c>
      <c r="G375" t="s">
        <v>199</v>
      </c>
      <c r="H375" t="s">
        <v>499</v>
      </c>
      <c r="I375" t="s">
        <v>575</v>
      </c>
      <c r="J375" t="s">
        <v>400</v>
      </c>
      <c r="K375" t="s">
        <v>1126</v>
      </c>
      <c r="M375">
        <v>1984</v>
      </c>
      <c r="P375">
        <v>3.456</v>
      </c>
      <c r="Q375">
        <f t="shared" si="9"/>
        <v>34.56</v>
      </c>
      <c r="R375" t="s">
        <v>694</v>
      </c>
      <c r="T375" t="s">
        <v>1423</v>
      </c>
    </row>
    <row r="376" spans="1:20">
      <c r="A376" t="s">
        <v>620</v>
      </c>
      <c r="E376" s="40">
        <v>45890</v>
      </c>
      <c r="F376" t="s">
        <v>1185</v>
      </c>
      <c r="G376" t="s">
        <v>199</v>
      </c>
      <c r="H376" t="s">
        <v>499</v>
      </c>
      <c r="I376" t="s">
        <v>573</v>
      </c>
      <c r="J376" t="s">
        <v>400</v>
      </c>
      <c r="K376" t="s">
        <v>1126</v>
      </c>
      <c r="M376">
        <v>1959</v>
      </c>
      <c r="P376">
        <v>4.077</v>
      </c>
      <c r="Q376">
        <f t="shared" si="9"/>
        <v>40.769999999999996</v>
      </c>
      <c r="R376" t="s">
        <v>694</v>
      </c>
      <c r="T376" t="s">
        <v>1423</v>
      </c>
    </row>
    <row r="377" spans="1:20">
      <c r="A377" t="s">
        <v>620</v>
      </c>
      <c r="E377" s="40">
        <v>45890</v>
      </c>
      <c r="F377" t="s">
        <v>1185</v>
      </c>
      <c r="G377" t="s">
        <v>199</v>
      </c>
      <c r="H377" t="s">
        <v>499</v>
      </c>
      <c r="I377" t="s">
        <v>65</v>
      </c>
      <c r="J377" t="s">
        <v>400</v>
      </c>
      <c r="K377" t="s">
        <v>1126</v>
      </c>
      <c r="M377">
        <v>1984</v>
      </c>
      <c r="P377">
        <v>6.5529999999999999</v>
      </c>
      <c r="Q377">
        <f t="shared" si="9"/>
        <v>65.53</v>
      </c>
      <c r="R377" t="s">
        <v>694</v>
      </c>
      <c r="T377" t="s">
        <v>1423</v>
      </c>
    </row>
    <row r="378" spans="1:20">
      <c r="A378" t="s">
        <v>620</v>
      </c>
      <c r="E378" s="40">
        <v>45890</v>
      </c>
      <c r="F378" t="s">
        <v>1185</v>
      </c>
      <c r="G378" t="s">
        <v>199</v>
      </c>
      <c r="H378" t="s">
        <v>499</v>
      </c>
      <c r="I378" t="s">
        <v>575</v>
      </c>
      <c r="J378" t="s">
        <v>400</v>
      </c>
      <c r="K378" t="s">
        <v>1126</v>
      </c>
      <c r="M378">
        <v>1959</v>
      </c>
      <c r="P378">
        <v>8.6340000000000003</v>
      </c>
      <c r="Q378">
        <f t="shared" si="9"/>
        <v>86.34</v>
      </c>
      <c r="R378" t="s">
        <v>694</v>
      </c>
      <c r="T378" t="s">
        <v>1423</v>
      </c>
    </row>
    <row r="379" spans="1:20">
      <c r="A379" t="s">
        <v>620</v>
      </c>
      <c r="E379" s="40">
        <v>45890</v>
      </c>
      <c r="F379" t="s">
        <v>1185</v>
      </c>
      <c r="G379" t="s">
        <v>199</v>
      </c>
      <c r="H379" t="s">
        <v>499</v>
      </c>
      <c r="I379" t="s">
        <v>336</v>
      </c>
      <c r="J379" t="s">
        <v>400</v>
      </c>
      <c r="K379" t="s">
        <v>1126</v>
      </c>
      <c r="M379">
        <v>1984</v>
      </c>
      <c r="P379">
        <v>8.6430000000000007</v>
      </c>
      <c r="Q379">
        <f t="shared" si="9"/>
        <v>86.43</v>
      </c>
      <c r="R379" t="s">
        <v>694</v>
      </c>
      <c r="T379" t="s">
        <v>1423</v>
      </c>
    </row>
    <row r="380" spans="1:20">
      <c r="A380" t="s">
        <v>620</v>
      </c>
      <c r="E380" s="40">
        <v>45890</v>
      </c>
      <c r="F380" t="s">
        <v>1185</v>
      </c>
      <c r="G380" t="s">
        <v>199</v>
      </c>
      <c r="H380" t="s">
        <v>499</v>
      </c>
      <c r="I380" t="s">
        <v>571</v>
      </c>
      <c r="J380" t="s">
        <v>400</v>
      </c>
      <c r="K380" t="s">
        <v>1126</v>
      </c>
      <c r="M380">
        <v>1959</v>
      </c>
      <c r="P380">
        <v>11.397</v>
      </c>
      <c r="Q380">
        <f t="shared" si="9"/>
        <v>113.97</v>
      </c>
      <c r="R380" t="s">
        <v>694</v>
      </c>
      <c r="T380" t="s">
        <v>1423</v>
      </c>
    </row>
    <row r="381" spans="1:20">
      <c r="A381" t="s">
        <v>620</v>
      </c>
      <c r="E381" s="40">
        <v>45890</v>
      </c>
      <c r="F381" t="s">
        <v>1185</v>
      </c>
      <c r="G381" t="s">
        <v>199</v>
      </c>
      <c r="H381" t="s">
        <v>499</v>
      </c>
      <c r="I381" t="s">
        <v>66</v>
      </c>
      <c r="J381" t="s">
        <v>400</v>
      </c>
      <c r="K381" t="s">
        <v>1126</v>
      </c>
      <c r="M381">
        <v>1984</v>
      </c>
      <c r="P381">
        <v>12.157</v>
      </c>
      <c r="Q381">
        <f t="shared" si="9"/>
        <v>121.57</v>
      </c>
      <c r="R381" t="s">
        <v>694</v>
      </c>
      <c r="T381" t="s">
        <v>1423</v>
      </c>
    </row>
    <row r="382" spans="1:20">
      <c r="A382" t="s">
        <v>620</v>
      </c>
      <c r="E382" s="40">
        <v>45890</v>
      </c>
      <c r="F382" t="s">
        <v>1185</v>
      </c>
      <c r="G382" t="s">
        <v>199</v>
      </c>
      <c r="H382" t="s">
        <v>499</v>
      </c>
      <c r="I382" t="s">
        <v>569</v>
      </c>
      <c r="J382" t="s">
        <v>400</v>
      </c>
      <c r="K382" t="s">
        <v>1126</v>
      </c>
      <c r="M382">
        <v>1984</v>
      </c>
      <c r="P382">
        <v>32.389000000000003</v>
      </c>
      <c r="Q382">
        <f t="shared" si="9"/>
        <v>323.89000000000004</v>
      </c>
      <c r="R382" t="s">
        <v>694</v>
      </c>
      <c r="T382" t="s">
        <v>1423</v>
      </c>
    </row>
    <row r="383" spans="1:20">
      <c r="A383" s="1"/>
      <c r="F383" s="40"/>
    </row>
    <row r="384" spans="1:20">
      <c r="A384" s="1"/>
      <c r="F384" s="40"/>
    </row>
    <row r="385" spans="1:2">
      <c r="A385" s="3"/>
    </row>
    <row r="386" spans="1:2">
      <c r="A386" s="47"/>
    </row>
    <row r="387" spans="1:2">
      <c r="A387" s="47"/>
      <c r="B387" s="1"/>
    </row>
    <row r="389" spans="1:2">
      <c r="A389" s="47"/>
    </row>
    <row r="390" spans="1:2">
      <c r="A390" s="47"/>
    </row>
    <row r="392" spans="1:2" ht="15.5">
      <c r="A392" s="69"/>
    </row>
  </sheetData>
  <autoFilter ref="A1:T382" xr:uid="{EF6574C2-179D-4517-8561-1BD2DE119979}"/>
  <phoneticPr fontId="5" type="noConversion"/>
  <hyperlinks>
    <hyperlink ref="C27" r:id="rId1" xr:uid="{6942EEAE-AF55-4866-9618-31C77E1A40D0}"/>
    <hyperlink ref="C327" r:id="rId2" xr:uid="{4BC96342-12DD-4D20-8E12-82F31D7E40FE}"/>
    <hyperlink ref="C328" r:id="rId3" xr:uid="{EA1A1A1A-E8E5-488E-9944-2E28C4178F77}"/>
    <hyperlink ref="C141" r:id="rId4" xr:uid="{64ED3E43-E653-4C3C-976E-3B8B2C360B74}"/>
    <hyperlink ref="C50" r:id="rId5" tooltip="Persistent link using digital object identifier" xr:uid="{37FC5E23-A5EF-44C1-ABE2-16B7633172A1}"/>
    <hyperlink ref="C51" r:id="rId6" tooltip="Persistent link using digital object identifier" xr:uid="{F74C5F61-0E9A-4177-8A98-DA9D678A102E}"/>
    <hyperlink ref="C318" r:id="rId7" xr:uid="{1119A199-4E73-4049-88B8-DA66AF07208B}"/>
    <hyperlink ref="C145" r:id="rId8" xr:uid="{D583ECDD-5F77-45AA-9229-438FF52F04AE}"/>
    <hyperlink ref="C329" r:id="rId9" xr:uid="{BCFC0403-123B-4C5A-A149-B58A69C0BD63}"/>
    <hyperlink ref="C73" r:id="rId10" xr:uid="{8C63AB38-177E-49F2-AB96-CB249B3D14B3}"/>
    <hyperlink ref="C2" r:id="rId11" xr:uid="{D0ECBB34-848F-4DF4-87D4-86D0D606F9C8}"/>
    <hyperlink ref="C3" r:id="rId12" xr:uid="{424ACD8B-9266-43AF-8BE6-964CBBA39DA7}"/>
    <hyperlink ref="C227" r:id="rId13" xr:uid="{60A6CB9A-D977-4980-A276-026D5D34CFD9}"/>
    <hyperlink ref="C28" r:id="rId14" location="sec0012 " xr:uid="{91C9D4DC-7F8C-48D9-B4AD-34A3B48124B5}"/>
    <hyperlink ref="C229" r:id="rId15" xr:uid="{659DF0A1-5AB3-4E65-B995-7B7F69B1E27E}"/>
  </hyperlinks>
  <pageMargins left="0.7" right="0.7" top="0.75" bottom="0.75" header="0.3" footer="0.3"/>
  <pageSetup orientation="portrait" r:id="rId16"/>
  <legacy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43AA-8842-4D56-B82A-BE4E2A79C783}">
  <sheetPr filterMode="1"/>
  <dimension ref="A1:W200"/>
  <sheetViews>
    <sheetView topLeftCell="A128" zoomScale="89" workbookViewId="0">
      <selection activeCell="B191" sqref="B191"/>
    </sheetView>
  </sheetViews>
  <sheetFormatPr defaultRowHeight="14.5"/>
  <cols>
    <col min="3" max="3" width="19.1796875" customWidth="1"/>
    <col min="7" max="7" width="24.54296875" customWidth="1"/>
    <col min="8" max="8" width="19.36328125" customWidth="1"/>
  </cols>
  <sheetData>
    <row r="1" spans="1:23">
      <c r="A1" t="s">
        <v>371</v>
      </c>
      <c r="B1" t="s">
        <v>372</v>
      </c>
      <c r="C1" t="s">
        <v>373</v>
      </c>
      <c r="D1" t="s">
        <v>374</v>
      </c>
      <c r="E1" t="s">
        <v>375</v>
      </c>
      <c r="F1" t="s">
        <v>376</v>
      </c>
      <c r="G1" t="s">
        <v>12</v>
      </c>
      <c r="H1" t="s">
        <v>14</v>
      </c>
      <c r="I1" t="s">
        <v>3</v>
      </c>
      <c r="J1" t="s">
        <v>377</v>
      </c>
      <c r="K1" t="s">
        <v>378</v>
      </c>
      <c r="L1" t="s">
        <v>379</v>
      </c>
      <c r="M1" t="s">
        <v>380</v>
      </c>
      <c r="O1" t="s">
        <v>381</v>
      </c>
      <c r="P1" t="s">
        <v>382</v>
      </c>
      <c r="Q1" t="s">
        <v>383</v>
      </c>
      <c r="R1" t="s">
        <v>384</v>
      </c>
      <c r="S1" t="s">
        <v>385</v>
      </c>
      <c r="T1" t="s">
        <v>386</v>
      </c>
      <c r="U1" t="s">
        <v>387</v>
      </c>
      <c r="V1" t="s">
        <v>0</v>
      </c>
      <c r="W1" t="s">
        <v>388</v>
      </c>
    </row>
    <row r="2" spans="1:23" s="4" customFormat="1" hidden="1">
      <c r="A2" s="4" t="s">
        <v>389</v>
      </c>
      <c r="B2" s="4" t="s">
        <v>390</v>
      </c>
      <c r="C2" s="4" t="s">
        <v>391</v>
      </c>
      <c r="D2" s="4" t="s">
        <v>392</v>
      </c>
      <c r="E2" s="4" t="s">
        <v>393</v>
      </c>
      <c r="F2" s="4" t="s">
        <v>394</v>
      </c>
      <c r="G2" s="4" t="s">
        <v>395</v>
      </c>
      <c r="H2" s="4" t="s">
        <v>396</v>
      </c>
      <c r="I2" s="4" t="s">
        <v>397</v>
      </c>
      <c r="J2" s="4" t="s">
        <v>398</v>
      </c>
      <c r="K2" s="4" t="s">
        <v>399</v>
      </c>
      <c r="L2" s="4" t="s">
        <v>400</v>
      </c>
      <c r="M2" s="4">
        <v>-0.08</v>
      </c>
      <c r="N2" s="4">
        <f>M2*10</f>
        <v>-0.8</v>
      </c>
      <c r="O2" s="4" t="s">
        <v>401</v>
      </c>
      <c r="P2" s="4" t="s">
        <v>402</v>
      </c>
      <c r="Q2" s="4" t="s">
        <v>403</v>
      </c>
      <c r="R2" s="4" t="s">
        <v>404</v>
      </c>
      <c r="S2" s="4" t="s">
        <v>405</v>
      </c>
      <c r="T2" s="4" t="s">
        <v>406</v>
      </c>
      <c r="U2" s="4">
        <v>1982</v>
      </c>
      <c r="V2" s="4">
        <v>55</v>
      </c>
      <c r="W2" s="4" t="s">
        <v>407</v>
      </c>
    </row>
    <row r="3" spans="1:23" s="4" customFormat="1" hidden="1">
      <c r="A3" s="4" t="s">
        <v>389</v>
      </c>
      <c r="B3" s="4" t="s">
        <v>390</v>
      </c>
      <c r="C3" s="4" t="s">
        <v>391</v>
      </c>
      <c r="D3" s="4" t="s">
        <v>392</v>
      </c>
      <c r="E3" s="4" t="s">
        <v>408</v>
      </c>
      <c r="F3" s="4" t="s">
        <v>409</v>
      </c>
      <c r="G3" s="4" t="s">
        <v>410</v>
      </c>
      <c r="H3" s="4" t="s">
        <v>396</v>
      </c>
      <c r="I3" s="4" t="s">
        <v>397</v>
      </c>
      <c r="J3" s="4" t="s">
        <v>398</v>
      </c>
      <c r="K3" s="4" t="s">
        <v>399</v>
      </c>
      <c r="L3" s="4" t="s">
        <v>400</v>
      </c>
      <c r="M3" s="4">
        <v>1.88</v>
      </c>
      <c r="N3" s="4">
        <f t="shared" ref="N3:N66" si="0">M3*10</f>
        <v>18.799999999999997</v>
      </c>
      <c r="O3" s="4" t="s">
        <v>401</v>
      </c>
      <c r="P3" s="4" t="s">
        <v>402</v>
      </c>
      <c r="Q3" s="4" t="s">
        <v>403</v>
      </c>
      <c r="R3" s="4" t="s">
        <v>404</v>
      </c>
      <c r="S3" s="4" t="s">
        <v>405</v>
      </c>
      <c r="T3" s="4" t="s">
        <v>406</v>
      </c>
      <c r="U3" s="4">
        <v>1982</v>
      </c>
      <c r="V3" s="4">
        <v>55</v>
      </c>
      <c r="W3" s="4" t="s">
        <v>407</v>
      </c>
    </row>
    <row r="4" spans="1:23" s="4" customFormat="1" hidden="1">
      <c r="A4" s="4" t="s">
        <v>389</v>
      </c>
      <c r="B4" s="4" t="s">
        <v>390</v>
      </c>
      <c r="C4" s="4" t="s">
        <v>391</v>
      </c>
      <c r="D4" s="4" t="s">
        <v>392</v>
      </c>
      <c r="E4" s="4" t="s">
        <v>408</v>
      </c>
      <c r="F4" s="4" t="s">
        <v>409</v>
      </c>
      <c r="G4" s="4" t="s">
        <v>411</v>
      </c>
      <c r="H4" s="4" t="s">
        <v>396</v>
      </c>
      <c r="I4" s="4" t="s">
        <v>397</v>
      </c>
      <c r="J4" s="4" t="s">
        <v>398</v>
      </c>
      <c r="K4" s="4" t="s">
        <v>399</v>
      </c>
      <c r="L4" s="4" t="s">
        <v>400</v>
      </c>
      <c r="M4" s="4">
        <v>2.48</v>
      </c>
      <c r="N4" s="4">
        <f t="shared" si="0"/>
        <v>24.8</v>
      </c>
      <c r="O4" s="4" t="s">
        <v>401</v>
      </c>
      <c r="P4" s="4" t="s">
        <v>402</v>
      </c>
      <c r="Q4" s="4" t="s">
        <v>403</v>
      </c>
      <c r="R4" s="4" t="s">
        <v>404</v>
      </c>
      <c r="S4" s="4" t="s">
        <v>405</v>
      </c>
      <c r="T4" s="4" t="s">
        <v>406</v>
      </c>
      <c r="U4" s="4">
        <v>1982</v>
      </c>
      <c r="V4" s="4">
        <v>55</v>
      </c>
      <c r="W4" s="4" t="s">
        <v>407</v>
      </c>
    </row>
    <row r="5" spans="1:23" s="4" customFormat="1" hidden="1">
      <c r="A5" s="4" t="s">
        <v>389</v>
      </c>
      <c r="B5" s="4" t="s">
        <v>390</v>
      </c>
      <c r="C5" s="4" t="s">
        <v>391</v>
      </c>
      <c r="D5" s="4" t="s">
        <v>392</v>
      </c>
      <c r="E5" s="4" t="s">
        <v>393</v>
      </c>
      <c r="F5" s="4" t="s">
        <v>394</v>
      </c>
      <c r="G5" s="4" t="s">
        <v>412</v>
      </c>
      <c r="H5" s="4" t="s">
        <v>396</v>
      </c>
      <c r="I5" s="4" t="s">
        <v>397</v>
      </c>
      <c r="J5" s="4" t="s">
        <v>398</v>
      </c>
      <c r="K5" s="4" t="s">
        <v>399</v>
      </c>
      <c r="L5" s="4" t="s">
        <v>400</v>
      </c>
      <c r="M5" s="4">
        <v>3.56</v>
      </c>
      <c r="N5" s="4">
        <f t="shared" si="0"/>
        <v>35.6</v>
      </c>
      <c r="O5" s="4" t="s">
        <v>401</v>
      </c>
      <c r="P5" s="4" t="s">
        <v>402</v>
      </c>
      <c r="Q5" s="4" t="s">
        <v>403</v>
      </c>
      <c r="R5" s="4" t="s">
        <v>404</v>
      </c>
      <c r="S5" s="4" t="s">
        <v>405</v>
      </c>
      <c r="T5" s="4" t="s">
        <v>406</v>
      </c>
      <c r="U5" s="4">
        <v>1982</v>
      </c>
      <c r="V5" s="4">
        <v>55</v>
      </c>
      <c r="W5" s="4" t="s">
        <v>407</v>
      </c>
    </row>
    <row r="6" spans="1:23" hidden="1">
      <c r="A6" s="42" t="s">
        <v>389</v>
      </c>
      <c r="B6" s="42" t="s">
        <v>413</v>
      </c>
      <c r="C6" s="42" t="s">
        <v>414</v>
      </c>
      <c r="D6" s="42" t="s">
        <v>113</v>
      </c>
      <c r="E6" s="42" t="s">
        <v>415</v>
      </c>
      <c r="F6" s="42" t="s">
        <v>416</v>
      </c>
      <c r="G6" s="42" t="s">
        <v>417</v>
      </c>
      <c r="H6" s="42" t="s">
        <v>396</v>
      </c>
      <c r="I6" s="42" t="s">
        <v>397</v>
      </c>
      <c r="J6" s="42" t="s">
        <v>398</v>
      </c>
      <c r="K6" s="42" t="s">
        <v>399</v>
      </c>
      <c r="L6" s="42" t="s">
        <v>418</v>
      </c>
      <c r="M6" s="42">
        <v>-9.6389999999999993</v>
      </c>
      <c r="N6" s="4">
        <f t="shared" si="0"/>
        <v>-96.389999999999986</v>
      </c>
      <c r="O6" s="42" t="s">
        <v>401</v>
      </c>
      <c r="P6" s="42" t="s">
        <v>419</v>
      </c>
      <c r="Q6" s="42" t="s">
        <v>420</v>
      </c>
      <c r="R6" s="42" t="s">
        <v>421</v>
      </c>
      <c r="S6" s="42" t="s">
        <v>422</v>
      </c>
      <c r="T6" s="42" t="s">
        <v>423</v>
      </c>
      <c r="U6" s="42">
        <v>1986</v>
      </c>
      <c r="V6" s="42">
        <v>87</v>
      </c>
      <c r="W6" s="42" t="s">
        <v>424</v>
      </c>
    </row>
    <row r="7" spans="1:23" hidden="1">
      <c r="A7" s="42" t="s">
        <v>389</v>
      </c>
      <c r="B7" s="42" t="s">
        <v>425</v>
      </c>
      <c r="C7" s="42" t="s">
        <v>426</v>
      </c>
      <c r="D7" s="42" t="s">
        <v>427</v>
      </c>
      <c r="E7" s="42" t="s">
        <v>428</v>
      </c>
      <c r="F7" s="42" t="s">
        <v>429</v>
      </c>
      <c r="G7" s="42" t="s">
        <v>430</v>
      </c>
      <c r="H7" s="42" t="s">
        <v>396</v>
      </c>
      <c r="I7" s="42" t="s">
        <v>397</v>
      </c>
      <c r="J7" s="42" t="s">
        <v>398</v>
      </c>
      <c r="K7" s="42" t="s">
        <v>399</v>
      </c>
      <c r="L7" s="42" t="s">
        <v>431</v>
      </c>
      <c r="M7" s="42">
        <v>-8.6219999999999999</v>
      </c>
      <c r="N7" s="4">
        <f t="shared" si="0"/>
        <v>-86.22</v>
      </c>
      <c r="O7" s="42" t="s">
        <v>401</v>
      </c>
      <c r="P7" s="42" t="s">
        <v>419</v>
      </c>
      <c r="Q7" s="42" t="s">
        <v>420</v>
      </c>
      <c r="R7" s="42" t="s">
        <v>421</v>
      </c>
      <c r="S7" s="42" t="s">
        <v>422</v>
      </c>
      <c r="T7" s="42" t="s">
        <v>423</v>
      </c>
      <c r="U7" s="42">
        <v>1986</v>
      </c>
      <c r="V7" s="42">
        <v>87</v>
      </c>
      <c r="W7" s="42" t="s">
        <v>424</v>
      </c>
    </row>
    <row r="8" spans="1:23" hidden="1">
      <c r="A8" s="42" t="s">
        <v>389</v>
      </c>
      <c r="B8" s="42" t="s">
        <v>432</v>
      </c>
      <c r="C8" s="42" t="s">
        <v>433</v>
      </c>
      <c r="D8" s="42" t="s">
        <v>434</v>
      </c>
      <c r="E8" s="42" t="s">
        <v>435</v>
      </c>
      <c r="F8" s="42" t="s">
        <v>436</v>
      </c>
      <c r="G8" s="42" t="s">
        <v>437</v>
      </c>
      <c r="H8" s="42" t="s">
        <v>396</v>
      </c>
      <c r="I8" s="42" t="s">
        <v>397</v>
      </c>
      <c r="J8" s="42" t="s">
        <v>398</v>
      </c>
      <c r="K8" s="42" t="s">
        <v>399</v>
      </c>
      <c r="L8" s="42" t="s">
        <v>418</v>
      </c>
      <c r="M8" s="42">
        <v>-4.4690000000000003</v>
      </c>
      <c r="N8" s="4">
        <f t="shared" si="0"/>
        <v>-44.690000000000005</v>
      </c>
      <c r="O8" s="42" t="s">
        <v>401</v>
      </c>
      <c r="P8" s="42" t="s">
        <v>419</v>
      </c>
      <c r="Q8" s="42" t="s">
        <v>420</v>
      </c>
      <c r="R8" s="42" t="s">
        <v>421</v>
      </c>
      <c r="S8" s="42" t="s">
        <v>422</v>
      </c>
      <c r="T8" s="42" t="s">
        <v>423</v>
      </c>
      <c r="U8" s="42">
        <v>1986</v>
      </c>
      <c r="V8" s="42">
        <v>87</v>
      </c>
      <c r="W8" s="42" t="s">
        <v>424</v>
      </c>
    </row>
    <row r="9" spans="1:23" hidden="1">
      <c r="A9" s="42" t="s">
        <v>389</v>
      </c>
      <c r="B9" s="42" t="s">
        <v>432</v>
      </c>
      <c r="C9" s="42" t="s">
        <v>438</v>
      </c>
      <c r="D9" s="42" t="s">
        <v>434</v>
      </c>
      <c r="E9" s="42" t="s">
        <v>439</v>
      </c>
      <c r="F9" s="42" t="s">
        <v>440</v>
      </c>
      <c r="G9" s="42" t="s">
        <v>441</v>
      </c>
      <c r="H9" s="42" t="s">
        <v>396</v>
      </c>
      <c r="I9" s="42" t="s">
        <v>397</v>
      </c>
      <c r="J9" s="42" t="s">
        <v>398</v>
      </c>
      <c r="K9" s="42" t="s">
        <v>399</v>
      </c>
      <c r="L9" s="42" t="s">
        <v>431</v>
      </c>
      <c r="M9" s="42">
        <v>-4.1909999999999998</v>
      </c>
      <c r="N9" s="4">
        <f t="shared" si="0"/>
        <v>-41.91</v>
      </c>
      <c r="O9" s="42" t="s">
        <v>401</v>
      </c>
      <c r="P9" s="42" t="s">
        <v>419</v>
      </c>
      <c r="Q9" s="42" t="s">
        <v>420</v>
      </c>
      <c r="R9" s="42" t="s">
        <v>421</v>
      </c>
      <c r="S9" s="42" t="s">
        <v>422</v>
      </c>
      <c r="T9" s="42" t="s">
        <v>423</v>
      </c>
      <c r="U9" s="42">
        <v>1986</v>
      </c>
      <c r="V9" s="42">
        <v>87</v>
      </c>
      <c r="W9" s="42" t="s">
        <v>424</v>
      </c>
    </row>
    <row r="10" spans="1:23" hidden="1">
      <c r="A10" s="42" t="s">
        <v>389</v>
      </c>
      <c r="B10" s="42" t="s">
        <v>413</v>
      </c>
      <c r="C10" s="42" t="s">
        <v>442</v>
      </c>
      <c r="D10" s="42" t="s">
        <v>113</v>
      </c>
      <c r="E10" s="42" t="s">
        <v>443</v>
      </c>
      <c r="F10" s="42" t="s">
        <v>444</v>
      </c>
      <c r="G10" s="42" t="s">
        <v>445</v>
      </c>
      <c r="H10" s="42" t="s">
        <v>396</v>
      </c>
      <c r="I10" s="42" t="s">
        <v>397</v>
      </c>
      <c r="J10" s="42" t="s">
        <v>398</v>
      </c>
      <c r="K10" s="42" t="s">
        <v>399</v>
      </c>
      <c r="L10" s="42" t="s">
        <v>418</v>
      </c>
      <c r="M10" s="42">
        <v>-3.9</v>
      </c>
      <c r="N10" s="4">
        <f t="shared" si="0"/>
        <v>-39</v>
      </c>
      <c r="O10" s="42" t="s">
        <v>401</v>
      </c>
      <c r="P10" s="42" t="s">
        <v>419</v>
      </c>
      <c r="Q10" s="42" t="s">
        <v>420</v>
      </c>
      <c r="R10" s="42" t="s">
        <v>421</v>
      </c>
      <c r="S10" s="42" t="s">
        <v>422</v>
      </c>
      <c r="T10" s="42" t="s">
        <v>423</v>
      </c>
      <c r="U10" s="42">
        <v>1986</v>
      </c>
      <c r="V10" s="42">
        <v>87</v>
      </c>
      <c r="W10" s="42" t="s">
        <v>424</v>
      </c>
    </row>
    <row r="11" spans="1:23" hidden="1">
      <c r="A11" s="42" t="s">
        <v>389</v>
      </c>
      <c r="B11" s="42" t="s">
        <v>425</v>
      </c>
      <c r="C11" s="42" t="s">
        <v>426</v>
      </c>
      <c r="D11" s="42" t="s">
        <v>427</v>
      </c>
      <c r="E11" s="42" t="s">
        <v>428</v>
      </c>
      <c r="F11" s="42" t="s">
        <v>429</v>
      </c>
      <c r="G11" s="42" t="s">
        <v>430</v>
      </c>
      <c r="H11" s="42" t="s">
        <v>396</v>
      </c>
      <c r="I11" s="42" t="s">
        <v>397</v>
      </c>
      <c r="J11" s="42" t="s">
        <v>398</v>
      </c>
      <c r="K11" s="42" t="s">
        <v>399</v>
      </c>
      <c r="L11" s="42" t="s">
        <v>400</v>
      </c>
      <c r="M11" s="42">
        <v>-3.677</v>
      </c>
      <c r="N11" s="4">
        <f t="shared" si="0"/>
        <v>-36.770000000000003</v>
      </c>
      <c r="O11" s="42" t="s">
        <v>401</v>
      </c>
      <c r="P11" s="42" t="s">
        <v>419</v>
      </c>
      <c r="Q11" s="42" t="s">
        <v>420</v>
      </c>
      <c r="R11" s="42" t="s">
        <v>421</v>
      </c>
      <c r="S11" s="42" t="s">
        <v>422</v>
      </c>
      <c r="T11" s="42" t="s">
        <v>423</v>
      </c>
      <c r="U11" s="42">
        <v>1986</v>
      </c>
      <c r="V11" s="42">
        <v>87</v>
      </c>
      <c r="W11" s="42" t="s">
        <v>424</v>
      </c>
    </row>
    <row r="12" spans="1:23" hidden="1">
      <c r="A12" s="42" t="s">
        <v>389</v>
      </c>
      <c r="B12" s="42" t="s">
        <v>432</v>
      </c>
      <c r="C12" s="42" t="s">
        <v>433</v>
      </c>
      <c r="D12" s="42" t="s">
        <v>434</v>
      </c>
      <c r="E12" s="42" t="s">
        <v>435</v>
      </c>
      <c r="F12" s="42" t="s">
        <v>436</v>
      </c>
      <c r="G12" s="42" t="s">
        <v>446</v>
      </c>
      <c r="H12" s="42" t="s">
        <v>396</v>
      </c>
      <c r="I12" s="42" t="s">
        <v>397</v>
      </c>
      <c r="J12" s="42" t="s">
        <v>398</v>
      </c>
      <c r="K12" s="42" t="s">
        <v>399</v>
      </c>
      <c r="L12" s="42" t="s">
        <v>431</v>
      </c>
      <c r="M12" s="42">
        <v>-3.0459999999999998</v>
      </c>
      <c r="N12" s="4">
        <f t="shared" si="0"/>
        <v>-30.459999999999997</v>
      </c>
      <c r="O12" s="42" t="s">
        <v>401</v>
      </c>
      <c r="P12" s="42" t="s">
        <v>419</v>
      </c>
      <c r="Q12" s="42" t="s">
        <v>420</v>
      </c>
      <c r="R12" s="42" t="s">
        <v>421</v>
      </c>
      <c r="S12" s="42" t="s">
        <v>422</v>
      </c>
      <c r="T12" s="42" t="s">
        <v>423</v>
      </c>
      <c r="U12" s="42">
        <v>1986</v>
      </c>
      <c r="V12" s="42">
        <v>87</v>
      </c>
      <c r="W12" s="42" t="s">
        <v>424</v>
      </c>
    </row>
    <row r="13" spans="1:23" hidden="1">
      <c r="A13" s="42" t="s">
        <v>389</v>
      </c>
      <c r="B13" s="42" t="s">
        <v>432</v>
      </c>
      <c r="C13" s="42" t="s">
        <v>438</v>
      </c>
      <c r="D13" s="42" t="s">
        <v>434</v>
      </c>
      <c r="E13" s="42" t="s">
        <v>439</v>
      </c>
      <c r="F13" s="42" t="s">
        <v>447</v>
      </c>
      <c r="G13" s="42" t="s">
        <v>448</v>
      </c>
      <c r="H13" s="42" t="s">
        <v>396</v>
      </c>
      <c r="I13" s="42" t="s">
        <v>397</v>
      </c>
      <c r="J13" s="42" t="s">
        <v>398</v>
      </c>
      <c r="K13" s="42" t="s">
        <v>399</v>
      </c>
      <c r="L13" s="42" t="s">
        <v>418</v>
      </c>
      <c r="M13" s="42">
        <v>-1.9119999999999999</v>
      </c>
      <c r="N13" s="4">
        <f t="shared" si="0"/>
        <v>-19.119999999999997</v>
      </c>
      <c r="O13" s="42" t="s">
        <v>401</v>
      </c>
      <c r="P13" s="42" t="s">
        <v>419</v>
      </c>
      <c r="Q13" s="42" t="s">
        <v>420</v>
      </c>
      <c r="R13" s="42" t="s">
        <v>421</v>
      </c>
      <c r="S13" s="42" t="s">
        <v>422</v>
      </c>
      <c r="T13" s="42" t="s">
        <v>423</v>
      </c>
      <c r="U13" s="42">
        <v>1986</v>
      </c>
      <c r="V13" s="42">
        <v>87</v>
      </c>
      <c r="W13" s="42" t="s">
        <v>424</v>
      </c>
    </row>
    <row r="14" spans="1:23" hidden="1">
      <c r="A14" s="42" t="s">
        <v>389</v>
      </c>
      <c r="B14" s="42" t="s">
        <v>432</v>
      </c>
      <c r="C14" s="42" t="s">
        <v>438</v>
      </c>
      <c r="D14" s="42" t="s">
        <v>434</v>
      </c>
      <c r="E14" s="42" t="s">
        <v>439</v>
      </c>
      <c r="F14" s="42" t="s">
        <v>447</v>
      </c>
      <c r="G14" s="42" t="s">
        <v>448</v>
      </c>
      <c r="H14" s="42" t="s">
        <v>396</v>
      </c>
      <c r="I14" s="42" t="s">
        <v>397</v>
      </c>
      <c r="J14" s="42" t="s">
        <v>398</v>
      </c>
      <c r="K14" s="42" t="s">
        <v>399</v>
      </c>
      <c r="L14" s="42" t="s">
        <v>400</v>
      </c>
      <c r="M14" s="42">
        <v>-1.621</v>
      </c>
      <c r="N14" s="4">
        <f t="shared" si="0"/>
        <v>-16.21</v>
      </c>
      <c r="O14" s="42" t="s">
        <v>401</v>
      </c>
      <c r="P14" s="42" t="s">
        <v>419</v>
      </c>
      <c r="Q14" s="42" t="s">
        <v>420</v>
      </c>
      <c r="R14" s="42" t="s">
        <v>421</v>
      </c>
      <c r="S14" s="42" t="s">
        <v>422</v>
      </c>
      <c r="T14" s="42" t="s">
        <v>423</v>
      </c>
      <c r="U14" s="42">
        <v>1986</v>
      </c>
      <c r="V14" s="42">
        <v>87</v>
      </c>
      <c r="W14" s="42" t="s">
        <v>424</v>
      </c>
    </row>
    <row r="15" spans="1:23" hidden="1">
      <c r="A15" s="42" t="s">
        <v>389</v>
      </c>
      <c r="B15" s="42" t="s">
        <v>425</v>
      </c>
      <c r="C15" s="42" t="s">
        <v>426</v>
      </c>
      <c r="D15" s="42" t="s">
        <v>427</v>
      </c>
      <c r="E15" s="42" t="s">
        <v>428</v>
      </c>
      <c r="F15" s="42" t="s">
        <v>429</v>
      </c>
      <c r="G15" s="42" t="s">
        <v>430</v>
      </c>
      <c r="H15" s="42" t="s">
        <v>396</v>
      </c>
      <c r="I15" s="42" t="s">
        <v>397</v>
      </c>
      <c r="J15" s="42" t="s">
        <v>398</v>
      </c>
      <c r="K15" s="42" t="s">
        <v>399</v>
      </c>
      <c r="L15" s="42" t="s">
        <v>418</v>
      </c>
      <c r="M15" s="42">
        <v>-1.2709999999999999</v>
      </c>
      <c r="N15" s="4">
        <f t="shared" si="0"/>
        <v>-12.709999999999999</v>
      </c>
      <c r="O15" s="42" t="s">
        <v>401</v>
      </c>
      <c r="P15" s="42" t="s">
        <v>419</v>
      </c>
      <c r="Q15" s="42" t="s">
        <v>420</v>
      </c>
      <c r="R15" s="42" t="s">
        <v>421</v>
      </c>
      <c r="S15" s="42" t="s">
        <v>422</v>
      </c>
      <c r="T15" s="42" t="s">
        <v>423</v>
      </c>
      <c r="U15" s="42">
        <v>1986</v>
      </c>
      <c r="V15" s="42">
        <v>87</v>
      </c>
      <c r="W15" s="42" t="s">
        <v>424</v>
      </c>
    </row>
    <row r="16" spans="1:23" hidden="1">
      <c r="A16" s="42" t="s">
        <v>389</v>
      </c>
      <c r="B16" s="42" t="s">
        <v>432</v>
      </c>
      <c r="C16" s="42" t="s">
        <v>433</v>
      </c>
      <c r="D16" s="42" t="s">
        <v>434</v>
      </c>
      <c r="E16" s="42" t="s">
        <v>435</v>
      </c>
      <c r="F16" s="42" t="s">
        <v>436</v>
      </c>
      <c r="G16" s="42" t="s">
        <v>446</v>
      </c>
      <c r="H16" s="42" t="s">
        <v>396</v>
      </c>
      <c r="I16" s="42" t="s">
        <v>397</v>
      </c>
      <c r="J16" s="42" t="s">
        <v>398</v>
      </c>
      <c r="K16" s="42" t="s">
        <v>399</v>
      </c>
      <c r="L16" s="42" t="s">
        <v>400</v>
      </c>
      <c r="M16" s="42">
        <v>-0.95799999999999996</v>
      </c>
      <c r="N16" s="4">
        <f t="shared" si="0"/>
        <v>-9.58</v>
      </c>
      <c r="O16" s="42" t="s">
        <v>401</v>
      </c>
      <c r="P16" s="42" t="s">
        <v>419</v>
      </c>
      <c r="Q16" s="42" t="s">
        <v>420</v>
      </c>
      <c r="R16" s="42" t="s">
        <v>421</v>
      </c>
      <c r="S16" s="42" t="s">
        <v>422</v>
      </c>
      <c r="T16" s="42" t="s">
        <v>423</v>
      </c>
      <c r="U16" s="42">
        <v>1986</v>
      </c>
      <c r="V16" s="42">
        <v>87</v>
      </c>
      <c r="W16" s="42" t="s">
        <v>424</v>
      </c>
    </row>
    <row r="17" spans="1:23" hidden="1">
      <c r="A17" s="42" t="s">
        <v>389</v>
      </c>
      <c r="B17" s="42" t="s">
        <v>390</v>
      </c>
      <c r="C17" s="42" t="s">
        <v>449</v>
      </c>
      <c r="D17" s="42" t="s">
        <v>392</v>
      </c>
      <c r="E17" s="42" t="s">
        <v>450</v>
      </c>
      <c r="F17" s="42" t="s">
        <v>451</v>
      </c>
      <c r="G17" s="42" t="s">
        <v>452</v>
      </c>
      <c r="H17" s="42" t="s">
        <v>396</v>
      </c>
      <c r="I17" s="42" t="s">
        <v>397</v>
      </c>
      <c r="J17" s="42" t="s">
        <v>398</v>
      </c>
      <c r="K17" s="42" t="s">
        <v>399</v>
      </c>
      <c r="L17" s="42" t="s">
        <v>418</v>
      </c>
      <c r="M17" s="42">
        <v>-0.92</v>
      </c>
      <c r="N17" s="4">
        <f t="shared" si="0"/>
        <v>-9.2000000000000011</v>
      </c>
      <c r="O17" s="42" t="s">
        <v>401</v>
      </c>
      <c r="P17" s="42" t="s">
        <v>419</v>
      </c>
      <c r="Q17" s="42" t="s">
        <v>420</v>
      </c>
      <c r="R17" s="42" t="s">
        <v>421</v>
      </c>
      <c r="S17" s="42" t="s">
        <v>422</v>
      </c>
      <c r="T17" s="42" t="s">
        <v>423</v>
      </c>
      <c r="U17" s="42">
        <v>1986</v>
      </c>
      <c r="V17" s="42">
        <v>87</v>
      </c>
      <c r="W17" s="42" t="s">
        <v>424</v>
      </c>
    </row>
    <row r="18" spans="1:23" hidden="1">
      <c r="A18" s="42" t="s">
        <v>389</v>
      </c>
      <c r="B18" s="42" t="s">
        <v>432</v>
      </c>
      <c r="C18" s="42" t="s">
        <v>453</v>
      </c>
      <c r="D18" s="42" t="s">
        <v>434</v>
      </c>
      <c r="E18" s="42" t="s">
        <v>454</v>
      </c>
      <c r="F18" s="42" t="s">
        <v>455</v>
      </c>
      <c r="G18" s="42" t="s">
        <v>456</v>
      </c>
      <c r="H18" s="42" t="s">
        <v>396</v>
      </c>
      <c r="I18" s="42" t="s">
        <v>397</v>
      </c>
      <c r="J18" s="42" t="s">
        <v>398</v>
      </c>
      <c r="K18" s="42" t="s">
        <v>399</v>
      </c>
      <c r="L18" s="42" t="s">
        <v>418</v>
      </c>
      <c r="M18" s="42">
        <v>-0.66200000000000003</v>
      </c>
      <c r="N18" s="4">
        <f t="shared" si="0"/>
        <v>-6.62</v>
      </c>
      <c r="O18" s="42" t="s">
        <v>401</v>
      </c>
      <c r="P18" s="42" t="s">
        <v>419</v>
      </c>
      <c r="Q18" s="42" t="s">
        <v>420</v>
      </c>
      <c r="R18" s="42" t="s">
        <v>421</v>
      </c>
      <c r="S18" s="42" t="s">
        <v>422</v>
      </c>
      <c r="T18" s="42" t="s">
        <v>423</v>
      </c>
      <c r="U18" s="42">
        <v>1986</v>
      </c>
      <c r="V18" s="42">
        <v>87</v>
      </c>
      <c r="W18" s="42" t="s">
        <v>424</v>
      </c>
    </row>
    <row r="19" spans="1:23" hidden="1">
      <c r="A19" s="42" t="s">
        <v>389</v>
      </c>
      <c r="B19" s="42" t="s">
        <v>425</v>
      </c>
      <c r="C19" s="42" t="s">
        <v>457</v>
      </c>
      <c r="D19" s="42" t="s">
        <v>458</v>
      </c>
      <c r="E19" s="42" t="s">
        <v>459</v>
      </c>
      <c r="F19" s="42" t="s">
        <v>460</v>
      </c>
      <c r="G19" s="42" t="s">
        <v>245</v>
      </c>
      <c r="H19" s="42" t="s">
        <v>396</v>
      </c>
      <c r="I19" s="42" t="s">
        <v>397</v>
      </c>
      <c r="J19" s="42" t="s">
        <v>398</v>
      </c>
      <c r="K19" s="42" t="s">
        <v>399</v>
      </c>
      <c r="L19" s="42" t="s">
        <v>418</v>
      </c>
      <c r="M19" s="42">
        <v>-0.26</v>
      </c>
      <c r="N19" s="4">
        <f t="shared" si="0"/>
        <v>-2.6</v>
      </c>
      <c r="O19" s="42" t="s">
        <v>401</v>
      </c>
      <c r="P19" s="42" t="s">
        <v>419</v>
      </c>
      <c r="Q19" s="42" t="s">
        <v>420</v>
      </c>
      <c r="R19" s="42" t="s">
        <v>421</v>
      </c>
      <c r="S19" s="42" t="s">
        <v>422</v>
      </c>
      <c r="T19" s="42" t="s">
        <v>423</v>
      </c>
      <c r="U19" s="42">
        <v>1986</v>
      </c>
      <c r="V19" s="42">
        <v>87</v>
      </c>
      <c r="W19" s="42" t="s">
        <v>424</v>
      </c>
    </row>
    <row r="20" spans="1:23" hidden="1">
      <c r="A20" s="42" t="s">
        <v>389</v>
      </c>
      <c r="B20" s="42" t="s">
        <v>413</v>
      </c>
      <c r="C20" s="42" t="s">
        <v>414</v>
      </c>
      <c r="D20" s="42" t="s">
        <v>113</v>
      </c>
      <c r="E20" s="42" t="s">
        <v>415</v>
      </c>
      <c r="F20" s="42" t="s">
        <v>416</v>
      </c>
      <c r="G20" s="42" t="s">
        <v>417</v>
      </c>
      <c r="H20" s="42" t="s">
        <v>396</v>
      </c>
      <c r="I20" s="42" t="s">
        <v>397</v>
      </c>
      <c r="J20" s="42" t="s">
        <v>398</v>
      </c>
      <c r="K20" s="42" t="s">
        <v>399</v>
      </c>
      <c r="L20" s="42" t="s">
        <v>400</v>
      </c>
      <c r="M20" s="42">
        <v>0.375</v>
      </c>
      <c r="N20" s="4">
        <f t="shared" si="0"/>
        <v>3.75</v>
      </c>
      <c r="O20" s="42" t="s">
        <v>401</v>
      </c>
      <c r="P20" s="42" t="s">
        <v>419</v>
      </c>
      <c r="Q20" s="42" t="s">
        <v>420</v>
      </c>
      <c r="R20" s="42" t="s">
        <v>421</v>
      </c>
      <c r="S20" s="42" t="s">
        <v>422</v>
      </c>
      <c r="T20" s="42" t="s">
        <v>423</v>
      </c>
      <c r="U20" s="42">
        <v>1986</v>
      </c>
      <c r="V20" s="42">
        <v>87</v>
      </c>
      <c r="W20" s="42" t="s">
        <v>424</v>
      </c>
    </row>
    <row r="21" spans="1:23" hidden="1">
      <c r="A21" s="42" t="s">
        <v>389</v>
      </c>
      <c r="B21" s="42" t="s">
        <v>413</v>
      </c>
      <c r="C21" s="42" t="s">
        <v>442</v>
      </c>
      <c r="D21" s="42" t="s">
        <v>113</v>
      </c>
      <c r="E21" s="42" t="s">
        <v>443</v>
      </c>
      <c r="F21" s="42" t="s">
        <v>444</v>
      </c>
      <c r="G21" s="42" t="s">
        <v>461</v>
      </c>
      <c r="H21" s="42" t="s">
        <v>396</v>
      </c>
      <c r="I21" s="42" t="s">
        <v>397</v>
      </c>
      <c r="J21" s="42" t="s">
        <v>398</v>
      </c>
      <c r="K21" s="42" t="s">
        <v>399</v>
      </c>
      <c r="L21" s="42" t="s">
        <v>431</v>
      </c>
      <c r="M21" s="42">
        <v>0.88600000000000001</v>
      </c>
      <c r="N21" s="4">
        <f t="shared" si="0"/>
        <v>8.86</v>
      </c>
      <c r="O21" s="42" t="s">
        <v>401</v>
      </c>
      <c r="P21" s="42" t="s">
        <v>419</v>
      </c>
      <c r="Q21" s="42" t="s">
        <v>420</v>
      </c>
      <c r="R21" s="42" t="s">
        <v>421</v>
      </c>
      <c r="S21" s="42" t="s">
        <v>422</v>
      </c>
      <c r="T21" s="42" t="s">
        <v>423</v>
      </c>
      <c r="U21" s="42">
        <v>1986</v>
      </c>
      <c r="V21" s="42">
        <v>87</v>
      </c>
      <c r="W21" s="42" t="s">
        <v>424</v>
      </c>
    </row>
    <row r="22" spans="1:23" hidden="1">
      <c r="A22" s="42" t="s">
        <v>389</v>
      </c>
      <c r="B22" s="42" t="s">
        <v>432</v>
      </c>
      <c r="C22" s="42" t="s">
        <v>433</v>
      </c>
      <c r="D22" s="42" t="s">
        <v>434</v>
      </c>
      <c r="E22" s="42" t="s">
        <v>435</v>
      </c>
      <c r="F22" s="42" t="s">
        <v>436</v>
      </c>
      <c r="G22" s="42" t="s">
        <v>462</v>
      </c>
      <c r="H22" s="42" t="s">
        <v>396</v>
      </c>
      <c r="I22" s="42" t="s">
        <v>397</v>
      </c>
      <c r="J22" s="42" t="s">
        <v>398</v>
      </c>
      <c r="K22" s="42" t="s">
        <v>399</v>
      </c>
      <c r="L22" s="42" t="s">
        <v>418</v>
      </c>
      <c r="M22" s="42">
        <v>0.99</v>
      </c>
      <c r="N22" s="4">
        <f t="shared" si="0"/>
        <v>9.9</v>
      </c>
      <c r="O22" s="42" t="s">
        <v>401</v>
      </c>
      <c r="P22" s="42" t="s">
        <v>419</v>
      </c>
      <c r="Q22" s="42" t="s">
        <v>420</v>
      </c>
      <c r="R22" s="42" t="s">
        <v>421</v>
      </c>
      <c r="S22" s="42" t="s">
        <v>422</v>
      </c>
      <c r="T22" s="42" t="s">
        <v>423</v>
      </c>
      <c r="U22" s="42">
        <v>1986</v>
      </c>
      <c r="V22" s="42">
        <v>87</v>
      </c>
      <c r="W22" s="42" t="s">
        <v>424</v>
      </c>
    </row>
    <row r="23" spans="1:23" hidden="1">
      <c r="A23" s="42" t="s">
        <v>389</v>
      </c>
      <c r="B23" s="42" t="s">
        <v>390</v>
      </c>
      <c r="C23" s="42" t="s">
        <v>449</v>
      </c>
      <c r="D23" s="42" t="s">
        <v>392</v>
      </c>
      <c r="E23" s="42" t="s">
        <v>450</v>
      </c>
      <c r="F23" s="42" t="s">
        <v>451</v>
      </c>
      <c r="G23" s="42" t="s">
        <v>463</v>
      </c>
      <c r="H23" s="42" t="s">
        <v>396</v>
      </c>
      <c r="I23" s="42" t="s">
        <v>397</v>
      </c>
      <c r="J23" s="42" t="s">
        <v>398</v>
      </c>
      <c r="K23" s="42" t="s">
        <v>399</v>
      </c>
      <c r="L23" s="42" t="s">
        <v>418</v>
      </c>
      <c r="M23" s="42">
        <v>0.99299999999999999</v>
      </c>
      <c r="N23" s="4">
        <f t="shared" si="0"/>
        <v>9.93</v>
      </c>
      <c r="O23" s="42" t="s">
        <v>401</v>
      </c>
      <c r="P23" s="42" t="s">
        <v>419</v>
      </c>
      <c r="Q23" s="42" t="s">
        <v>420</v>
      </c>
      <c r="R23" s="42" t="s">
        <v>421</v>
      </c>
      <c r="S23" s="42" t="s">
        <v>422</v>
      </c>
      <c r="T23" s="42" t="s">
        <v>423</v>
      </c>
      <c r="U23" s="42">
        <v>1986</v>
      </c>
      <c r="V23" s="42">
        <v>87</v>
      </c>
      <c r="W23" s="42" t="s">
        <v>424</v>
      </c>
    </row>
    <row r="24" spans="1:23" hidden="1">
      <c r="A24" s="42" t="s">
        <v>389</v>
      </c>
      <c r="B24" s="42" t="s">
        <v>432</v>
      </c>
      <c r="C24" s="42" t="s">
        <v>464</v>
      </c>
      <c r="D24" s="42" t="s">
        <v>434</v>
      </c>
      <c r="E24" s="42" t="s">
        <v>465</v>
      </c>
      <c r="F24" s="42" t="s">
        <v>466</v>
      </c>
      <c r="G24" s="42" t="s">
        <v>249</v>
      </c>
      <c r="H24" s="42" t="s">
        <v>396</v>
      </c>
      <c r="I24" s="42" t="s">
        <v>397</v>
      </c>
      <c r="J24" s="42" t="s">
        <v>398</v>
      </c>
      <c r="K24" s="42" t="s">
        <v>399</v>
      </c>
      <c r="L24" s="42" t="s">
        <v>418</v>
      </c>
      <c r="M24" s="42">
        <v>1.0049999999999999</v>
      </c>
      <c r="N24" s="4">
        <f t="shared" si="0"/>
        <v>10.049999999999999</v>
      </c>
      <c r="O24" s="42" t="s">
        <v>401</v>
      </c>
      <c r="P24" s="42" t="s">
        <v>419</v>
      </c>
      <c r="Q24" s="42" t="s">
        <v>420</v>
      </c>
      <c r="R24" s="42" t="s">
        <v>421</v>
      </c>
      <c r="S24" s="42" t="s">
        <v>422</v>
      </c>
      <c r="T24" s="42" t="s">
        <v>423</v>
      </c>
      <c r="U24" s="42">
        <v>1986</v>
      </c>
      <c r="V24" s="42">
        <v>87</v>
      </c>
      <c r="W24" s="42" t="s">
        <v>424</v>
      </c>
    </row>
    <row r="25" spans="1:23" hidden="1">
      <c r="A25" s="42" t="s">
        <v>389</v>
      </c>
      <c r="B25" s="42" t="s">
        <v>432</v>
      </c>
      <c r="C25" s="42" t="s">
        <v>433</v>
      </c>
      <c r="D25" s="42" t="s">
        <v>434</v>
      </c>
      <c r="E25" s="42" t="s">
        <v>467</v>
      </c>
      <c r="F25" s="42" t="s">
        <v>468</v>
      </c>
      <c r="G25" s="42" t="s">
        <v>469</v>
      </c>
      <c r="H25" s="42" t="s">
        <v>396</v>
      </c>
      <c r="I25" s="42" t="s">
        <v>397</v>
      </c>
      <c r="J25" s="42" t="s">
        <v>398</v>
      </c>
      <c r="K25" s="42" t="s">
        <v>399</v>
      </c>
      <c r="L25" s="42" t="s">
        <v>418</v>
      </c>
      <c r="M25" s="42">
        <v>1.081</v>
      </c>
      <c r="N25" s="4">
        <f t="shared" si="0"/>
        <v>10.809999999999999</v>
      </c>
      <c r="O25" s="42" t="s">
        <v>401</v>
      </c>
      <c r="P25" s="42" t="s">
        <v>419</v>
      </c>
      <c r="Q25" s="42" t="s">
        <v>420</v>
      </c>
      <c r="R25" s="42" t="s">
        <v>421</v>
      </c>
      <c r="S25" s="42" t="s">
        <v>422</v>
      </c>
      <c r="T25" s="42" t="s">
        <v>423</v>
      </c>
      <c r="U25" s="42">
        <v>1986</v>
      </c>
      <c r="V25" s="42">
        <v>87</v>
      </c>
      <c r="W25" s="42" t="s">
        <v>424</v>
      </c>
    </row>
    <row r="26" spans="1:23" hidden="1">
      <c r="A26" s="42" t="s">
        <v>389</v>
      </c>
      <c r="B26" s="42" t="s">
        <v>432</v>
      </c>
      <c r="C26" s="42" t="s">
        <v>438</v>
      </c>
      <c r="D26" s="42" t="s">
        <v>434</v>
      </c>
      <c r="E26" s="42" t="s">
        <v>439</v>
      </c>
      <c r="F26" s="42" t="s">
        <v>440</v>
      </c>
      <c r="G26" s="42" t="s">
        <v>470</v>
      </c>
      <c r="H26" s="42" t="s">
        <v>396</v>
      </c>
      <c r="I26" s="42" t="s">
        <v>397</v>
      </c>
      <c r="J26" s="42" t="s">
        <v>398</v>
      </c>
      <c r="K26" s="42" t="s">
        <v>399</v>
      </c>
      <c r="L26" s="42" t="s">
        <v>400</v>
      </c>
      <c r="M26" s="42">
        <v>1.698</v>
      </c>
      <c r="N26" s="4">
        <f t="shared" si="0"/>
        <v>16.98</v>
      </c>
      <c r="O26" s="42" t="s">
        <v>401</v>
      </c>
      <c r="P26" s="42" t="s">
        <v>419</v>
      </c>
      <c r="Q26" s="42" t="s">
        <v>420</v>
      </c>
      <c r="R26" s="42" t="s">
        <v>421</v>
      </c>
      <c r="S26" s="42" t="s">
        <v>422</v>
      </c>
      <c r="T26" s="42" t="s">
        <v>423</v>
      </c>
      <c r="U26" s="42">
        <v>1986</v>
      </c>
      <c r="V26" s="42">
        <v>87</v>
      </c>
      <c r="W26" s="42" t="s">
        <v>424</v>
      </c>
    </row>
    <row r="27" spans="1:23" hidden="1">
      <c r="A27" s="42" t="s">
        <v>389</v>
      </c>
      <c r="B27" s="42" t="s">
        <v>432</v>
      </c>
      <c r="C27" s="42" t="s">
        <v>438</v>
      </c>
      <c r="D27" s="42" t="s">
        <v>434</v>
      </c>
      <c r="E27" s="42" t="s">
        <v>439</v>
      </c>
      <c r="F27" s="42" t="s">
        <v>440</v>
      </c>
      <c r="G27" s="42" t="s">
        <v>441</v>
      </c>
      <c r="H27" s="42" t="s">
        <v>396</v>
      </c>
      <c r="I27" s="42" t="s">
        <v>397</v>
      </c>
      <c r="J27" s="42" t="s">
        <v>398</v>
      </c>
      <c r="K27" s="42" t="s">
        <v>399</v>
      </c>
      <c r="L27" s="42" t="s">
        <v>400</v>
      </c>
      <c r="M27" s="42">
        <v>1.8740000000000001</v>
      </c>
      <c r="N27" s="4">
        <f t="shared" si="0"/>
        <v>18.740000000000002</v>
      </c>
      <c r="O27" s="42" t="s">
        <v>401</v>
      </c>
      <c r="P27" s="42" t="s">
        <v>419</v>
      </c>
      <c r="Q27" s="42" t="s">
        <v>420</v>
      </c>
      <c r="R27" s="42" t="s">
        <v>421</v>
      </c>
      <c r="S27" s="42" t="s">
        <v>422</v>
      </c>
      <c r="T27" s="42" t="s">
        <v>423</v>
      </c>
      <c r="U27" s="42">
        <v>1986</v>
      </c>
      <c r="V27" s="42">
        <v>87</v>
      </c>
      <c r="W27" s="42" t="s">
        <v>424</v>
      </c>
    </row>
    <row r="28" spans="1:23" hidden="1">
      <c r="A28" s="42" t="s">
        <v>389</v>
      </c>
      <c r="B28" s="42" t="s">
        <v>432</v>
      </c>
      <c r="C28" s="42" t="s">
        <v>433</v>
      </c>
      <c r="D28" s="42" t="s">
        <v>434</v>
      </c>
      <c r="E28" s="42" t="s">
        <v>435</v>
      </c>
      <c r="F28" s="42" t="s">
        <v>436</v>
      </c>
      <c r="G28" s="42" t="s">
        <v>471</v>
      </c>
      <c r="H28" s="42" t="s">
        <v>396</v>
      </c>
      <c r="I28" s="42" t="s">
        <v>397</v>
      </c>
      <c r="J28" s="42" t="s">
        <v>398</v>
      </c>
      <c r="K28" s="42" t="s">
        <v>399</v>
      </c>
      <c r="L28" s="42" t="s">
        <v>418</v>
      </c>
      <c r="M28" s="42">
        <v>1.893</v>
      </c>
      <c r="N28" s="4">
        <f t="shared" si="0"/>
        <v>18.93</v>
      </c>
      <c r="O28" s="42" t="s">
        <v>401</v>
      </c>
      <c r="P28" s="42" t="s">
        <v>419</v>
      </c>
      <c r="Q28" s="42" t="s">
        <v>420</v>
      </c>
      <c r="R28" s="42" t="s">
        <v>421</v>
      </c>
      <c r="S28" s="42" t="s">
        <v>422</v>
      </c>
      <c r="T28" s="42" t="s">
        <v>423</v>
      </c>
      <c r="U28" s="42">
        <v>1986</v>
      </c>
      <c r="V28" s="42">
        <v>87</v>
      </c>
      <c r="W28" s="42" t="s">
        <v>424</v>
      </c>
    </row>
    <row r="29" spans="1:23" hidden="1">
      <c r="A29" s="42" t="s">
        <v>389</v>
      </c>
      <c r="B29" s="42" t="s">
        <v>390</v>
      </c>
      <c r="C29" s="42" t="s">
        <v>449</v>
      </c>
      <c r="D29" s="42" t="s">
        <v>392</v>
      </c>
      <c r="E29" s="42" t="s">
        <v>450</v>
      </c>
      <c r="F29" s="42" t="s">
        <v>451</v>
      </c>
      <c r="G29" s="42" t="s">
        <v>472</v>
      </c>
      <c r="H29" s="42" t="s">
        <v>396</v>
      </c>
      <c r="I29" s="42" t="s">
        <v>397</v>
      </c>
      <c r="J29" s="42" t="s">
        <v>398</v>
      </c>
      <c r="K29" s="42" t="s">
        <v>399</v>
      </c>
      <c r="L29" s="42" t="s">
        <v>418</v>
      </c>
      <c r="M29" s="42">
        <v>1.903</v>
      </c>
      <c r="N29" s="4">
        <f t="shared" si="0"/>
        <v>19.03</v>
      </c>
      <c r="O29" s="42" t="s">
        <v>401</v>
      </c>
      <c r="P29" s="42" t="s">
        <v>419</v>
      </c>
      <c r="Q29" s="42" t="s">
        <v>420</v>
      </c>
      <c r="R29" s="42" t="s">
        <v>421</v>
      </c>
      <c r="S29" s="42" t="s">
        <v>422</v>
      </c>
      <c r="T29" s="42" t="s">
        <v>423</v>
      </c>
      <c r="U29" s="42">
        <v>1986</v>
      </c>
      <c r="V29" s="42">
        <v>87</v>
      </c>
      <c r="W29" s="42" t="s">
        <v>424</v>
      </c>
    </row>
    <row r="30" spans="1:23" hidden="1">
      <c r="A30" s="42" t="s">
        <v>389</v>
      </c>
      <c r="B30" s="42" t="s">
        <v>390</v>
      </c>
      <c r="C30" s="42" t="s">
        <v>449</v>
      </c>
      <c r="D30" s="42" t="s">
        <v>392</v>
      </c>
      <c r="E30" s="42" t="s">
        <v>450</v>
      </c>
      <c r="F30" s="42" t="s">
        <v>451</v>
      </c>
      <c r="G30" s="42" t="s">
        <v>452</v>
      </c>
      <c r="H30" s="42" t="s">
        <v>396</v>
      </c>
      <c r="I30" s="42" t="s">
        <v>397</v>
      </c>
      <c r="J30" s="42" t="s">
        <v>398</v>
      </c>
      <c r="K30" s="42" t="s">
        <v>399</v>
      </c>
      <c r="L30" s="42" t="s">
        <v>400</v>
      </c>
      <c r="M30" s="42">
        <v>1.921</v>
      </c>
      <c r="N30" s="4">
        <f t="shared" si="0"/>
        <v>19.21</v>
      </c>
      <c r="O30" s="42" t="s">
        <v>401</v>
      </c>
      <c r="P30" s="42" t="s">
        <v>419</v>
      </c>
      <c r="Q30" s="42" t="s">
        <v>420</v>
      </c>
      <c r="R30" s="42" t="s">
        <v>421</v>
      </c>
      <c r="S30" s="42" t="s">
        <v>422</v>
      </c>
      <c r="T30" s="42" t="s">
        <v>423</v>
      </c>
      <c r="U30" s="42">
        <v>1986</v>
      </c>
      <c r="V30" s="42">
        <v>87</v>
      </c>
      <c r="W30" s="42" t="s">
        <v>424</v>
      </c>
    </row>
    <row r="31" spans="1:23" hidden="1">
      <c r="A31" s="42" t="s">
        <v>389</v>
      </c>
      <c r="B31" s="42" t="s">
        <v>432</v>
      </c>
      <c r="C31" s="42" t="s">
        <v>433</v>
      </c>
      <c r="D31" s="42" t="s">
        <v>434</v>
      </c>
      <c r="E31" s="42" t="s">
        <v>473</v>
      </c>
      <c r="F31" s="42" t="s">
        <v>474</v>
      </c>
      <c r="G31" s="42" t="s">
        <v>475</v>
      </c>
      <c r="H31" s="42" t="s">
        <v>396</v>
      </c>
      <c r="I31" s="42" t="s">
        <v>397</v>
      </c>
      <c r="J31" s="42" t="s">
        <v>398</v>
      </c>
      <c r="K31" s="42" t="s">
        <v>399</v>
      </c>
      <c r="L31" s="42" t="s">
        <v>418</v>
      </c>
      <c r="M31" s="42">
        <v>2.0219999999999998</v>
      </c>
      <c r="N31" s="4">
        <f t="shared" si="0"/>
        <v>20.22</v>
      </c>
      <c r="O31" s="42" t="s">
        <v>401</v>
      </c>
      <c r="P31" s="42" t="s">
        <v>419</v>
      </c>
      <c r="Q31" s="42" t="s">
        <v>420</v>
      </c>
      <c r="R31" s="42" t="s">
        <v>421</v>
      </c>
      <c r="S31" s="42" t="s">
        <v>422</v>
      </c>
      <c r="T31" s="42" t="s">
        <v>423</v>
      </c>
      <c r="U31" s="42">
        <v>1986</v>
      </c>
      <c r="V31" s="42">
        <v>87</v>
      </c>
      <c r="W31" s="42" t="s">
        <v>424</v>
      </c>
    </row>
    <row r="32" spans="1:23" hidden="1">
      <c r="A32" s="42" t="s">
        <v>389</v>
      </c>
      <c r="B32" s="42" t="s">
        <v>413</v>
      </c>
      <c r="C32" s="42" t="s">
        <v>442</v>
      </c>
      <c r="D32" s="42" t="s">
        <v>113</v>
      </c>
      <c r="E32" s="42" t="s">
        <v>443</v>
      </c>
      <c r="F32" s="42" t="s">
        <v>444</v>
      </c>
      <c r="G32" s="42" t="s">
        <v>461</v>
      </c>
      <c r="H32" s="42" t="s">
        <v>396</v>
      </c>
      <c r="I32" s="42" t="s">
        <v>397</v>
      </c>
      <c r="J32" s="42" t="s">
        <v>398</v>
      </c>
      <c r="K32" s="42" t="s">
        <v>399</v>
      </c>
      <c r="L32" s="42" t="s">
        <v>418</v>
      </c>
      <c r="M32" s="42">
        <v>2.117</v>
      </c>
      <c r="N32" s="4">
        <f t="shared" si="0"/>
        <v>21.17</v>
      </c>
      <c r="O32" s="42" t="s">
        <v>401</v>
      </c>
      <c r="P32" s="42" t="s">
        <v>419</v>
      </c>
      <c r="Q32" s="42" t="s">
        <v>420</v>
      </c>
      <c r="R32" s="42" t="s">
        <v>421</v>
      </c>
      <c r="S32" s="42" t="s">
        <v>422</v>
      </c>
      <c r="T32" s="42" t="s">
        <v>423</v>
      </c>
      <c r="U32" s="42">
        <v>1986</v>
      </c>
      <c r="V32" s="42">
        <v>87</v>
      </c>
      <c r="W32" s="42" t="s">
        <v>424</v>
      </c>
    </row>
    <row r="33" spans="1:23" hidden="1">
      <c r="A33" s="42" t="s">
        <v>389</v>
      </c>
      <c r="B33" s="42" t="s">
        <v>413</v>
      </c>
      <c r="C33" s="42" t="s">
        <v>442</v>
      </c>
      <c r="D33" s="42" t="s">
        <v>113</v>
      </c>
      <c r="E33" s="42" t="s">
        <v>476</v>
      </c>
      <c r="F33" s="42" t="s">
        <v>477</v>
      </c>
      <c r="G33" s="42" t="s">
        <v>478</v>
      </c>
      <c r="H33" s="42" t="s">
        <v>396</v>
      </c>
      <c r="I33" s="42" t="s">
        <v>397</v>
      </c>
      <c r="J33" s="42" t="s">
        <v>398</v>
      </c>
      <c r="K33" s="42" t="s">
        <v>399</v>
      </c>
      <c r="L33" s="42" t="s">
        <v>418</v>
      </c>
      <c r="M33" s="42">
        <v>2.1219999999999999</v>
      </c>
      <c r="N33" s="4">
        <f t="shared" si="0"/>
        <v>21.22</v>
      </c>
      <c r="O33" s="42" t="s">
        <v>401</v>
      </c>
      <c r="P33" s="42" t="s">
        <v>419</v>
      </c>
      <c r="Q33" s="42" t="s">
        <v>420</v>
      </c>
      <c r="R33" s="42" t="s">
        <v>421</v>
      </c>
      <c r="S33" s="42" t="s">
        <v>422</v>
      </c>
      <c r="T33" s="42" t="s">
        <v>423</v>
      </c>
      <c r="U33" s="42">
        <v>1986</v>
      </c>
      <c r="V33" s="42">
        <v>87</v>
      </c>
      <c r="W33" s="42" t="s">
        <v>424</v>
      </c>
    </row>
    <row r="34" spans="1:23" hidden="1">
      <c r="A34" s="42" t="s">
        <v>389</v>
      </c>
      <c r="B34" s="42" t="s">
        <v>432</v>
      </c>
      <c r="C34" s="42" t="s">
        <v>438</v>
      </c>
      <c r="D34" s="42" t="s">
        <v>434</v>
      </c>
      <c r="E34" s="42" t="s">
        <v>439</v>
      </c>
      <c r="F34" s="42" t="s">
        <v>447</v>
      </c>
      <c r="G34" s="42" t="s">
        <v>448</v>
      </c>
      <c r="H34" s="42" t="s">
        <v>396</v>
      </c>
      <c r="I34" s="42" t="s">
        <v>397</v>
      </c>
      <c r="J34" s="42" t="s">
        <v>398</v>
      </c>
      <c r="K34" s="42" t="s">
        <v>399</v>
      </c>
      <c r="L34" s="42" t="s">
        <v>431</v>
      </c>
      <c r="M34" s="42">
        <v>2.1800000000000002</v>
      </c>
      <c r="N34" s="4">
        <f t="shared" si="0"/>
        <v>21.8</v>
      </c>
      <c r="O34" s="42" t="s">
        <v>401</v>
      </c>
      <c r="P34" s="42" t="s">
        <v>419</v>
      </c>
      <c r="Q34" s="42" t="s">
        <v>420</v>
      </c>
      <c r="R34" s="42" t="s">
        <v>421</v>
      </c>
      <c r="S34" s="42" t="s">
        <v>422</v>
      </c>
      <c r="T34" s="42" t="s">
        <v>423</v>
      </c>
      <c r="U34" s="42">
        <v>1986</v>
      </c>
      <c r="V34" s="42">
        <v>87</v>
      </c>
      <c r="W34" s="42" t="s">
        <v>424</v>
      </c>
    </row>
    <row r="35" spans="1:23" hidden="1">
      <c r="A35" s="42" t="s">
        <v>389</v>
      </c>
      <c r="B35" s="42" t="s">
        <v>432</v>
      </c>
      <c r="C35" s="42" t="s">
        <v>438</v>
      </c>
      <c r="D35" s="42" t="s">
        <v>434</v>
      </c>
      <c r="E35" s="42" t="s">
        <v>439</v>
      </c>
      <c r="F35" s="42" t="s">
        <v>440</v>
      </c>
      <c r="G35" s="42" t="s">
        <v>470</v>
      </c>
      <c r="H35" s="42" t="s">
        <v>396</v>
      </c>
      <c r="I35" s="42" t="s">
        <v>397</v>
      </c>
      <c r="J35" s="42" t="s">
        <v>398</v>
      </c>
      <c r="K35" s="42" t="s">
        <v>399</v>
      </c>
      <c r="L35" s="42" t="s">
        <v>418</v>
      </c>
      <c r="M35" s="42">
        <v>2.2850000000000001</v>
      </c>
      <c r="N35" s="4">
        <f t="shared" si="0"/>
        <v>22.85</v>
      </c>
      <c r="O35" s="42" t="s">
        <v>401</v>
      </c>
      <c r="P35" s="42" t="s">
        <v>419</v>
      </c>
      <c r="Q35" s="42" t="s">
        <v>420</v>
      </c>
      <c r="R35" s="42" t="s">
        <v>421</v>
      </c>
      <c r="S35" s="42" t="s">
        <v>422</v>
      </c>
      <c r="T35" s="42" t="s">
        <v>423</v>
      </c>
      <c r="U35" s="42">
        <v>1986</v>
      </c>
      <c r="V35" s="42">
        <v>87</v>
      </c>
      <c r="W35" s="42" t="s">
        <v>424</v>
      </c>
    </row>
    <row r="36" spans="1:23" hidden="1">
      <c r="A36" s="42" t="s">
        <v>389</v>
      </c>
      <c r="B36" s="42" t="s">
        <v>413</v>
      </c>
      <c r="C36" s="42" t="s">
        <v>442</v>
      </c>
      <c r="D36" s="42" t="s">
        <v>113</v>
      </c>
      <c r="E36" s="42" t="s">
        <v>476</v>
      </c>
      <c r="F36" s="42" t="s">
        <v>477</v>
      </c>
      <c r="G36" s="42" t="s">
        <v>478</v>
      </c>
      <c r="H36" s="42" t="s">
        <v>396</v>
      </c>
      <c r="I36" s="42" t="s">
        <v>397</v>
      </c>
      <c r="J36" s="42" t="s">
        <v>398</v>
      </c>
      <c r="K36" s="42" t="s">
        <v>399</v>
      </c>
      <c r="L36" s="42" t="s">
        <v>400</v>
      </c>
      <c r="M36" s="42">
        <v>2.3330000000000002</v>
      </c>
      <c r="N36" s="4">
        <f t="shared" si="0"/>
        <v>23.330000000000002</v>
      </c>
      <c r="O36" s="42" t="s">
        <v>401</v>
      </c>
      <c r="P36" s="42" t="s">
        <v>419</v>
      </c>
      <c r="Q36" s="42" t="s">
        <v>420</v>
      </c>
      <c r="R36" s="42" t="s">
        <v>421</v>
      </c>
      <c r="S36" s="42" t="s">
        <v>422</v>
      </c>
      <c r="T36" s="42" t="s">
        <v>423</v>
      </c>
      <c r="U36" s="42">
        <v>1986</v>
      </c>
      <c r="V36" s="42">
        <v>87</v>
      </c>
      <c r="W36" s="42" t="s">
        <v>424</v>
      </c>
    </row>
    <row r="37" spans="1:23" hidden="1">
      <c r="A37" s="42" t="s">
        <v>389</v>
      </c>
      <c r="B37" s="42" t="s">
        <v>413</v>
      </c>
      <c r="C37" s="42" t="s">
        <v>442</v>
      </c>
      <c r="D37" s="42" t="s">
        <v>113</v>
      </c>
      <c r="E37" s="42" t="s">
        <v>443</v>
      </c>
      <c r="F37" s="42" t="s">
        <v>444</v>
      </c>
      <c r="G37" s="42" t="s">
        <v>445</v>
      </c>
      <c r="H37" s="42" t="s">
        <v>396</v>
      </c>
      <c r="I37" s="42" t="s">
        <v>397</v>
      </c>
      <c r="J37" s="42" t="s">
        <v>398</v>
      </c>
      <c r="K37" s="42" t="s">
        <v>399</v>
      </c>
      <c r="L37" s="42" t="s">
        <v>400</v>
      </c>
      <c r="M37" s="42">
        <v>2.5</v>
      </c>
      <c r="N37" s="4">
        <f t="shared" si="0"/>
        <v>25</v>
      </c>
      <c r="O37" s="42" t="s">
        <v>401</v>
      </c>
      <c r="P37" s="42" t="s">
        <v>419</v>
      </c>
      <c r="Q37" s="42" t="s">
        <v>420</v>
      </c>
      <c r="R37" s="42" t="s">
        <v>421</v>
      </c>
      <c r="S37" s="42" t="s">
        <v>422</v>
      </c>
      <c r="T37" s="42" t="s">
        <v>423</v>
      </c>
      <c r="U37" s="42">
        <v>1986</v>
      </c>
      <c r="V37" s="42">
        <v>87</v>
      </c>
      <c r="W37" s="42" t="s">
        <v>424</v>
      </c>
    </row>
    <row r="38" spans="1:23" hidden="1">
      <c r="A38" s="42" t="s">
        <v>389</v>
      </c>
      <c r="B38" s="42" t="s">
        <v>413</v>
      </c>
      <c r="C38" s="42" t="s">
        <v>479</v>
      </c>
      <c r="D38" s="42" t="s">
        <v>116</v>
      </c>
      <c r="E38" s="42" t="s">
        <v>480</v>
      </c>
      <c r="F38" s="42" t="s">
        <v>481</v>
      </c>
      <c r="G38" s="42" t="s">
        <v>482</v>
      </c>
      <c r="H38" s="42" t="s">
        <v>396</v>
      </c>
      <c r="I38" s="42" t="s">
        <v>397</v>
      </c>
      <c r="J38" s="42" t="s">
        <v>398</v>
      </c>
      <c r="K38" s="42" t="s">
        <v>399</v>
      </c>
      <c r="L38" s="42" t="s">
        <v>418</v>
      </c>
      <c r="M38" s="42">
        <v>2.5459999999999998</v>
      </c>
      <c r="N38" s="4">
        <f t="shared" si="0"/>
        <v>25.459999999999997</v>
      </c>
      <c r="O38" s="42" t="s">
        <v>401</v>
      </c>
      <c r="P38" s="42" t="s">
        <v>419</v>
      </c>
      <c r="Q38" s="42" t="s">
        <v>420</v>
      </c>
      <c r="R38" s="42" t="s">
        <v>421</v>
      </c>
      <c r="S38" s="42" t="s">
        <v>422</v>
      </c>
      <c r="T38" s="42" t="s">
        <v>423</v>
      </c>
      <c r="U38" s="42">
        <v>1986</v>
      </c>
      <c r="V38" s="42">
        <v>87</v>
      </c>
      <c r="W38" s="42" t="s">
        <v>424</v>
      </c>
    </row>
    <row r="39" spans="1:23" hidden="1">
      <c r="A39" s="42" t="s">
        <v>389</v>
      </c>
      <c r="B39" s="42" t="s">
        <v>432</v>
      </c>
      <c r="C39" s="42" t="s">
        <v>433</v>
      </c>
      <c r="D39" s="42" t="s">
        <v>434</v>
      </c>
      <c r="E39" s="42" t="s">
        <v>435</v>
      </c>
      <c r="F39" s="42" t="s">
        <v>436</v>
      </c>
      <c r="G39" s="42" t="s">
        <v>446</v>
      </c>
      <c r="H39" s="42" t="s">
        <v>396</v>
      </c>
      <c r="I39" s="42" t="s">
        <v>397</v>
      </c>
      <c r="J39" s="42" t="s">
        <v>398</v>
      </c>
      <c r="K39" s="42" t="s">
        <v>399</v>
      </c>
      <c r="L39" s="42" t="s">
        <v>418</v>
      </c>
      <c r="M39" s="42">
        <v>2.6070000000000002</v>
      </c>
      <c r="N39" s="4">
        <f t="shared" si="0"/>
        <v>26.07</v>
      </c>
      <c r="O39" s="42" t="s">
        <v>401</v>
      </c>
      <c r="P39" s="42" t="s">
        <v>419</v>
      </c>
      <c r="Q39" s="42" t="s">
        <v>420</v>
      </c>
      <c r="R39" s="42" t="s">
        <v>421</v>
      </c>
      <c r="S39" s="42" t="s">
        <v>422</v>
      </c>
      <c r="T39" s="42" t="s">
        <v>423</v>
      </c>
      <c r="U39" s="42">
        <v>1986</v>
      </c>
      <c r="V39" s="42">
        <v>87</v>
      </c>
      <c r="W39" s="42" t="s">
        <v>424</v>
      </c>
    </row>
    <row r="40" spans="1:23" hidden="1">
      <c r="A40" s="42" t="s">
        <v>389</v>
      </c>
      <c r="B40" s="42" t="s">
        <v>425</v>
      </c>
      <c r="C40" s="42" t="s">
        <v>457</v>
      </c>
      <c r="D40" s="42" t="s">
        <v>458</v>
      </c>
      <c r="E40" s="42" t="s">
        <v>459</v>
      </c>
      <c r="F40" s="42" t="s">
        <v>460</v>
      </c>
      <c r="G40" s="42" t="s">
        <v>245</v>
      </c>
      <c r="H40" s="42" t="s">
        <v>396</v>
      </c>
      <c r="I40" s="42" t="s">
        <v>397</v>
      </c>
      <c r="J40" s="42" t="s">
        <v>398</v>
      </c>
      <c r="K40" s="42" t="s">
        <v>399</v>
      </c>
      <c r="L40" s="42" t="s">
        <v>400</v>
      </c>
      <c r="M40" s="42">
        <v>2.8639999999999999</v>
      </c>
      <c r="N40" s="4">
        <f t="shared" si="0"/>
        <v>28.64</v>
      </c>
      <c r="O40" s="42" t="s">
        <v>401</v>
      </c>
      <c r="P40" s="42" t="s">
        <v>419</v>
      </c>
      <c r="Q40" s="42" t="s">
        <v>420</v>
      </c>
      <c r="R40" s="42" t="s">
        <v>421</v>
      </c>
      <c r="S40" s="42" t="s">
        <v>422</v>
      </c>
      <c r="T40" s="42" t="s">
        <v>423</v>
      </c>
      <c r="U40" s="42">
        <v>1986</v>
      </c>
      <c r="V40" s="42">
        <v>87</v>
      </c>
      <c r="W40" s="42" t="s">
        <v>424</v>
      </c>
    </row>
    <row r="41" spans="1:23" hidden="1">
      <c r="A41" s="42" t="s">
        <v>389</v>
      </c>
      <c r="B41" s="42" t="s">
        <v>390</v>
      </c>
      <c r="C41" s="42" t="s">
        <v>449</v>
      </c>
      <c r="D41" s="42" t="s">
        <v>392</v>
      </c>
      <c r="E41" s="42" t="s">
        <v>450</v>
      </c>
      <c r="F41" s="42" t="s">
        <v>451</v>
      </c>
      <c r="G41" s="42" t="s">
        <v>472</v>
      </c>
      <c r="H41" s="42" t="s">
        <v>396</v>
      </c>
      <c r="I41" s="42" t="s">
        <v>397</v>
      </c>
      <c r="J41" s="42" t="s">
        <v>398</v>
      </c>
      <c r="K41" s="42" t="s">
        <v>399</v>
      </c>
      <c r="L41" s="42" t="s">
        <v>400</v>
      </c>
      <c r="M41" s="42">
        <v>3.0190000000000001</v>
      </c>
      <c r="N41" s="4">
        <f t="shared" si="0"/>
        <v>30.19</v>
      </c>
      <c r="O41" s="42" t="s">
        <v>401</v>
      </c>
      <c r="P41" s="42" t="s">
        <v>419</v>
      </c>
      <c r="Q41" s="42" t="s">
        <v>420</v>
      </c>
      <c r="R41" s="42" t="s">
        <v>421</v>
      </c>
      <c r="S41" s="42" t="s">
        <v>422</v>
      </c>
      <c r="T41" s="42" t="s">
        <v>423</v>
      </c>
      <c r="U41" s="42">
        <v>1986</v>
      </c>
      <c r="V41" s="42">
        <v>87</v>
      </c>
      <c r="W41" s="42" t="s">
        <v>424</v>
      </c>
    </row>
    <row r="42" spans="1:23" hidden="1">
      <c r="A42" s="42" t="s">
        <v>389</v>
      </c>
      <c r="B42" s="42" t="s">
        <v>432</v>
      </c>
      <c r="C42" s="42" t="s">
        <v>483</v>
      </c>
      <c r="D42" s="42" t="s">
        <v>434</v>
      </c>
      <c r="E42" s="42" t="s">
        <v>484</v>
      </c>
      <c r="F42" s="42" t="s">
        <v>485</v>
      </c>
      <c r="G42" s="42" t="s">
        <v>486</v>
      </c>
      <c r="H42" s="42" t="s">
        <v>396</v>
      </c>
      <c r="I42" s="42" t="s">
        <v>397</v>
      </c>
      <c r="J42" s="42" t="s">
        <v>398</v>
      </c>
      <c r="K42" s="42" t="s">
        <v>399</v>
      </c>
      <c r="L42" s="42" t="s">
        <v>431</v>
      </c>
      <c r="M42" s="42">
        <v>3.0870000000000002</v>
      </c>
      <c r="N42" s="4">
        <f t="shared" si="0"/>
        <v>30.87</v>
      </c>
      <c r="O42" s="42" t="s">
        <v>401</v>
      </c>
      <c r="P42" s="42" t="s">
        <v>419</v>
      </c>
      <c r="Q42" s="42" t="s">
        <v>420</v>
      </c>
      <c r="R42" s="42" t="s">
        <v>421</v>
      </c>
      <c r="S42" s="42" t="s">
        <v>422</v>
      </c>
      <c r="T42" s="42" t="s">
        <v>423</v>
      </c>
      <c r="U42" s="42">
        <v>1986</v>
      </c>
      <c r="V42" s="42">
        <v>87</v>
      </c>
      <c r="W42" s="42" t="s">
        <v>424</v>
      </c>
    </row>
    <row r="43" spans="1:23" hidden="1">
      <c r="A43" s="42" t="s">
        <v>389</v>
      </c>
      <c r="B43" s="42" t="s">
        <v>413</v>
      </c>
      <c r="C43" s="42" t="s">
        <v>442</v>
      </c>
      <c r="D43" s="42" t="s">
        <v>113</v>
      </c>
      <c r="E43" s="42" t="s">
        <v>443</v>
      </c>
      <c r="F43" s="42" t="s">
        <v>444</v>
      </c>
      <c r="G43" s="42" t="s">
        <v>461</v>
      </c>
      <c r="H43" s="42" t="s">
        <v>396</v>
      </c>
      <c r="I43" s="42" t="s">
        <v>397</v>
      </c>
      <c r="J43" s="42" t="s">
        <v>398</v>
      </c>
      <c r="K43" s="42" t="s">
        <v>399</v>
      </c>
      <c r="L43" s="42" t="s">
        <v>400</v>
      </c>
      <c r="M43" s="42">
        <v>3.1269999999999998</v>
      </c>
      <c r="N43" s="4">
        <f t="shared" si="0"/>
        <v>31.269999999999996</v>
      </c>
      <c r="O43" s="42" t="s">
        <v>401</v>
      </c>
      <c r="P43" s="42" t="s">
        <v>419</v>
      </c>
      <c r="Q43" s="42" t="s">
        <v>420</v>
      </c>
      <c r="R43" s="42" t="s">
        <v>421</v>
      </c>
      <c r="S43" s="42" t="s">
        <v>422</v>
      </c>
      <c r="T43" s="42" t="s">
        <v>423</v>
      </c>
      <c r="U43" s="42">
        <v>1986</v>
      </c>
      <c r="V43" s="42">
        <v>87</v>
      </c>
      <c r="W43" s="42" t="s">
        <v>424</v>
      </c>
    </row>
    <row r="44" spans="1:23" hidden="1">
      <c r="A44" s="42" t="s">
        <v>389</v>
      </c>
      <c r="B44" s="42" t="s">
        <v>413</v>
      </c>
      <c r="C44" s="42" t="s">
        <v>479</v>
      </c>
      <c r="D44" s="42" t="s">
        <v>116</v>
      </c>
      <c r="E44" s="42" t="s">
        <v>487</v>
      </c>
      <c r="F44" s="42" t="s">
        <v>488</v>
      </c>
      <c r="G44" s="42" t="s">
        <v>489</v>
      </c>
      <c r="H44" s="42" t="s">
        <v>396</v>
      </c>
      <c r="I44" s="42" t="s">
        <v>397</v>
      </c>
      <c r="J44" s="42" t="s">
        <v>398</v>
      </c>
      <c r="K44" s="42" t="s">
        <v>399</v>
      </c>
      <c r="L44" s="42" t="s">
        <v>418</v>
      </c>
      <c r="M44" s="42">
        <v>3.14</v>
      </c>
      <c r="N44" s="4">
        <f t="shared" si="0"/>
        <v>31.400000000000002</v>
      </c>
      <c r="O44" s="42" t="s">
        <v>401</v>
      </c>
      <c r="P44" s="42" t="s">
        <v>419</v>
      </c>
      <c r="Q44" s="42" t="s">
        <v>420</v>
      </c>
      <c r="R44" s="42" t="s">
        <v>421</v>
      </c>
      <c r="S44" s="42" t="s">
        <v>422</v>
      </c>
      <c r="T44" s="42" t="s">
        <v>423</v>
      </c>
      <c r="U44" s="42">
        <v>1986</v>
      </c>
      <c r="V44" s="42">
        <v>87</v>
      </c>
      <c r="W44" s="42" t="s">
        <v>424</v>
      </c>
    </row>
    <row r="45" spans="1:23" hidden="1">
      <c r="A45" s="42" t="s">
        <v>389</v>
      </c>
      <c r="B45" s="42" t="s">
        <v>390</v>
      </c>
      <c r="C45" s="42" t="s">
        <v>449</v>
      </c>
      <c r="D45" s="42" t="s">
        <v>392</v>
      </c>
      <c r="E45" s="42" t="s">
        <v>450</v>
      </c>
      <c r="F45" s="42" t="s">
        <v>451</v>
      </c>
      <c r="G45" s="42" t="s">
        <v>452</v>
      </c>
      <c r="H45" s="42" t="s">
        <v>396</v>
      </c>
      <c r="I45" s="42" t="s">
        <v>397</v>
      </c>
      <c r="J45" s="42" t="s">
        <v>398</v>
      </c>
      <c r="K45" s="42" t="s">
        <v>399</v>
      </c>
      <c r="L45" s="42" t="s">
        <v>431</v>
      </c>
      <c r="M45" s="42">
        <v>3.1779999999999999</v>
      </c>
      <c r="N45" s="4">
        <f t="shared" si="0"/>
        <v>31.78</v>
      </c>
      <c r="O45" s="42" t="s">
        <v>401</v>
      </c>
      <c r="P45" s="42" t="s">
        <v>419</v>
      </c>
      <c r="Q45" s="42" t="s">
        <v>420</v>
      </c>
      <c r="R45" s="42" t="s">
        <v>421</v>
      </c>
      <c r="S45" s="42" t="s">
        <v>422</v>
      </c>
      <c r="T45" s="42" t="s">
        <v>423</v>
      </c>
      <c r="U45" s="42">
        <v>1986</v>
      </c>
      <c r="V45" s="42">
        <v>87</v>
      </c>
      <c r="W45" s="42" t="s">
        <v>424</v>
      </c>
    </row>
    <row r="46" spans="1:23" hidden="1">
      <c r="A46" s="42" t="s">
        <v>389</v>
      </c>
      <c r="B46" s="42" t="s">
        <v>432</v>
      </c>
      <c r="C46" s="42" t="s">
        <v>490</v>
      </c>
      <c r="D46" s="42" t="s">
        <v>434</v>
      </c>
      <c r="E46" s="42" t="s">
        <v>491</v>
      </c>
      <c r="F46" s="42" t="s">
        <v>492</v>
      </c>
      <c r="G46" s="42" t="s">
        <v>493</v>
      </c>
      <c r="H46" s="42" t="s">
        <v>396</v>
      </c>
      <c r="I46" s="42" t="s">
        <v>397</v>
      </c>
      <c r="J46" s="42" t="s">
        <v>398</v>
      </c>
      <c r="K46" s="42" t="s">
        <v>399</v>
      </c>
      <c r="L46" s="42" t="s">
        <v>418</v>
      </c>
      <c r="M46" s="42">
        <v>3.2080000000000002</v>
      </c>
      <c r="N46" s="4">
        <f t="shared" si="0"/>
        <v>32.08</v>
      </c>
      <c r="O46" s="42" t="s">
        <v>401</v>
      </c>
      <c r="P46" s="42" t="s">
        <v>419</v>
      </c>
      <c r="Q46" s="42" t="s">
        <v>420</v>
      </c>
      <c r="R46" s="42" t="s">
        <v>421</v>
      </c>
      <c r="S46" s="42" t="s">
        <v>422</v>
      </c>
      <c r="T46" s="42" t="s">
        <v>423</v>
      </c>
      <c r="U46" s="42">
        <v>1986</v>
      </c>
      <c r="V46" s="42">
        <v>87</v>
      </c>
      <c r="W46" s="42" t="s">
        <v>424</v>
      </c>
    </row>
    <row r="47" spans="1:23" hidden="1">
      <c r="A47" s="42" t="s">
        <v>389</v>
      </c>
      <c r="B47" s="42" t="s">
        <v>432</v>
      </c>
      <c r="C47" s="42" t="s">
        <v>453</v>
      </c>
      <c r="D47" s="42" t="s">
        <v>434</v>
      </c>
      <c r="E47" s="42" t="s">
        <v>454</v>
      </c>
      <c r="F47" s="42" t="s">
        <v>455</v>
      </c>
      <c r="G47" s="42" t="s">
        <v>456</v>
      </c>
      <c r="H47" s="42" t="s">
        <v>396</v>
      </c>
      <c r="I47" s="42" t="s">
        <v>397</v>
      </c>
      <c r="J47" s="42" t="s">
        <v>398</v>
      </c>
      <c r="K47" s="42" t="s">
        <v>399</v>
      </c>
      <c r="L47" s="42" t="s">
        <v>400</v>
      </c>
      <c r="M47" s="42">
        <v>3.278</v>
      </c>
      <c r="N47" s="4">
        <f t="shared" si="0"/>
        <v>32.78</v>
      </c>
      <c r="O47" s="42" t="s">
        <v>401</v>
      </c>
      <c r="P47" s="42" t="s">
        <v>419</v>
      </c>
      <c r="Q47" s="42" t="s">
        <v>420</v>
      </c>
      <c r="R47" s="42" t="s">
        <v>421</v>
      </c>
      <c r="S47" s="42" t="s">
        <v>422</v>
      </c>
      <c r="T47" s="42" t="s">
        <v>423</v>
      </c>
      <c r="U47" s="42">
        <v>1986</v>
      </c>
      <c r="V47" s="42">
        <v>87</v>
      </c>
      <c r="W47" s="42" t="s">
        <v>424</v>
      </c>
    </row>
    <row r="48" spans="1:23" hidden="1">
      <c r="A48" s="42" t="s">
        <v>389</v>
      </c>
      <c r="B48" s="42" t="s">
        <v>390</v>
      </c>
      <c r="C48" s="42" t="s">
        <v>449</v>
      </c>
      <c r="D48" s="42" t="s">
        <v>392</v>
      </c>
      <c r="E48" s="42" t="s">
        <v>450</v>
      </c>
      <c r="F48" s="42" t="s">
        <v>451</v>
      </c>
      <c r="G48" s="42" t="s">
        <v>472</v>
      </c>
      <c r="H48" s="42" t="s">
        <v>396</v>
      </c>
      <c r="I48" s="42" t="s">
        <v>397</v>
      </c>
      <c r="J48" s="42" t="s">
        <v>398</v>
      </c>
      <c r="K48" s="42" t="s">
        <v>399</v>
      </c>
      <c r="L48" s="42" t="s">
        <v>431</v>
      </c>
      <c r="M48" s="42">
        <v>3.415</v>
      </c>
      <c r="N48" s="4">
        <f t="shared" si="0"/>
        <v>34.15</v>
      </c>
      <c r="O48" s="42" t="s">
        <v>401</v>
      </c>
      <c r="P48" s="42" t="s">
        <v>419</v>
      </c>
      <c r="Q48" s="42" t="s">
        <v>420</v>
      </c>
      <c r="R48" s="42" t="s">
        <v>421</v>
      </c>
      <c r="S48" s="42" t="s">
        <v>422</v>
      </c>
      <c r="T48" s="42" t="s">
        <v>423</v>
      </c>
      <c r="U48" s="42">
        <v>1986</v>
      </c>
      <c r="V48" s="42">
        <v>87</v>
      </c>
      <c r="W48" s="42" t="s">
        <v>424</v>
      </c>
    </row>
    <row r="49" spans="1:23" hidden="1">
      <c r="A49" s="42" t="s">
        <v>389</v>
      </c>
      <c r="B49" s="42" t="s">
        <v>413</v>
      </c>
      <c r="C49" s="42" t="s">
        <v>414</v>
      </c>
      <c r="D49" s="42" t="s">
        <v>113</v>
      </c>
      <c r="E49" s="42" t="s">
        <v>415</v>
      </c>
      <c r="F49" s="42" t="s">
        <v>416</v>
      </c>
      <c r="G49" s="42" t="s">
        <v>417</v>
      </c>
      <c r="H49" s="42" t="s">
        <v>396</v>
      </c>
      <c r="I49" s="42" t="s">
        <v>397</v>
      </c>
      <c r="J49" s="42" t="s">
        <v>398</v>
      </c>
      <c r="K49" s="42" t="s">
        <v>399</v>
      </c>
      <c r="L49" s="42" t="s">
        <v>431</v>
      </c>
      <c r="M49" s="42">
        <v>3.43</v>
      </c>
      <c r="N49" s="4">
        <f t="shared" si="0"/>
        <v>34.300000000000004</v>
      </c>
      <c r="O49" s="42" t="s">
        <v>401</v>
      </c>
      <c r="P49" s="42" t="s">
        <v>419</v>
      </c>
      <c r="Q49" s="42" t="s">
        <v>420</v>
      </c>
      <c r="R49" s="42" t="s">
        <v>421</v>
      </c>
      <c r="S49" s="42" t="s">
        <v>422</v>
      </c>
      <c r="T49" s="42" t="s">
        <v>423</v>
      </c>
      <c r="U49" s="42">
        <v>1986</v>
      </c>
      <c r="V49" s="42">
        <v>87</v>
      </c>
      <c r="W49" s="42" t="s">
        <v>424</v>
      </c>
    </row>
    <row r="50" spans="1:23" hidden="1">
      <c r="A50" s="42" t="s">
        <v>389</v>
      </c>
      <c r="B50" s="42" t="s">
        <v>432</v>
      </c>
      <c r="C50" s="42" t="s">
        <v>433</v>
      </c>
      <c r="D50" s="42" t="s">
        <v>434</v>
      </c>
      <c r="E50" s="42" t="s">
        <v>467</v>
      </c>
      <c r="F50" s="42" t="s">
        <v>468</v>
      </c>
      <c r="G50" s="42" t="s">
        <v>494</v>
      </c>
      <c r="H50" s="42" t="s">
        <v>396</v>
      </c>
      <c r="I50" s="42" t="s">
        <v>397</v>
      </c>
      <c r="J50" s="42" t="s">
        <v>398</v>
      </c>
      <c r="K50" s="42" t="s">
        <v>399</v>
      </c>
      <c r="L50" s="42" t="s">
        <v>418</v>
      </c>
      <c r="M50" s="42">
        <v>3.7989999999999999</v>
      </c>
      <c r="N50" s="4">
        <f t="shared" si="0"/>
        <v>37.99</v>
      </c>
      <c r="O50" s="42" t="s">
        <v>401</v>
      </c>
      <c r="P50" s="42" t="s">
        <v>419</v>
      </c>
      <c r="Q50" s="42" t="s">
        <v>420</v>
      </c>
      <c r="R50" s="42" t="s">
        <v>421</v>
      </c>
      <c r="S50" s="42" t="s">
        <v>422</v>
      </c>
      <c r="T50" s="42" t="s">
        <v>423</v>
      </c>
      <c r="U50" s="42">
        <v>1986</v>
      </c>
      <c r="V50" s="42">
        <v>87</v>
      </c>
      <c r="W50" s="42" t="s">
        <v>424</v>
      </c>
    </row>
    <row r="51" spans="1:23" hidden="1">
      <c r="A51" s="42" t="s">
        <v>389</v>
      </c>
      <c r="B51" s="42" t="s">
        <v>413</v>
      </c>
      <c r="C51" s="42" t="s">
        <v>479</v>
      </c>
      <c r="D51" s="42" t="s">
        <v>116</v>
      </c>
      <c r="E51" s="42" t="s">
        <v>480</v>
      </c>
      <c r="F51" s="42" t="s">
        <v>481</v>
      </c>
      <c r="G51" s="42" t="s">
        <v>482</v>
      </c>
      <c r="H51" s="42" t="s">
        <v>396</v>
      </c>
      <c r="I51" s="42" t="s">
        <v>397</v>
      </c>
      <c r="J51" s="42" t="s">
        <v>398</v>
      </c>
      <c r="K51" s="42" t="s">
        <v>399</v>
      </c>
      <c r="L51" s="42" t="s">
        <v>400</v>
      </c>
      <c r="M51" s="42">
        <v>3.9420000000000002</v>
      </c>
      <c r="N51" s="4">
        <f t="shared" si="0"/>
        <v>39.42</v>
      </c>
      <c r="O51" s="42" t="s">
        <v>401</v>
      </c>
      <c r="P51" s="42" t="s">
        <v>419</v>
      </c>
      <c r="Q51" s="42" t="s">
        <v>420</v>
      </c>
      <c r="R51" s="42" t="s">
        <v>421</v>
      </c>
      <c r="S51" s="42" t="s">
        <v>422</v>
      </c>
      <c r="T51" s="42" t="s">
        <v>423</v>
      </c>
      <c r="U51" s="42">
        <v>1986</v>
      </c>
      <c r="V51" s="42">
        <v>87</v>
      </c>
      <c r="W51" s="42" t="s">
        <v>424</v>
      </c>
    </row>
    <row r="52" spans="1:23" hidden="1">
      <c r="A52" s="42" t="s">
        <v>389</v>
      </c>
      <c r="B52" s="42" t="s">
        <v>432</v>
      </c>
      <c r="C52" s="42" t="s">
        <v>453</v>
      </c>
      <c r="D52" s="42" t="s">
        <v>434</v>
      </c>
      <c r="E52" s="42" t="s">
        <v>454</v>
      </c>
      <c r="F52" s="42" t="s">
        <v>455</v>
      </c>
      <c r="G52" s="42" t="s">
        <v>456</v>
      </c>
      <c r="H52" s="42" t="s">
        <v>396</v>
      </c>
      <c r="I52" s="42" t="s">
        <v>397</v>
      </c>
      <c r="J52" s="42" t="s">
        <v>398</v>
      </c>
      <c r="K52" s="42" t="s">
        <v>399</v>
      </c>
      <c r="L52" s="42" t="s">
        <v>431</v>
      </c>
      <c r="M52" s="42">
        <v>4.1210000000000004</v>
      </c>
      <c r="N52" s="4">
        <f t="shared" si="0"/>
        <v>41.210000000000008</v>
      </c>
      <c r="O52" s="42" t="s">
        <v>401</v>
      </c>
      <c r="P52" s="42" t="s">
        <v>419</v>
      </c>
      <c r="Q52" s="42" t="s">
        <v>420</v>
      </c>
      <c r="R52" s="42" t="s">
        <v>421</v>
      </c>
      <c r="S52" s="42" t="s">
        <v>422</v>
      </c>
      <c r="T52" s="42" t="s">
        <v>423</v>
      </c>
      <c r="U52" s="42">
        <v>1986</v>
      </c>
      <c r="V52" s="42">
        <v>87</v>
      </c>
      <c r="W52" s="42" t="s">
        <v>424</v>
      </c>
    </row>
    <row r="53" spans="1:23" hidden="1">
      <c r="A53" s="42" t="s">
        <v>389</v>
      </c>
      <c r="B53" s="42" t="s">
        <v>432</v>
      </c>
      <c r="C53" s="42" t="s">
        <v>483</v>
      </c>
      <c r="D53" s="42" t="s">
        <v>434</v>
      </c>
      <c r="E53" s="42" t="s">
        <v>484</v>
      </c>
      <c r="F53" s="42" t="s">
        <v>485</v>
      </c>
      <c r="G53" s="42" t="s">
        <v>486</v>
      </c>
      <c r="H53" s="42" t="s">
        <v>396</v>
      </c>
      <c r="I53" s="42" t="s">
        <v>397</v>
      </c>
      <c r="J53" s="42" t="s">
        <v>398</v>
      </c>
      <c r="K53" s="42" t="s">
        <v>399</v>
      </c>
      <c r="L53" s="42" t="s">
        <v>400</v>
      </c>
      <c r="M53" s="42">
        <v>4.7610000000000001</v>
      </c>
      <c r="N53" s="4">
        <f t="shared" si="0"/>
        <v>47.61</v>
      </c>
      <c r="O53" s="42" t="s">
        <v>401</v>
      </c>
      <c r="P53" s="42" t="s">
        <v>419</v>
      </c>
      <c r="Q53" s="42" t="s">
        <v>420</v>
      </c>
      <c r="R53" s="42" t="s">
        <v>421</v>
      </c>
      <c r="S53" s="42" t="s">
        <v>422</v>
      </c>
      <c r="T53" s="42" t="s">
        <v>423</v>
      </c>
      <c r="U53" s="42">
        <v>1986</v>
      </c>
      <c r="V53" s="42">
        <v>87</v>
      </c>
      <c r="W53" s="42" t="s">
        <v>424</v>
      </c>
    </row>
    <row r="54" spans="1:23" hidden="1">
      <c r="A54" s="42" t="s">
        <v>389</v>
      </c>
      <c r="B54" s="42" t="s">
        <v>432</v>
      </c>
      <c r="C54" s="42" t="s">
        <v>433</v>
      </c>
      <c r="D54" s="42" t="s">
        <v>434</v>
      </c>
      <c r="E54" s="42" t="s">
        <v>435</v>
      </c>
      <c r="F54" s="42" t="s">
        <v>436</v>
      </c>
      <c r="G54" s="42" t="s">
        <v>437</v>
      </c>
      <c r="H54" s="42" t="s">
        <v>396</v>
      </c>
      <c r="I54" s="42" t="s">
        <v>397</v>
      </c>
      <c r="J54" s="42" t="s">
        <v>398</v>
      </c>
      <c r="K54" s="42" t="s">
        <v>399</v>
      </c>
      <c r="L54" s="42" t="s">
        <v>400</v>
      </c>
      <c r="M54" s="42">
        <v>4.8970000000000002</v>
      </c>
      <c r="N54" s="4">
        <f t="shared" si="0"/>
        <v>48.97</v>
      </c>
      <c r="O54" s="42" t="s">
        <v>401</v>
      </c>
      <c r="P54" s="42" t="s">
        <v>419</v>
      </c>
      <c r="Q54" s="42" t="s">
        <v>420</v>
      </c>
      <c r="R54" s="42" t="s">
        <v>421</v>
      </c>
      <c r="S54" s="42" t="s">
        <v>422</v>
      </c>
      <c r="T54" s="42" t="s">
        <v>423</v>
      </c>
      <c r="U54" s="42">
        <v>1986</v>
      </c>
      <c r="V54" s="42">
        <v>87</v>
      </c>
      <c r="W54" s="42" t="s">
        <v>424</v>
      </c>
    </row>
    <row r="55" spans="1:23" hidden="1">
      <c r="A55" s="42" t="s">
        <v>389</v>
      </c>
      <c r="B55" s="42" t="s">
        <v>432</v>
      </c>
      <c r="C55" s="42" t="s">
        <v>483</v>
      </c>
      <c r="D55" s="42" t="s">
        <v>434</v>
      </c>
      <c r="E55" s="42" t="s">
        <v>484</v>
      </c>
      <c r="F55" s="42" t="s">
        <v>485</v>
      </c>
      <c r="G55" s="42" t="s">
        <v>486</v>
      </c>
      <c r="H55" s="42" t="s">
        <v>396</v>
      </c>
      <c r="I55" s="42" t="s">
        <v>397</v>
      </c>
      <c r="J55" s="42" t="s">
        <v>398</v>
      </c>
      <c r="K55" s="42" t="s">
        <v>399</v>
      </c>
      <c r="L55" s="42" t="s">
        <v>418</v>
      </c>
      <c r="M55" s="42">
        <v>5.1159999999999997</v>
      </c>
      <c r="N55" s="4">
        <f t="shared" si="0"/>
        <v>51.16</v>
      </c>
      <c r="O55" s="42" t="s">
        <v>401</v>
      </c>
      <c r="P55" s="42" t="s">
        <v>419</v>
      </c>
      <c r="Q55" s="42" t="s">
        <v>420</v>
      </c>
      <c r="R55" s="42" t="s">
        <v>421</v>
      </c>
      <c r="S55" s="42" t="s">
        <v>422</v>
      </c>
      <c r="T55" s="42" t="s">
        <v>423</v>
      </c>
      <c r="U55" s="42">
        <v>1986</v>
      </c>
      <c r="V55" s="42">
        <v>87</v>
      </c>
      <c r="W55" s="42" t="s">
        <v>424</v>
      </c>
    </row>
    <row r="56" spans="1:23" hidden="1">
      <c r="A56" s="42" t="s">
        <v>389</v>
      </c>
      <c r="B56" s="42" t="s">
        <v>390</v>
      </c>
      <c r="C56" s="42" t="s">
        <v>449</v>
      </c>
      <c r="D56" s="42" t="s">
        <v>392</v>
      </c>
      <c r="E56" s="42" t="s">
        <v>450</v>
      </c>
      <c r="F56" s="42" t="s">
        <v>451</v>
      </c>
      <c r="G56" s="42" t="s">
        <v>463</v>
      </c>
      <c r="H56" s="42" t="s">
        <v>396</v>
      </c>
      <c r="I56" s="42" t="s">
        <v>397</v>
      </c>
      <c r="J56" s="42" t="s">
        <v>398</v>
      </c>
      <c r="K56" s="42" t="s">
        <v>399</v>
      </c>
      <c r="L56" s="42" t="s">
        <v>400</v>
      </c>
      <c r="M56" s="42">
        <v>5.202</v>
      </c>
      <c r="N56" s="4">
        <f t="shared" si="0"/>
        <v>52.019999999999996</v>
      </c>
      <c r="O56" s="42" t="s">
        <v>401</v>
      </c>
      <c r="P56" s="42" t="s">
        <v>419</v>
      </c>
      <c r="Q56" s="42" t="s">
        <v>420</v>
      </c>
      <c r="R56" s="42" t="s">
        <v>421</v>
      </c>
      <c r="S56" s="42" t="s">
        <v>422</v>
      </c>
      <c r="T56" s="42" t="s">
        <v>423</v>
      </c>
      <c r="U56" s="42">
        <v>1986</v>
      </c>
      <c r="V56" s="42">
        <v>87</v>
      </c>
      <c r="W56" s="42" t="s">
        <v>424</v>
      </c>
    </row>
    <row r="57" spans="1:23" hidden="1">
      <c r="A57" s="42" t="s">
        <v>389</v>
      </c>
      <c r="B57" s="42" t="s">
        <v>413</v>
      </c>
      <c r="C57" s="42" t="s">
        <v>442</v>
      </c>
      <c r="D57" s="42" t="s">
        <v>113</v>
      </c>
      <c r="E57" s="42" t="s">
        <v>476</v>
      </c>
      <c r="F57" s="42" t="s">
        <v>477</v>
      </c>
      <c r="G57" s="42" t="s">
        <v>478</v>
      </c>
      <c r="H57" s="42" t="s">
        <v>396</v>
      </c>
      <c r="I57" s="42" t="s">
        <v>397</v>
      </c>
      <c r="J57" s="42" t="s">
        <v>398</v>
      </c>
      <c r="K57" s="42" t="s">
        <v>399</v>
      </c>
      <c r="L57" s="42" t="s">
        <v>431</v>
      </c>
      <c r="M57" s="42">
        <v>5.2089999999999996</v>
      </c>
      <c r="N57" s="4">
        <f t="shared" si="0"/>
        <v>52.089999999999996</v>
      </c>
      <c r="O57" s="42" t="s">
        <v>401</v>
      </c>
      <c r="P57" s="42" t="s">
        <v>419</v>
      </c>
      <c r="Q57" s="42" t="s">
        <v>420</v>
      </c>
      <c r="R57" s="42" t="s">
        <v>421</v>
      </c>
      <c r="S57" s="42" t="s">
        <v>422</v>
      </c>
      <c r="T57" s="42" t="s">
        <v>423</v>
      </c>
      <c r="U57" s="42">
        <v>1986</v>
      </c>
      <c r="V57" s="42">
        <v>87</v>
      </c>
      <c r="W57" s="42" t="s">
        <v>424</v>
      </c>
    </row>
    <row r="58" spans="1:23" hidden="1">
      <c r="A58" s="42" t="s">
        <v>389</v>
      </c>
      <c r="B58" s="42" t="s">
        <v>432</v>
      </c>
      <c r="C58" s="42" t="s">
        <v>433</v>
      </c>
      <c r="D58" s="42" t="s">
        <v>434</v>
      </c>
      <c r="E58" s="42" t="s">
        <v>435</v>
      </c>
      <c r="F58" s="42" t="s">
        <v>436</v>
      </c>
      <c r="G58" s="42" t="s">
        <v>471</v>
      </c>
      <c r="H58" s="42" t="s">
        <v>396</v>
      </c>
      <c r="I58" s="42" t="s">
        <v>397</v>
      </c>
      <c r="J58" s="42" t="s">
        <v>398</v>
      </c>
      <c r="K58" s="42" t="s">
        <v>399</v>
      </c>
      <c r="L58" s="42" t="s">
        <v>400</v>
      </c>
      <c r="M58" s="42">
        <v>5.5860000000000003</v>
      </c>
      <c r="N58" s="4">
        <f t="shared" si="0"/>
        <v>55.86</v>
      </c>
      <c r="O58" s="42" t="s">
        <v>401</v>
      </c>
      <c r="P58" s="42" t="s">
        <v>419</v>
      </c>
      <c r="Q58" s="42" t="s">
        <v>420</v>
      </c>
      <c r="R58" s="42" t="s">
        <v>421</v>
      </c>
      <c r="S58" s="42" t="s">
        <v>422</v>
      </c>
      <c r="T58" s="42" t="s">
        <v>423</v>
      </c>
      <c r="U58" s="42">
        <v>1986</v>
      </c>
      <c r="V58" s="42">
        <v>87</v>
      </c>
      <c r="W58" s="42" t="s">
        <v>424</v>
      </c>
    </row>
    <row r="59" spans="1:23" hidden="1">
      <c r="A59" s="42" t="s">
        <v>389</v>
      </c>
      <c r="B59" s="42" t="s">
        <v>413</v>
      </c>
      <c r="C59" s="42" t="s">
        <v>442</v>
      </c>
      <c r="D59" s="42" t="s">
        <v>113</v>
      </c>
      <c r="E59" s="42" t="s">
        <v>443</v>
      </c>
      <c r="F59" s="42" t="s">
        <v>444</v>
      </c>
      <c r="G59" s="42" t="s">
        <v>445</v>
      </c>
      <c r="H59" s="42" t="s">
        <v>396</v>
      </c>
      <c r="I59" s="42" t="s">
        <v>397</v>
      </c>
      <c r="J59" s="42" t="s">
        <v>398</v>
      </c>
      <c r="K59" s="42" t="s">
        <v>399</v>
      </c>
      <c r="L59" s="42" t="s">
        <v>431</v>
      </c>
      <c r="M59" s="42">
        <v>5.6820000000000004</v>
      </c>
      <c r="N59" s="4">
        <f t="shared" si="0"/>
        <v>56.820000000000007</v>
      </c>
      <c r="O59" s="42" t="s">
        <v>401</v>
      </c>
      <c r="P59" s="42" t="s">
        <v>419</v>
      </c>
      <c r="Q59" s="42" t="s">
        <v>420</v>
      </c>
      <c r="R59" s="42" t="s">
        <v>421</v>
      </c>
      <c r="S59" s="42" t="s">
        <v>422</v>
      </c>
      <c r="T59" s="42" t="s">
        <v>423</v>
      </c>
      <c r="U59" s="42">
        <v>1986</v>
      </c>
      <c r="V59" s="42">
        <v>87</v>
      </c>
      <c r="W59" s="42" t="s">
        <v>424</v>
      </c>
    </row>
    <row r="60" spans="1:23" hidden="1">
      <c r="A60" s="42" t="s">
        <v>389</v>
      </c>
      <c r="B60" s="42" t="s">
        <v>432</v>
      </c>
      <c r="C60" s="42" t="s">
        <v>433</v>
      </c>
      <c r="D60" s="42" t="s">
        <v>434</v>
      </c>
      <c r="E60" s="42" t="s">
        <v>435</v>
      </c>
      <c r="F60" s="42" t="s">
        <v>436</v>
      </c>
      <c r="G60" s="42" t="s">
        <v>462</v>
      </c>
      <c r="H60" s="42" t="s">
        <v>396</v>
      </c>
      <c r="I60" s="42" t="s">
        <v>397</v>
      </c>
      <c r="J60" s="42" t="s">
        <v>398</v>
      </c>
      <c r="K60" s="42" t="s">
        <v>399</v>
      </c>
      <c r="L60" s="42" t="s">
        <v>400</v>
      </c>
      <c r="M60" s="42">
        <v>5.8810000000000002</v>
      </c>
      <c r="N60" s="4">
        <f t="shared" si="0"/>
        <v>58.81</v>
      </c>
      <c r="O60" s="42" t="s">
        <v>401</v>
      </c>
      <c r="P60" s="42" t="s">
        <v>419</v>
      </c>
      <c r="Q60" s="42" t="s">
        <v>420</v>
      </c>
      <c r="R60" s="42" t="s">
        <v>421</v>
      </c>
      <c r="S60" s="42" t="s">
        <v>422</v>
      </c>
      <c r="T60" s="42" t="s">
        <v>423</v>
      </c>
      <c r="U60" s="42">
        <v>1986</v>
      </c>
      <c r="V60" s="42">
        <v>87</v>
      </c>
      <c r="W60" s="42" t="s">
        <v>424</v>
      </c>
    </row>
    <row r="61" spans="1:23" hidden="1">
      <c r="A61" s="42" t="s">
        <v>389</v>
      </c>
      <c r="B61" s="42" t="s">
        <v>432</v>
      </c>
      <c r="C61" s="42" t="s">
        <v>490</v>
      </c>
      <c r="D61" s="42" t="s">
        <v>434</v>
      </c>
      <c r="E61" s="42" t="s">
        <v>491</v>
      </c>
      <c r="F61" s="42" t="s">
        <v>492</v>
      </c>
      <c r="G61" s="42" t="s">
        <v>493</v>
      </c>
      <c r="H61" s="42" t="s">
        <v>396</v>
      </c>
      <c r="I61" s="42" t="s">
        <v>397</v>
      </c>
      <c r="J61" s="42" t="s">
        <v>398</v>
      </c>
      <c r="K61" s="42" t="s">
        <v>399</v>
      </c>
      <c r="L61" s="42" t="s">
        <v>400</v>
      </c>
      <c r="M61" s="42">
        <v>5.9189999999999996</v>
      </c>
      <c r="N61" s="4">
        <f t="shared" si="0"/>
        <v>59.19</v>
      </c>
      <c r="O61" s="42" t="s">
        <v>401</v>
      </c>
      <c r="P61" s="42" t="s">
        <v>419</v>
      </c>
      <c r="Q61" s="42" t="s">
        <v>420</v>
      </c>
      <c r="R61" s="42" t="s">
        <v>421</v>
      </c>
      <c r="S61" s="42" t="s">
        <v>422</v>
      </c>
      <c r="T61" s="42" t="s">
        <v>423</v>
      </c>
      <c r="U61" s="42">
        <v>1986</v>
      </c>
      <c r="V61" s="42">
        <v>87</v>
      </c>
      <c r="W61" s="42" t="s">
        <v>424</v>
      </c>
    </row>
    <row r="62" spans="1:23" hidden="1">
      <c r="A62" s="42" t="s">
        <v>389</v>
      </c>
      <c r="B62" s="42" t="s">
        <v>432</v>
      </c>
      <c r="C62" s="42" t="s">
        <v>433</v>
      </c>
      <c r="D62" s="42" t="s">
        <v>434</v>
      </c>
      <c r="E62" s="42" t="s">
        <v>435</v>
      </c>
      <c r="F62" s="42" t="s">
        <v>436</v>
      </c>
      <c r="G62" s="42" t="s">
        <v>462</v>
      </c>
      <c r="H62" s="42" t="s">
        <v>396</v>
      </c>
      <c r="I62" s="42" t="s">
        <v>397</v>
      </c>
      <c r="J62" s="42" t="s">
        <v>398</v>
      </c>
      <c r="K62" s="42" t="s">
        <v>399</v>
      </c>
      <c r="L62" s="42" t="s">
        <v>431</v>
      </c>
      <c r="M62" s="42">
        <v>6.6040000000000001</v>
      </c>
      <c r="N62" s="4">
        <f t="shared" si="0"/>
        <v>66.040000000000006</v>
      </c>
      <c r="O62" s="42" t="s">
        <v>401</v>
      </c>
      <c r="P62" s="42" t="s">
        <v>419</v>
      </c>
      <c r="Q62" s="42" t="s">
        <v>420</v>
      </c>
      <c r="R62" s="42" t="s">
        <v>421</v>
      </c>
      <c r="S62" s="42" t="s">
        <v>422</v>
      </c>
      <c r="T62" s="42" t="s">
        <v>423</v>
      </c>
      <c r="U62" s="42">
        <v>1986</v>
      </c>
      <c r="V62" s="42">
        <v>87</v>
      </c>
      <c r="W62" s="42" t="s">
        <v>424</v>
      </c>
    </row>
    <row r="63" spans="1:23" hidden="1">
      <c r="A63" s="42" t="s">
        <v>389</v>
      </c>
      <c r="B63" s="42" t="s">
        <v>432</v>
      </c>
      <c r="C63" s="42" t="s">
        <v>433</v>
      </c>
      <c r="D63" s="42" t="s">
        <v>434</v>
      </c>
      <c r="E63" s="42" t="s">
        <v>467</v>
      </c>
      <c r="F63" s="42" t="s">
        <v>468</v>
      </c>
      <c r="G63" s="42" t="s">
        <v>494</v>
      </c>
      <c r="H63" s="42" t="s">
        <v>396</v>
      </c>
      <c r="I63" s="42" t="s">
        <v>397</v>
      </c>
      <c r="J63" s="42" t="s">
        <v>398</v>
      </c>
      <c r="K63" s="42" t="s">
        <v>399</v>
      </c>
      <c r="L63" s="42" t="s">
        <v>400</v>
      </c>
      <c r="M63" s="42">
        <v>7.4429999999999996</v>
      </c>
      <c r="N63" s="4">
        <f t="shared" si="0"/>
        <v>74.429999999999993</v>
      </c>
      <c r="O63" s="42" t="s">
        <v>401</v>
      </c>
      <c r="P63" s="42" t="s">
        <v>419</v>
      </c>
      <c r="Q63" s="42" t="s">
        <v>420</v>
      </c>
      <c r="R63" s="42" t="s">
        <v>421</v>
      </c>
      <c r="S63" s="42" t="s">
        <v>422</v>
      </c>
      <c r="T63" s="42" t="s">
        <v>423</v>
      </c>
      <c r="U63" s="42">
        <v>1986</v>
      </c>
      <c r="V63" s="42">
        <v>87</v>
      </c>
      <c r="W63" s="42" t="s">
        <v>424</v>
      </c>
    </row>
    <row r="64" spans="1:23" hidden="1">
      <c r="A64" s="42" t="s">
        <v>389</v>
      </c>
      <c r="B64" s="42" t="s">
        <v>432</v>
      </c>
      <c r="C64" s="42" t="s">
        <v>433</v>
      </c>
      <c r="D64" s="42" t="s">
        <v>434</v>
      </c>
      <c r="E64" s="42" t="s">
        <v>467</v>
      </c>
      <c r="F64" s="42" t="s">
        <v>468</v>
      </c>
      <c r="G64" s="42" t="s">
        <v>494</v>
      </c>
      <c r="H64" s="42" t="s">
        <v>396</v>
      </c>
      <c r="I64" s="42" t="s">
        <v>397</v>
      </c>
      <c r="J64" s="42" t="s">
        <v>398</v>
      </c>
      <c r="K64" s="42" t="s">
        <v>399</v>
      </c>
      <c r="L64" s="42" t="s">
        <v>431</v>
      </c>
      <c r="M64" s="42">
        <v>7.7839999999999998</v>
      </c>
      <c r="N64" s="4">
        <f t="shared" si="0"/>
        <v>77.84</v>
      </c>
      <c r="O64" s="42" t="s">
        <v>401</v>
      </c>
      <c r="P64" s="42" t="s">
        <v>419</v>
      </c>
      <c r="Q64" s="42" t="s">
        <v>420</v>
      </c>
      <c r="R64" s="42" t="s">
        <v>421</v>
      </c>
      <c r="S64" s="42" t="s">
        <v>422</v>
      </c>
      <c r="T64" s="42" t="s">
        <v>423</v>
      </c>
      <c r="U64" s="42">
        <v>1986</v>
      </c>
      <c r="V64" s="42">
        <v>87</v>
      </c>
      <c r="W64" s="42" t="s">
        <v>424</v>
      </c>
    </row>
    <row r="65" spans="1:23" hidden="1">
      <c r="A65" s="42" t="s">
        <v>389</v>
      </c>
      <c r="B65" s="42" t="s">
        <v>432</v>
      </c>
      <c r="C65" s="42" t="s">
        <v>438</v>
      </c>
      <c r="D65" s="42" t="s">
        <v>434</v>
      </c>
      <c r="E65" s="42" t="s">
        <v>439</v>
      </c>
      <c r="F65" s="42" t="s">
        <v>440</v>
      </c>
      <c r="G65" s="42" t="s">
        <v>470</v>
      </c>
      <c r="H65" s="42" t="s">
        <v>396</v>
      </c>
      <c r="I65" s="42" t="s">
        <v>397</v>
      </c>
      <c r="J65" s="42" t="s">
        <v>398</v>
      </c>
      <c r="K65" s="42" t="s">
        <v>399</v>
      </c>
      <c r="L65" s="42" t="s">
        <v>431</v>
      </c>
      <c r="M65" s="42">
        <v>7.9770000000000003</v>
      </c>
      <c r="N65" s="4">
        <f t="shared" si="0"/>
        <v>79.77000000000001</v>
      </c>
      <c r="O65" s="42" t="s">
        <v>401</v>
      </c>
      <c r="P65" s="42" t="s">
        <v>419</v>
      </c>
      <c r="Q65" s="42" t="s">
        <v>420</v>
      </c>
      <c r="R65" s="42" t="s">
        <v>421</v>
      </c>
      <c r="S65" s="42" t="s">
        <v>422</v>
      </c>
      <c r="T65" s="42" t="s">
        <v>423</v>
      </c>
      <c r="U65" s="42">
        <v>1986</v>
      </c>
      <c r="V65" s="42">
        <v>87</v>
      </c>
      <c r="W65" s="42" t="s">
        <v>424</v>
      </c>
    </row>
    <row r="66" spans="1:23" hidden="1">
      <c r="A66" s="42" t="s">
        <v>389</v>
      </c>
      <c r="B66" s="42" t="s">
        <v>425</v>
      </c>
      <c r="C66" s="42" t="s">
        <v>457</v>
      </c>
      <c r="D66" s="42" t="s">
        <v>458</v>
      </c>
      <c r="E66" s="42" t="s">
        <v>459</v>
      </c>
      <c r="F66" s="42" t="s">
        <v>460</v>
      </c>
      <c r="G66" s="42" t="s">
        <v>245</v>
      </c>
      <c r="H66" s="42" t="s">
        <v>396</v>
      </c>
      <c r="I66" s="42" t="s">
        <v>397</v>
      </c>
      <c r="J66" s="42" t="s">
        <v>398</v>
      </c>
      <c r="K66" s="42" t="s">
        <v>399</v>
      </c>
      <c r="L66" s="42" t="s">
        <v>431</v>
      </c>
      <c r="M66" s="42">
        <v>8.2799999999999994</v>
      </c>
      <c r="N66" s="4">
        <f t="shared" si="0"/>
        <v>82.8</v>
      </c>
      <c r="O66" s="42" t="s">
        <v>401</v>
      </c>
      <c r="P66" s="42" t="s">
        <v>419</v>
      </c>
      <c r="Q66" s="42" t="s">
        <v>420</v>
      </c>
      <c r="R66" s="42" t="s">
        <v>421</v>
      </c>
      <c r="S66" s="42" t="s">
        <v>422</v>
      </c>
      <c r="T66" s="42" t="s">
        <v>423</v>
      </c>
      <c r="U66" s="42">
        <v>1986</v>
      </c>
      <c r="V66" s="42">
        <v>87</v>
      </c>
      <c r="W66" s="42" t="s">
        <v>424</v>
      </c>
    </row>
    <row r="67" spans="1:23" hidden="1">
      <c r="A67" s="42" t="s">
        <v>389</v>
      </c>
      <c r="B67" s="42" t="s">
        <v>390</v>
      </c>
      <c r="C67" s="42" t="s">
        <v>449</v>
      </c>
      <c r="D67" s="42" t="s">
        <v>392</v>
      </c>
      <c r="E67" s="42" t="s">
        <v>450</v>
      </c>
      <c r="F67" s="42" t="s">
        <v>451</v>
      </c>
      <c r="G67" s="42" t="s">
        <v>463</v>
      </c>
      <c r="H67" s="42" t="s">
        <v>396</v>
      </c>
      <c r="I67" s="42" t="s">
        <v>397</v>
      </c>
      <c r="J67" s="42" t="s">
        <v>398</v>
      </c>
      <c r="K67" s="42" t="s">
        <v>399</v>
      </c>
      <c r="L67" s="42" t="s">
        <v>431</v>
      </c>
      <c r="M67" s="42">
        <v>8.4589999999999996</v>
      </c>
      <c r="N67" s="4">
        <f t="shared" ref="N67:N80" si="1">M67*10</f>
        <v>84.59</v>
      </c>
      <c r="O67" s="42" t="s">
        <v>401</v>
      </c>
      <c r="P67" s="42" t="s">
        <v>419</v>
      </c>
      <c r="Q67" s="42" t="s">
        <v>420</v>
      </c>
      <c r="R67" s="42" t="s">
        <v>421</v>
      </c>
      <c r="S67" s="42" t="s">
        <v>422</v>
      </c>
      <c r="T67" s="42" t="s">
        <v>423</v>
      </c>
      <c r="U67" s="42">
        <v>1986</v>
      </c>
      <c r="V67" s="42">
        <v>87</v>
      </c>
      <c r="W67" s="42" t="s">
        <v>424</v>
      </c>
    </row>
    <row r="68" spans="1:23" hidden="1">
      <c r="A68" s="42" t="s">
        <v>389</v>
      </c>
      <c r="B68" s="42" t="s">
        <v>432</v>
      </c>
      <c r="C68" s="42" t="s">
        <v>464</v>
      </c>
      <c r="D68" s="42" t="s">
        <v>434</v>
      </c>
      <c r="E68" s="42" t="s">
        <v>465</v>
      </c>
      <c r="F68" s="42" t="s">
        <v>466</v>
      </c>
      <c r="G68" s="42" t="s">
        <v>249</v>
      </c>
      <c r="H68" s="42" t="s">
        <v>396</v>
      </c>
      <c r="I68" s="42" t="s">
        <v>397</v>
      </c>
      <c r="J68" s="42" t="s">
        <v>398</v>
      </c>
      <c r="K68" s="42" t="s">
        <v>399</v>
      </c>
      <c r="L68" s="42" t="s">
        <v>400</v>
      </c>
      <c r="M68" s="42">
        <v>9.0109999999999992</v>
      </c>
      <c r="N68" s="4">
        <f t="shared" si="1"/>
        <v>90.109999999999985</v>
      </c>
      <c r="O68" s="42" t="s">
        <v>401</v>
      </c>
      <c r="P68" s="42" t="s">
        <v>419</v>
      </c>
      <c r="Q68" s="42" t="s">
        <v>420</v>
      </c>
      <c r="R68" s="42" t="s">
        <v>421</v>
      </c>
      <c r="S68" s="42" t="s">
        <v>422</v>
      </c>
      <c r="T68" s="42" t="s">
        <v>423</v>
      </c>
      <c r="U68" s="42">
        <v>1986</v>
      </c>
      <c r="V68" s="42">
        <v>87</v>
      </c>
      <c r="W68" s="42" t="s">
        <v>424</v>
      </c>
    </row>
    <row r="69" spans="1:23" hidden="1">
      <c r="A69" s="42" t="s">
        <v>389</v>
      </c>
      <c r="B69" s="42" t="s">
        <v>413</v>
      </c>
      <c r="C69" s="42" t="s">
        <v>479</v>
      </c>
      <c r="D69" s="42" t="s">
        <v>116</v>
      </c>
      <c r="E69" s="42" t="s">
        <v>487</v>
      </c>
      <c r="F69" s="42" t="s">
        <v>488</v>
      </c>
      <c r="G69" s="42" t="s">
        <v>489</v>
      </c>
      <c r="H69" s="42" t="s">
        <v>396</v>
      </c>
      <c r="I69" s="42" t="s">
        <v>397</v>
      </c>
      <c r="J69" s="42" t="s">
        <v>398</v>
      </c>
      <c r="K69" s="42" t="s">
        <v>399</v>
      </c>
      <c r="L69" s="42" t="s">
        <v>400</v>
      </c>
      <c r="M69" s="42">
        <v>9.3680000000000003</v>
      </c>
      <c r="N69" s="4">
        <f t="shared" si="1"/>
        <v>93.68</v>
      </c>
      <c r="O69" s="42" t="s">
        <v>401</v>
      </c>
      <c r="P69" s="42" t="s">
        <v>419</v>
      </c>
      <c r="Q69" s="42" t="s">
        <v>420</v>
      </c>
      <c r="R69" s="42" t="s">
        <v>421</v>
      </c>
      <c r="S69" s="42" t="s">
        <v>422</v>
      </c>
      <c r="T69" s="42" t="s">
        <v>423</v>
      </c>
      <c r="U69" s="42">
        <v>1986</v>
      </c>
      <c r="V69" s="42">
        <v>87</v>
      </c>
      <c r="W69" s="42" t="s">
        <v>424</v>
      </c>
    </row>
    <row r="70" spans="1:23" hidden="1">
      <c r="A70" s="42" t="s">
        <v>389</v>
      </c>
      <c r="B70" s="42" t="s">
        <v>432</v>
      </c>
      <c r="C70" s="42" t="s">
        <v>490</v>
      </c>
      <c r="D70" s="42" t="s">
        <v>434</v>
      </c>
      <c r="E70" s="42" t="s">
        <v>491</v>
      </c>
      <c r="F70" s="42" t="s">
        <v>492</v>
      </c>
      <c r="G70" s="42" t="s">
        <v>493</v>
      </c>
      <c r="H70" s="42" t="s">
        <v>396</v>
      </c>
      <c r="I70" s="42" t="s">
        <v>397</v>
      </c>
      <c r="J70" s="42" t="s">
        <v>398</v>
      </c>
      <c r="K70" s="42" t="s">
        <v>399</v>
      </c>
      <c r="L70" s="42" t="s">
        <v>431</v>
      </c>
      <c r="M70" s="42">
        <v>9.8360000000000003</v>
      </c>
      <c r="N70" s="4">
        <f t="shared" si="1"/>
        <v>98.36</v>
      </c>
      <c r="O70" s="42" t="s">
        <v>401</v>
      </c>
      <c r="P70" s="42" t="s">
        <v>419</v>
      </c>
      <c r="Q70" s="42" t="s">
        <v>420</v>
      </c>
      <c r="R70" s="42" t="s">
        <v>421</v>
      </c>
      <c r="S70" s="42" t="s">
        <v>422</v>
      </c>
      <c r="T70" s="42" t="s">
        <v>423</v>
      </c>
      <c r="U70" s="42">
        <v>1986</v>
      </c>
      <c r="V70" s="42">
        <v>87</v>
      </c>
      <c r="W70" s="42" t="s">
        <v>424</v>
      </c>
    </row>
    <row r="71" spans="1:23" hidden="1">
      <c r="A71" s="42" t="s">
        <v>389</v>
      </c>
      <c r="B71" s="42" t="s">
        <v>432</v>
      </c>
      <c r="C71" s="42" t="s">
        <v>464</v>
      </c>
      <c r="D71" s="42" t="s">
        <v>434</v>
      </c>
      <c r="E71" s="42" t="s">
        <v>465</v>
      </c>
      <c r="F71" s="42" t="s">
        <v>466</v>
      </c>
      <c r="G71" s="42" t="s">
        <v>249</v>
      </c>
      <c r="H71" s="42" t="s">
        <v>396</v>
      </c>
      <c r="I71" s="42" t="s">
        <v>397</v>
      </c>
      <c r="J71" s="42" t="s">
        <v>398</v>
      </c>
      <c r="K71" s="42" t="s">
        <v>399</v>
      </c>
      <c r="L71" s="42" t="s">
        <v>431</v>
      </c>
      <c r="M71" s="42">
        <v>10.605</v>
      </c>
      <c r="N71" s="4">
        <f t="shared" si="1"/>
        <v>106.05000000000001</v>
      </c>
      <c r="O71" s="42" t="s">
        <v>401</v>
      </c>
      <c r="P71" s="42" t="s">
        <v>419</v>
      </c>
      <c r="Q71" s="42" t="s">
        <v>420</v>
      </c>
      <c r="R71" s="42" t="s">
        <v>421</v>
      </c>
      <c r="S71" s="42" t="s">
        <v>422</v>
      </c>
      <c r="T71" s="42" t="s">
        <v>423</v>
      </c>
      <c r="U71" s="42">
        <v>1986</v>
      </c>
      <c r="V71" s="42">
        <v>87</v>
      </c>
      <c r="W71" s="42" t="s">
        <v>424</v>
      </c>
    </row>
    <row r="72" spans="1:23" hidden="1">
      <c r="A72" s="42" t="s">
        <v>389</v>
      </c>
      <c r="B72" s="42" t="s">
        <v>413</v>
      </c>
      <c r="C72" s="42" t="s">
        <v>479</v>
      </c>
      <c r="D72" s="42" t="s">
        <v>116</v>
      </c>
      <c r="E72" s="42" t="s">
        <v>487</v>
      </c>
      <c r="F72" s="42" t="s">
        <v>488</v>
      </c>
      <c r="G72" s="42" t="s">
        <v>489</v>
      </c>
      <c r="H72" s="42" t="s">
        <v>396</v>
      </c>
      <c r="I72" s="42" t="s">
        <v>397</v>
      </c>
      <c r="J72" s="42" t="s">
        <v>398</v>
      </c>
      <c r="K72" s="42" t="s">
        <v>399</v>
      </c>
      <c r="L72" s="42" t="s">
        <v>431</v>
      </c>
      <c r="M72" s="42">
        <v>10.628</v>
      </c>
      <c r="N72" s="4">
        <f t="shared" si="1"/>
        <v>106.28</v>
      </c>
      <c r="O72" s="42" t="s">
        <v>401</v>
      </c>
      <c r="P72" s="42" t="s">
        <v>419</v>
      </c>
      <c r="Q72" s="42" t="s">
        <v>420</v>
      </c>
      <c r="R72" s="42" t="s">
        <v>421</v>
      </c>
      <c r="S72" s="42" t="s">
        <v>422</v>
      </c>
      <c r="T72" s="42" t="s">
        <v>423</v>
      </c>
      <c r="U72" s="42">
        <v>1986</v>
      </c>
      <c r="V72" s="42">
        <v>87</v>
      </c>
      <c r="W72" s="42" t="s">
        <v>424</v>
      </c>
    </row>
    <row r="73" spans="1:23" hidden="1">
      <c r="A73" s="42" t="s">
        <v>389</v>
      </c>
      <c r="B73" s="42" t="s">
        <v>432</v>
      </c>
      <c r="C73" s="42" t="s">
        <v>438</v>
      </c>
      <c r="D73" s="42" t="s">
        <v>434</v>
      </c>
      <c r="E73" s="42" t="s">
        <v>439</v>
      </c>
      <c r="F73" s="42" t="s">
        <v>440</v>
      </c>
      <c r="G73" s="42" t="s">
        <v>441</v>
      </c>
      <c r="H73" s="42" t="s">
        <v>396</v>
      </c>
      <c r="I73" s="42" t="s">
        <v>397</v>
      </c>
      <c r="J73" s="42" t="s">
        <v>398</v>
      </c>
      <c r="K73" s="42" t="s">
        <v>399</v>
      </c>
      <c r="L73" s="42" t="s">
        <v>418</v>
      </c>
      <c r="M73" s="42">
        <v>10.975</v>
      </c>
      <c r="N73" s="4">
        <f t="shared" si="1"/>
        <v>109.75</v>
      </c>
      <c r="O73" s="42" t="s">
        <v>401</v>
      </c>
      <c r="P73" s="42" t="s">
        <v>419</v>
      </c>
      <c r="Q73" s="42" t="s">
        <v>420</v>
      </c>
      <c r="R73" s="42" t="s">
        <v>421</v>
      </c>
      <c r="S73" s="42" t="s">
        <v>422</v>
      </c>
      <c r="T73" s="42" t="s">
        <v>423</v>
      </c>
      <c r="U73" s="42">
        <v>1986</v>
      </c>
      <c r="V73" s="42">
        <v>87</v>
      </c>
      <c r="W73" s="42" t="s">
        <v>424</v>
      </c>
    </row>
    <row r="74" spans="1:23" hidden="1">
      <c r="A74" s="42" t="s">
        <v>389</v>
      </c>
      <c r="B74" s="42" t="s">
        <v>432</v>
      </c>
      <c r="C74" s="42" t="s">
        <v>433</v>
      </c>
      <c r="D74" s="42" t="s">
        <v>434</v>
      </c>
      <c r="E74" s="42" t="s">
        <v>473</v>
      </c>
      <c r="F74" s="42" t="s">
        <v>474</v>
      </c>
      <c r="G74" s="42" t="s">
        <v>475</v>
      </c>
      <c r="H74" s="42" t="s">
        <v>396</v>
      </c>
      <c r="I74" s="42" t="s">
        <v>397</v>
      </c>
      <c r="J74" s="42" t="s">
        <v>398</v>
      </c>
      <c r="K74" s="42" t="s">
        <v>399</v>
      </c>
      <c r="L74" s="42" t="s">
        <v>400</v>
      </c>
      <c r="M74" s="42">
        <v>11.101000000000001</v>
      </c>
      <c r="N74" s="4">
        <f t="shared" si="1"/>
        <v>111.01</v>
      </c>
      <c r="O74" s="42" t="s">
        <v>401</v>
      </c>
      <c r="P74" s="42" t="s">
        <v>419</v>
      </c>
      <c r="Q74" s="42" t="s">
        <v>420</v>
      </c>
      <c r="R74" s="42" t="s">
        <v>421</v>
      </c>
      <c r="S74" s="42" t="s">
        <v>422</v>
      </c>
      <c r="T74" s="42" t="s">
        <v>423</v>
      </c>
      <c r="U74" s="42">
        <v>1986</v>
      </c>
      <c r="V74" s="42">
        <v>87</v>
      </c>
      <c r="W74" s="42" t="s">
        <v>424</v>
      </c>
    </row>
    <row r="75" spans="1:23" hidden="1">
      <c r="A75" s="42" t="s">
        <v>389</v>
      </c>
      <c r="B75" s="42" t="s">
        <v>432</v>
      </c>
      <c r="C75" s="42" t="s">
        <v>433</v>
      </c>
      <c r="D75" s="42" t="s">
        <v>434</v>
      </c>
      <c r="E75" s="42" t="s">
        <v>473</v>
      </c>
      <c r="F75" s="42" t="s">
        <v>474</v>
      </c>
      <c r="G75" s="42" t="s">
        <v>475</v>
      </c>
      <c r="H75" s="42" t="s">
        <v>396</v>
      </c>
      <c r="I75" s="42" t="s">
        <v>397</v>
      </c>
      <c r="J75" s="42" t="s">
        <v>398</v>
      </c>
      <c r="K75" s="42" t="s">
        <v>399</v>
      </c>
      <c r="L75" s="42" t="s">
        <v>431</v>
      </c>
      <c r="M75" s="42">
        <v>11.611000000000001</v>
      </c>
      <c r="N75" s="4">
        <f t="shared" si="1"/>
        <v>116.11000000000001</v>
      </c>
      <c r="O75" s="42" t="s">
        <v>401</v>
      </c>
      <c r="P75" s="42" t="s">
        <v>419</v>
      </c>
      <c r="Q75" s="42" t="s">
        <v>420</v>
      </c>
      <c r="R75" s="42" t="s">
        <v>421</v>
      </c>
      <c r="S75" s="42" t="s">
        <v>422</v>
      </c>
      <c r="T75" s="42" t="s">
        <v>423</v>
      </c>
      <c r="U75" s="42">
        <v>1986</v>
      </c>
      <c r="V75" s="42">
        <v>87</v>
      </c>
      <c r="W75" s="42" t="s">
        <v>424</v>
      </c>
    </row>
    <row r="76" spans="1:23" hidden="1">
      <c r="A76" s="42" t="s">
        <v>389</v>
      </c>
      <c r="B76" s="42" t="s">
        <v>432</v>
      </c>
      <c r="C76" s="42" t="s">
        <v>433</v>
      </c>
      <c r="D76" s="42" t="s">
        <v>434</v>
      </c>
      <c r="E76" s="42" t="s">
        <v>467</v>
      </c>
      <c r="F76" s="42" t="s">
        <v>468</v>
      </c>
      <c r="G76" s="42" t="s">
        <v>469</v>
      </c>
      <c r="H76" s="42" t="s">
        <v>396</v>
      </c>
      <c r="I76" s="42" t="s">
        <v>397</v>
      </c>
      <c r="J76" s="42" t="s">
        <v>398</v>
      </c>
      <c r="K76" s="42" t="s">
        <v>399</v>
      </c>
      <c r="L76" s="42" t="s">
        <v>400</v>
      </c>
      <c r="M76" s="42">
        <v>14.339</v>
      </c>
      <c r="N76" s="4">
        <f t="shared" si="1"/>
        <v>143.39000000000001</v>
      </c>
      <c r="O76" s="42" t="s">
        <v>401</v>
      </c>
      <c r="P76" s="42" t="s">
        <v>419</v>
      </c>
      <c r="Q76" s="42" t="s">
        <v>420</v>
      </c>
      <c r="R76" s="42" t="s">
        <v>421</v>
      </c>
      <c r="S76" s="42" t="s">
        <v>422</v>
      </c>
      <c r="T76" s="42" t="s">
        <v>423</v>
      </c>
      <c r="U76" s="42">
        <v>1986</v>
      </c>
      <c r="V76" s="42">
        <v>87</v>
      </c>
      <c r="W76" s="42" t="s">
        <v>424</v>
      </c>
    </row>
    <row r="77" spans="1:23" hidden="1">
      <c r="A77" s="42" t="s">
        <v>389</v>
      </c>
      <c r="B77" s="42" t="s">
        <v>432</v>
      </c>
      <c r="C77" s="42" t="s">
        <v>433</v>
      </c>
      <c r="D77" s="42" t="s">
        <v>434</v>
      </c>
      <c r="E77" s="42" t="s">
        <v>435</v>
      </c>
      <c r="F77" s="42" t="s">
        <v>436</v>
      </c>
      <c r="G77" s="42" t="s">
        <v>437</v>
      </c>
      <c r="H77" s="42" t="s">
        <v>396</v>
      </c>
      <c r="I77" s="42" t="s">
        <v>397</v>
      </c>
      <c r="J77" s="42" t="s">
        <v>398</v>
      </c>
      <c r="K77" s="42" t="s">
        <v>399</v>
      </c>
      <c r="L77" s="42" t="s">
        <v>431</v>
      </c>
      <c r="M77" s="42">
        <v>14.811999999999999</v>
      </c>
      <c r="N77" s="4">
        <f t="shared" si="1"/>
        <v>148.12</v>
      </c>
      <c r="O77" s="42" t="s">
        <v>401</v>
      </c>
      <c r="P77" s="42" t="s">
        <v>419</v>
      </c>
      <c r="Q77" s="42" t="s">
        <v>420</v>
      </c>
      <c r="R77" s="42" t="s">
        <v>421</v>
      </c>
      <c r="S77" s="42" t="s">
        <v>422</v>
      </c>
      <c r="T77" s="42" t="s">
        <v>423</v>
      </c>
      <c r="U77" s="42">
        <v>1986</v>
      </c>
      <c r="V77" s="42">
        <v>87</v>
      </c>
      <c r="W77" s="42" t="s">
        <v>424</v>
      </c>
    </row>
    <row r="78" spans="1:23" hidden="1">
      <c r="A78" s="42" t="s">
        <v>389</v>
      </c>
      <c r="B78" s="42" t="s">
        <v>432</v>
      </c>
      <c r="C78" s="42" t="s">
        <v>433</v>
      </c>
      <c r="D78" s="42" t="s">
        <v>434</v>
      </c>
      <c r="E78" s="42" t="s">
        <v>467</v>
      </c>
      <c r="F78" s="42" t="s">
        <v>468</v>
      </c>
      <c r="G78" s="42" t="s">
        <v>469</v>
      </c>
      <c r="H78" s="42" t="s">
        <v>396</v>
      </c>
      <c r="I78" s="42" t="s">
        <v>397</v>
      </c>
      <c r="J78" s="42" t="s">
        <v>398</v>
      </c>
      <c r="K78" s="42" t="s">
        <v>399</v>
      </c>
      <c r="L78" s="42" t="s">
        <v>431</v>
      </c>
      <c r="M78" s="42">
        <v>16.277000000000001</v>
      </c>
      <c r="N78" s="4">
        <f t="shared" si="1"/>
        <v>162.77000000000001</v>
      </c>
      <c r="O78" s="42" t="s">
        <v>401</v>
      </c>
      <c r="P78" s="42" t="s">
        <v>419</v>
      </c>
      <c r="Q78" s="42" t="s">
        <v>420</v>
      </c>
      <c r="R78" s="42" t="s">
        <v>421</v>
      </c>
      <c r="S78" s="42" t="s">
        <v>422</v>
      </c>
      <c r="T78" s="42" t="s">
        <v>423</v>
      </c>
      <c r="U78" s="42">
        <v>1986</v>
      </c>
      <c r="V78" s="42">
        <v>87</v>
      </c>
      <c r="W78" s="42" t="s">
        <v>424</v>
      </c>
    </row>
    <row r="79" spans="1:23" hidden="1">
      <c r="A79" s="42" t="s">
        <v>389</v>
      </c>
      <c r="B79" s="42" t="s">
        <v>432</v>
      </c>
      <c r="C79" s="42" t="s">
        <v>433</v>
      </c>
      <c r="D79" s="42" t="s">
        <v>434</v>
      </c>
      <c r="E79" s="42" t="s">
        <v>435</v>
      </c>
      <c r="F79" s="42" t="s">
        <v>436</v>
      </c>
      <c r="G79" s="42" t="s">
        <v>471</v>
      </c>
      <c r="H79" s="42" t="s">
        <v>396</v>
      </c>
      <c r="I79" s="42" t="s">
        <v>397</v>
      </c>
      <c r="J79" s="42" t="s">
        <v>398</v>
      </c>
      <c r="K79" s="42" t="s">
        <v>399</v>
      </c>
      <c r="L79" s="42" t="s">
        <v>431</v>
      </c>
      <c r="M79" s="42">
        <v>18.128</v>
      </c>
      <c r="N79" s="4">
        <f t="shared" si="1"/>
        <v>181.28</v>
      </c>
      <c r="O79" s="42" t="s">
        <v>401</v>
      </c>
      <c r="P79" s="42" t="s">
        <v>419</v>
      </c>
      <c r="Q79" s="42" t="s">
        <v>420</v>
      </c>
      <c r="R79" s="42" t="s">
        <v>421</v>
      </c>
      <c r="S79" s="42" t="s">
        <v>422</v>
      </c>
      <c r="T79" s="42" t="s">
        <v>423</v>
      </c>
      <c r="U79" s="42">
        <v>1986</v>
      </c>
      <c r="V79" s="42">
        <v>87</v>
      </c>
      <c r="W79" s="42" t="s">
        <v>424</v>
      </c>
    </row>
    <row r="80" spans="1:23" hidden="1">
      <c r="A80" s="42" t="s">
        <v>389</v>
      </c>
      <c r="B80" s="42" t="s">
        <v>413</v>
      </c>
      <c r="C80" s="42" t="s">
        <v>479</v>
      </c>
      <c r="D80" s="42" t="s">
        <v>116</v>
      </c>
      <c r="E80" s="42" t="s">
        <v>480</v>
      </c>
      <c r="F80" s="42" t="s">
        <v>481</v>
      </c>
      <c r="G80" s="42" t="s">
        <v>482</v>
      </c>
      <c r="H80" s="42" t="s">
        <v>396</v>
      </c>
      <c r="I80" s="42" t="s">
        <v>397</v>
      </c>
      <c r="J80" s="42" t="s">
        <v>398</v>
      </c>
      <c r="K80" s="42" t="s">
        <v>399</v>
      </c>
      <c r="L80" s="42" t="s">
        <v>431</v>
      </c>
      <c r="M80" s="42">
        <v>22.004999999999999</v>
      </c>
      <c r="N80" s="4">
        <f t="shared" si="1"/>
        <v>220.04999999999998</v>
      </c>
      <c r="O80" s="42" t="s">
        <v>401</v>
      </c>
      <c r="P80" s="42" t="s">
        <v>419</v>
      </c>
      <c r="Q80" s="42" t="s">
        <v>420</v>
      </c>
      <c r="R80" s="42" t="s">
        <v>421</v>
      </c>
      <c r="S80" s="42" t="s">
        <v>422</v>
      </c>
      <c r="T80" s="42" t="s">
        <v>423</v>
      </c>
      <c r="U80" s="42">
        <v>1986</v>
      </c>
      <c r="V80" s="42">
        <v>87</v>
      </c>
      <c r="W80" s="42" t="s">
        <v>424</v>
      </c>
    </row>
    <row r="81" spans="1:23" s="4" customFormat="1">
      <c r="A81" s="4" t="s">
        <v>389</v>
      </c>
      <c r="B81" s="4" t="s">
        <v>390</v>
      </c>
      <c r="C81" s="4" t="s">
        <v>495</v>
      </c>
      <c r="D81" s="4" t="s">
        <v>496</v>
      </c>
      <c r="E81" s="4" t="s">
        <v>497</v>
      </c>
      <c r="F81" s="4" t="s">
        <v>498</v>
      </c>
      <c r="G81" s="4" t="s">
        <v>278</v>
      </c>
      <c r="H81" s="4" t="s">
        <v>499</v>
      </c>
      <c r="I81" s="4" t="s">
        <v>397</v>
      </c>
      <c r="J81" s="4" t="s">
        <v>398</v>
      </c>
      <c r="K81" s="4" t="s">
        <v>399</v>
      </c>
      <c r="L81" s="4" t="s">
        <v>400</v>
      </c>
      <c r="M81" s="4">
        <v>-1.5920000000000001</v>
      </c>
      <c r="N81" s="4">
        <f>M81*10</f>
        <v>-15.920000000000002</v>
      </c>
      <c r="O81" s="4" t="s">
        <v>401</v>
      </c>
      <c r="P81" s="4" t="s">
        <v>419</v>
      </c>
      <c r="Q81" s="4" t="s">
        <v>403</v>
      </c>
      <c r="R81" s="4" t="s">
        <v>404</v>
      </c>
      <c r="S81" s="4" t="s">
        <v>422</v>
      </c>
      <c r="T81" s="4" t="s">
        <v>500</v>
      </c>
      <c r="U81" s="4">
        <v>1959</v>
      </c>
      <c r="V81" s="4">
        <v>95</v>
      </c>
      <c r="W81" s="4" t="s">
        <v>501</v>
      </c>
    </row>
    <row r="82" spans="1:23">
      <c r="A82" t="s">
        <v>389</v>
      </c>
      <c r="B82" t="s">
        <v>390</v>
      </c>
      <c r="C82" t="s">
        <v>495</v>
      </c>
      <c r="D82" t="s">
        <v>496</v>
      </c>
      <c r="E82" t="s">
        <v>497</v>
      </c>
      <c r="F82" t="s">
        <v>498</v>
      </c>
      <c r="G82" t="s">
        <v>341</v>
      </c>
      <c r="H82" t="s">
        <v>499</v>
      </c>
      <c r="I82" t="s">
        <v>397</v>
      </c>
      <c r="J82" t="s">
        <v>398</v>
      </c>
      <c r="K82" t="s">
        <v>399</v>
      </c>
      <c r="L82" t="s">
        <v>400</v>
      </c>
      <c r="M82">
        <v>-0.49</v>
      </c>
      <c r="N82" s="4">
        <f t="shared" ref="N82:N84" si="2">M82*10</f>
        <v>-4.9000000000000004</v>
      </c>
      <c r="O82" t="s">
        <v>401</v>
      </c>
      <c r="P82" t="s">
        <v>419</v>
      </c>
      <c r="Q82" t="s">
        <v>403</v>
      </c>
      <c r="R82" t="s">
        <v>404</v>
      </c>
      <c r="S82" t="s">
        <v>422</v>
      </c>
      <c r="T82" t="s">
        <v>500</v>
      </c>
      <c r="U82">
        <v>1959</v>
      </c>
      <c r="V82">
        <v>95</v>
      </c>
      <c r="W82" t="s">
        <v>501</v>
      </c>
    </row>
    <row r="83" spans="1:23">
      <c r="A83" t="s">
        <v>389</v>
      </c>
      <c r="B83" t="s">
        <v>390</v>
      </c>
      <c r="C83" t="s">
        <v>495</v>
      </c>
      <c r="D83" t="s">
        <v>496</v>
      </c>
      <c r="E83" t="s">
        <v>497</v>
      </c>
      <c r="F83" t="s">
        <v>498</v>
      </c>
      <c r="G83" t="s">
        <v>66</v>
      </c>
      <c r="H83" t="s">
        <v>499</v>
      </c>
      <c r="I83" t="s">
        <v>397</v>
      </c>
      <c r="J83" t="s">
        <v>398</v>
      </c>
      <c r="K83" t="s">
        <v>399</v>
      </c>
      <c r="L83" t="s">
        <v>400</v>
      </c>
      <c r="M83">
        <v>-0.21199999999999999</v>
      </c>
      <c r="N83" s="4">
        <f t="shared" si="2"/>
        <v>-2.12</v>
      </c>
      <c r="O83" t="s">
        <v>401</v>
      </c>
      <c r="P83" t="s">
        <v>419</v>
      </c>
      <c r="Q83" t="s">
        <v>403</v>
      </c>
      <c r="R83" t="s">
        <v>404</v>
      </c>
      <c r="S83" t="s">
        <v>422</v>
      </c>
      <c r="T83" t="s">
        <v>500</v>
      </c>
      <c r="U83">
        <v>1959</v>
      </c>
      <c r="V83">
        <v>95</v>
      </c>
      <c r="W83" t="s">
        <v>501</v>
      </c>
    </row>
    <row r="84" spans="1:23">
      <c r="A84" t="s">
        <v>389</v>
      </c>
      <c r="B84" t="s">
        <v>390</v>
      </c>
      <c r="C84" t="s">
        <v>495</v>
      </c>
      <c r="D84" t="s">
        <v>496</v>
      </c>
      <c r="E84" t="s">
        <v>497</v>
      </c>
      <c r="F84" t="s">
        <v>498</v>
      </c>
      <c r="G84" t="s">
        <v>65</v>
      </c>
      <c r="H84" t="s">
        <v>499</v>
      </c>
      <c r="I84" t="s">
        <v>397</v>
      </c>
      <c r="J84" t="s">
        <v>398</v>
      </c>
      <c r="K84" t="s">
        <v>399</v>
      </c>
      <c r="L84" t="s">
        <v>400</v>
      </c>
      <c r="M84">
        <v>0.81299999999999994</v>
      </c>
      <c r="N84" s="4">
        <f t="shared" si="2"/>
        <v>8.129999999999999</v>
      </c>
      <c r="O84" t="s">
        <v>401</v>
      </c>
      <c r="P84" t="s">
        <v>419</v>
      </c>
      <c r="Q84" t="s">
        <v>403</v>
      </c>
      <c r="R84" t="s">
        <v>404</v>
      </c>
      <c r="S84" t="s">
        <v>422</v>
      </c>
      <c r="T84" t="s">
        <v>500</v>
      </c>
      <c r="U84">
        <v>1959</v>
      </c>
      <c r="V84">
        <v>95</v>
      </c>
      <c r="W84" t="s">
        <v>501</v>
      </c>
    </row>
    <row r="85" spans="1:23" hidden="1">
      <c r="A85" t="s">
        <v>389</v>
      </c>
      <c r="B85" t="s">
        <v>390</v>
      </c>
      <c r="C85" t="s">
        <v>391</v>
      </c>
      <c r="D85" t="s">
        <v>392</v>
      </c>
      <c r="E85" t="s">
        <v>393</v>
      </c>
      <c r="F85" t="s">
        <v>394</v>
      </c>
      <c r="G85" t="s">
        <v>412</v>
      </c>
      <c r="H85" t="s">
        <v>396</v>
      </c>
      <c r="I85" t="s">
        <v>397</v>
      </c>
      <c r="J85" t="s">
        <v>398</v>
      </c>
      <c r="K85" t="s">
        <v>399</v>
      </c>
      <c r="L85" t="s">
        <v>400</v>
      </c>
      <c r="M85">
        <v>11.596</v>
      </c>
      <c r="N85" s="4">
        <f t="shared" ref="N85:N119" si="3">M85*10</f>
        <v>115.96000000000001</v>
      </c>
      <c r="O85" t="s">
        <v>401</v>
      </c>
      <c r="P85" t="s">
        <v>402</v>
      </c>
      <c r="Q85" t="s">
        <v>420</v>
      </c>
      <c r="R85" t="s">
        <v>404</v>
      </c>
      <c r="S85" t="s">
        <v>422</v>
      </c>
      <c r="T85" t="s">
        <v>502</v>
      </c>
      <c r="U85">
        <v>1978</v>
      </c>
      <c r="V85">
        <v>98</v>
      </c>
      <c r="W85" t="s">
        <v>503</v>
      </c>
    </row>
    <row r="86" spans="1:23" hidden="1">
      <c r="A86" t="s">
        <v>389</v>
      </c>
      <c r="B86" t="s">
        <v>390</v>
      </c>
      <c r="C86" t="s">
        <v>391</v>
      </c>
      <c r="D86" t="s">
        <v>392</v>
      </c>
      <c r="E86" t="s">
        <v>504</v>
      </c>
      <c r="F86" t="s">
        <v>505</v>
      </c>
      <c r="G86" t="s">
        <v>506</v>
      </c>
      <c r="H86" t="s">
        <v>396</v>
      </c>
      <c r="I86" t="s">
        <v>397</v>
      </c>
      <c r="J86" t="s">
        <v>398</v>
      </c>
      <c r="K86" t="s">
        <v>399</v>
      </c>
      <c r="L86" t="s">
        <v>400</v>
      </c>
      <c r="M86">
        <v>-12.02</v>
      </c>
      <c r="N86" s="4">
        <f t="shared" si="3"/>
        <v>-120.19999999999999</v>
      </c>
      <c r="O86" t="s">
        <v>401</v>
      </c>
      <c r="P86" t="s">
        <v>402</v>
      </c>
      <c r="Q86" t="s">
        <v>403</v>
      </c>
      <c r="R86" t="s">
        <v>404</v>
      </c>
      <c r="S86" t="s">
        <v>422</v>
      </c>
      <c r="T86" t="s">
        <v>406</v>
      </c>
      <c r="U86">
        <v>1995</v>
      </c>
      <c r="V86">
        <v>118</v>
      </c>
      <c r="W86" t="s">
        <v>507</v>
      </c>
    </row>
    <row r="87" spans="1:23" hidden="1">
      <c r="A87" t="s">
        <v>389</v>
      </c>
      <c r="B87" t="s">
        <v>390</v>
      </c>
      <c r="C87" t="s">
        <v>391</v>
      </c>
      <c r="D87" t="s">
        <v>392</v>
      </c>
      <c r="E87" t="s">
        <v>408</v>
      </c>
      <c r="F87" t="s">
        <v>409</v>
      </c>
      <c r="G87" t="s">
        <v>508</v>
      </c>
      <c r="H87" t="s">
        <v>396</v>
      </c>
      <c r="I87" t="s">
        <v>397</v>
      </c>
      <c r="J87" t="s">
        <v>398</v>
      </c>
      <c r="K87" t="s">
        <v>399</v>
      </c>
      <c r="L87" t="s">
        <v>400</v>
      </c>
      <c r="M87">
        <v>-10.15</v>
      </c>
      <c r="N87" s="4">
        <f t="shared" si="3"/>
        <v>-101.5</v>
      </c>
      <c r="O87" t="s">
        <v>401</v>
      </c>
      <c r="P87" t="s">
        <v>402</v>
      </c>
      <c r="Q87" t="s">
        <v>403</v>
      </c>
      <c r="R87" t="s">
        <v>404</v>
      </c>
      <c r="S87" t="s">
        <v>422</v>
      </c>
      <c r="T87" t="s">
        <v>406</v>
      </c>
      <c r="U87">
        <v>1995</v>
      </c>
      <c r="V87">
        <v>118</v>
      </c>
      <c r="W87" t="s">
        <v>507</v>
      </c>
    </row>
    <row r="88" spans="1:23" hidden="1">
      <c r="A88" t="s">
        <v>389</v>
      </c>
      <c r="B88" t="s">
        <v>390</v>
      </c>
      <c r="C88" t="s">
        <v>391</v>
      </c>
      <c r="D88" t="s">
        <v>392</v>
      </c>
      <c r="E88" t="s">
        <v>408</v>
      </c>
      <c r="F88" t="s">
        <v>409</v>
      </c>
      <c r="G88" t="s">
        <v>509</v>
      </c>
      <c r="H88" t="s">
        <v>396</v>
      </c>
      <c r="I88" t="s">
        <v>397</v>
      </c>
      <c r="J88" t="s">
        <v>398</v>
      </c>
      <c r="K88" t="s">
        <v>399</v>
      </c>
      <c r="L88" t="s">
        <v>400</v>
      </c>
      <c r="M88">
        <v>-4.21</v>
      </c>
      <c r="N88" s="4">
        <f t="shared" si="3"/>
        <v>-42.1</v>
      </c>
      <c r="O88" t="s">
        <v>401</v>
      </c>
      <c r="P88" t="s">
        <v>402</v>
      </c>
      <c r="Q88" t="s">
        <v>403</v>
      </c>
      <c r="R88" t="s">
        <v>404</v>
      </c>
      <c r="S88" t="s">
        <v>422</v>
      </c>
      <c r="T88" t="s">
        <v>406</v>
      </c>
      <c r="U88">
        <v>1984</v>
      </c>
      <c r="V88">
        <v>118</v>
      </c>
      <c r="W88" t="s">
        <v>510</v>
      </c>
    </row>
    <row r="89" spans="1:23" hidden="1">
      <c r="A89" t="s">
        <v>389</v>
      </c>
      <c r="B89" t="s">
        <v>390</v>
      </c>
      <c r="C89" t="s">
        <v>391</v>
      </c>
      <c r="D89" t="s">
        <v>392</v>
      </c>
      <c r="E89" t="s">
        <v>408</v>
      </c>
      <c r="F89" t="s">
        <v>409</v>
      </c>
      <c r="G89" t="s">
        <v>410</v>
      </c>
      <c r="H89" t="s">
        <v>396</v>
      </c>
      <c r="I89" t="s">
        <v>397</v>
      </c>
      <c r="J89" t="s">
        <v>398</v>
      </c>
      <c r="K89" t="s">
        <v>399</v>
      </c>
      <c r="L89" t="s">
        <v>400</v>
      </c>
      <c r="M89">
        <v>-3.8170000000000002</v>
      </c>
      <c r="N89" s="4">
        <f t="shared" si="3"/>
        <v>-38.17</v>
      </c>
      <c r="O89" t="s">
        <v>401</v>
      </c>
      <c r="P89" t="s">
        <v>402</v>
      </c>
      <c r="Q89" t="s">
        <v>403</v>
      </c>
      <c r="R89" t="s">
        <v>404</v>
      </c>
      <c r="S89" t="s">
        <v>422</v>
      </c>
      <c r="T89" t="s">
        <v>406</v>
      </c>
      <c r="U89">
        <v>1995</v>
      </c>
      <c r="V89">
        <v>118</v>
      </c>
      <c r="W89" t="s">
        <v>507</v>
      </c>
    </row>
    <row r="90" spans="1:23" hidden="1">
      <c r="A90" t="s">
        <v>389</v>
      </c>
      <c r="B90" t="s">
        <v>390</v>
      </c>
      <c r="C90" t="s">
        <v>391</v>
      </c>
      <c r="D90" t="s">
        <v>392</v>
      </c>
      <c r="E90" t="s">
        <v>393</v>
      </c>
      <c r="F90" t="s">
        <v>394</v>
      </c>
      <c r="G90" t="s">
        <v>395</v>
      </c>
      <c r="H90" t="s">
        <v>396</v>
      </c>
      <c r="I90" t="s">
        <v>397</v>
      </c>
      <c r="J90" t="s">
        <v>398</v>
      </c>
      <c r="K90" t="s">
        <v>399</v>
      </c>
      <c r="L90" t="s">
        <v>400</v>
      </c>
      <c r="M90">
        <v>-3.319</v>
      </c>
      <c r="N90" s="4">
        <f t="shared" si="3"/>
        <v>-33.19</v>
      </c>
      <c r="O90" t="s">
        <v>401</v>
      </c>
      <c r="P90" t="s">
        <v>402</v>
      </c>
      <c r="Q90" t="s">
        <v>403</v>
      </c>
      <c r="R90" t="s">
        <v>404</v>
      </c>
      <c r="S90" t="s">
        <v>422</v>
      </c>
      <c r="T90" t="s">
        <v>406</v>
      </c>
      <c r="U90">
        <v>1984</v>
      </c>
      <c r="V90">
        <v>118</v>
      </c>
      <c r="W90" t="s">
        <v>510</v>
      </c>
    </row>
    <row r="91" spans="1:23" hidden="1">
      <c r="A91" t="s">
        <v>389</v>
      </c>
      <c r="B91" t="s">
        <v>390</v>
      </c>
      <c r="C91" t="s">
        <v>391</v>
      </c>
      <c r="D91" t="s">
        <v>392</v>
      </c>
      <c r="E91" t="s">
        <v>504</v>
      </c>
      <c r="F91" t="s">
        <v>505</v>
      </c>
      <c r="G91" t="s">
        <v>511</v>
      </c>
      <c r="H91" t="s">
        <v>396</v>
      </c>
      <c r="I91" t="s">
        <v>397</v>
      </c>
      <c r="J91" t="s">
        <v>398</v>
      </c>
      <c r="K91" t="s">
        <v>399</v>
      </c>
      <c r="L91" t="s">
        <v>400</v>
      </c>
      <c r="M91">
        <v>-2.988</v>
      </c>
      <c r="N91" s="4">
        <f t="shared" si="3"/>
        <v>-29.88</v>
      </c>
      <c r="O91" t="s">
        <v>401</v>
      </c>
      <c r="P91" t="s">
        <v>402</v>
      </c>
      <c r="Q91" t="s">
        <v>403</v>
      </c>
      <c r="R91" t="s">
        <v>404</v>
      </c>
      <c r="S91" t="s">
        <v>422</v>
      </c>
      <c r="T91" t="s">
        <v>406</v>
      </c>
      <c r="U91">
        <v>1995</v>
      </c>
      <c r="V91">
        <v>118</v>
      </c>
      <c r="W91" t="s">
        <v>507</v>
      </c>
    </row>
    <row r="92" spans="1:23" hidden="1">
      <c r="A92" t="s">
        <v>389</v>
      </c>
      <c r="B92" t="s">
        <v>512</v>
      </c>
      <c r="C92" t="s">
        <v>513</v>
      </c>
      <c r="D92" t="s">
        <v>514</v>
      </c>
      <c r="E92" t="s">
        <v>515</v>
      </c>
      <c r="F92" t="s">
        <v>516</v>
      </c>
      <c r="G92" t="s">
        <v>517</v>
      </c>
      <c r="H92" t="s">
        <v>396</v>
      </c>
      <c r="I92" t="s">
        <v>397</v>
      </c>
      <c r="J92" t="s">
        <v>398</v>
      </c>
      <c r="K92" t="s">
        <v>399</v>
      </c>
      <c r="L92" t="s">
        <v>400</v>
      </c>
      <c r="M92">
        <v>-2.4489999999999998</v>
      </c>
      <c r="N92" s="4">
        <f t="shared" si="3"/>
        <v>-24.49</v>
      </c>
      <c r="O92" t="s">
        <v>401</v>
      </c>
      <c r="P92" t="s">
        <v>402</v>
      </c>
      <c r="Q92" t="s">
        <v>403</v>
      </c>
      <c r="R92" t="s">
        <v>404</v>
      </c>
      <c r="S92" t="s">
        <v>422</v>
      </c>
      <c r="T92" t="s">
        <v>406</v>
      </c>
      <c r="U92">
        <v>1977</v>
      </c>
      <c r="V92">
        <v>118</v>
      </c>
      <c r="W92" t="s">
        <v>518</v>
      </c>
    </row>
    <row r="93" spans="1:23" hidden="1">
      <c r="A93" t="s">
        <v>389</v>
      </c>
      <c r="B93" t="s">
        <v>390</v>
      </c>
      <c r="C93" t="s">
        <v>391</v>
      </c>
      <c r="D93" t="s">
        <v>392</v>
      </c>
      <c r="E93" t="s">
        <v>408</v>
      </c>
      <c r="F93" t="s">
        <v>409</v>
      </c>
      <c r="G93" t="s">
        <v>519</v>
      </c>
      <c r="H93" t="s">
        <v>396</v>
      </c>
      <c r="I93" t="s">
        <v>397</v>
      </c>
      <c r="J93" t="s">
        <v>398</v>
      </c>
      <c r="K93" t="s">
        <v>399</v>
      </c>
      <c r="L93" t="s">
        <v>400</v>
      </c>
      <c r="M93">
        <v>-2.3980000000000001</v>
      </c>
      <c r="N93" s="4">
        <f t="shared" si="3"/>
        <v>-23.98</v>
      </c>
      <c r="O93" t="s">
        <v>401</v>
      </c>
      <c r="P93" t="s">
        <v>402</v>
      </c>
      <c r="Q93" t="s">
        <v>403</v>
      </c>
      <c r="R93" t="s">
        <v>404</v>
      </c>
      <c r="S93" t="s">
        <v>422</v>
      </c>
      <c r="T93" t="s">
        <v>406</v>
      </c>
      <c r="U93">
        <v>1984</v>
      </c>
      <c r="V93">
        <v>118</v>
      </c>
      <c r="W93" t="s">
        <v>510</v>
      </c>
    </row>
    <row r="94" spans="1:23" hidden="1">
      <c r="A94" t="s">
        <v>389</v>
      </c>
      <c r="B94" t="s">
        <v>390</v>
      </c>
      <c r="C94" t="s">
        <v>391</v>
      </c>
      <c r="D94" t="s">
        <v>392</v>
      </c>
      <c r="E94" t="s">
        <v>393</v>
      </c>
      <c r="F94" t="s">
        <v>394</v>
      </c>
      <c r="G94" t="s">
        <v>395</v>
      </c>
      <c r="H94" t="s">
        <v>396</v>
      </c>
      <c r="I94" t="s">
        <v>397</v>
      </c>
      <c r="J94" t="s">
        <v>398</v>
      </c>
      <c r="K94" t="s">
        <v>399</v>
      </c>
      <c r="L94" t="s">
        <v>400</v>
      </c>
      <c r="M94">
        <v>-2.2639999999999998</v>
      </c>
      <c r="N94" s="4">
        <f t="shared" si="3"/>
        <v>-22.639999999999997</v>
      </c>
      <c r="O94" t="s">
        <v>401</v>
      </c>
      <c r="P94" t="s">
        <v>402</v>
      </c>
      <c r="Q94" t="s">
        <v>403</v>
      </c>
      <c r="R94" t="s">
        <v>404</v>
      </c>
      <c r="S94" t="s">
        <v>422</v>
      </c>
      <c r="T94" t="s">
        <v>406</v>
      </c>
      <c r="U94">
        <v>1982</v>
      </c>
      <c r="V94">
        <v>118</v>
      </c>
      <c r="W94" t="s">
        <v>520</v>
      </c>
    </row>
    <row r="95" spans="1:23" hidden="1">
      <c r="A95" t="s">
        <v>389</v>
      </c>
      <c r="B95" t="s">
        <v>512</v>
      </c>
      <c r="C95" t="s">
        <v>513</v>
      </c>
      <c r="D95" t="s">
        <v>514</v>
      </c>
      <c r="E95" t="s">
        <v>515</v>
      </c>
      <c r="F95" t="s">
        <v>516</v>
      </c>
      <c r="G95" t="s">
        <v>521</v>
      </c>
      <c r="H95" t="s">
        <v>396</v>
      </c>
      <c r="I95" t="s">
        <v>397</v>
      </c>
      <c r="J95" t="s">
        <v>398</v>
      </c>
      <c r="K95" t="s">
        <v>399</v>
      </c>
      <c r="L95" t="s">
        <v>400</v>
      </c>
      <c r="M95">
        <v>-1.919</v>
      </c>
      <c r="N95" s="4">
        <f t="shared" si="3"/>
        <v>-19.190000000000001</v>
      </c>
      <c r="O95" t="s">
        <v>401</v>
      </c>
      <c r="P95" t="s">
        <v>402</v>
      </c>
      <c r="Q95" t="s">
        <v>403</v>
      </c>
      <c r="R95" t="s">
        <v>404</v>
      </c>
      <c r="S95" t="s">
        <v>422</v>
      </c>
      <c r="T95" t="s">
        <v>406</v>
      </c>
      <c r="U95">
        <v>1987</v>
      </c>
      <c r="V95">
        <v>118</v>
      </c>
      <c r="W95" t="s">
        <v>522</v>
      </c>
    </row>
    <row r="96" spans="1:23" hidden="1">
      <c r="A96" t="s">
        <v>389</v>
      </c>
      <c r="B96" t="s">
        <v>390</v>
      </c>
      <c r="C96" t="s">
        <v>391</v>
      </c>
      <c r="D96" t="s">
        <v>392</v>
      </c>
      <c r="E96" t="s">
        <v>523</v>
      </c>
      <c r="F96" t="s">
        <v>524</v>
      </c>
      <c r="G96" t="s">
        <v>525</v>
      </c>
      <c r="H96" t="s">
        <v>396</v>
      </c>
      <c r="I96" t="s">
        <v>397</v>
      </c>
      <c r="J96" t="s">
        <v>398</v>
      </c>
      <c r="K96" t="s">
        <v>399</v>
      </c>
      <c r="L96" t="s">
        <v>400</v>
      </c>
      <c r="M96">
        <v>-1.706</v>
      </c>
      <c r="N96" s="4">
        <f t="shared" si="3"/>
        <v>-17.059999999999999</v>
      </c>
      <c r="O96" t="s">
        <v>401</v>
      </c>
      <c r="P96" t="s">
        <v>402</v>
      </c>
      <c r="Q96" t="s">
        <v>403</v>
      </c>
      <c r="R96" t="s">
        <v>404</v>
      </c>
      <c r="S96" t="s">
        <v>422</v>
      </c>
      <c r="T96" t="s">
        <v>406</v>
      </c>
      <c r="U96">
        <v>1987</v>
      </c>
      <c r="V96">
        <v>118</v>
      </c>
      <c r="W96" t="s">
        <v>522</v>
      </c>
    </row>
    <row r="97" spans="1:23" hidden="1">
      <c r="A97" t="s">
        <v>389</v>
      </c>
      <c r="B97" t="s">
        <v>390</v>
      </c>
      <c r="C97" t="s">
        <v>391</v>
      </c>
      <c r="D97" t="s">
        <v>392</v>
      </c>
      <c r="E97" t="s">
        <v>393</v>
      </c>
      <c r="F97" t="s">
        <v>394</v>
      </c>
      <c r="G97" t="s">
        <v>394</v>
      </c>
      <c r="H97" t="s">
        <v>396</v>
      </c>
      <c r="I97" t="s">
        <v>397</v>
      </c>
      <c r="J97" t="s">
        <v>398</v>
      </c>
      <c r="K97" t="s">
        <v>399</v>
      </c>
      <c r="L97" t="s">
        <v>400</v>
      </c>
      <c r="M97">
        <v>-0.35399999999999998</v>
      </c>
      <c r="N97" s="4">
        <f t="shared" si="3"/>
        <v>-3.54</v>
      </c>
      <c r="O97" t="s">
        <v>401</v>
      </c>
      <c r="P97" t="s">
        <v>402</v>
      </c>
      <c r="Q97" t="s">
        <v>403</v>
      </c>
      <c r="R97" t="s">
        <v>404</v>
      </c>
      <c r="S97" t="s">
        <v>422</v>
      </c>
      <c r="T97" t="s">
        <v>406</v>
      </c>
      <c r="U97">
        <v>1982</v>
      </c>
      <c r="V97">
        <v>118</v>
      </c>
      <c r="W97" t="s">
        <v>520</v>
      </c>
    </row>
    <row r="98" spans="1:23" hidden="1">
      <c r="A98" t="s">
        <v>389</v>
      </c>
      <c r="B98" t="s">
        <v>425</v>
      </c>
      <c r="C98" t="s">
        <v>526</v>
      </c>
      <c r="D98" t="s">
        <v>527</v>
      </c>
      <c r="E98" t="s">
        <v>528</v>
      </c>
      <c r="F98" t="s">
        <v>529</v>
      </c>
      <c r="G98" t="s">
        <v>530</v>
      </c>
      <c r="H98" t="s">
        <v>396</v>
      </c>
      <c r="I98" t="s">
        <v>397</v>
      </c>
      <c r="J98" t="s">
        <v>398</v>
      </c>
      <c r="K98" t="s">
        <v>399</v>
      </c>
      <c r="L98" t="s">
        <v>400</v>
      </c>
      <c r="M98">
        <v>-0.222</v>
      </c>
      <c r="N98" s="4">
        <f t="shared" si="3"/>
        <v>-2.2200000000000002</v>
      </c>
      <c r="O98" t="s">
        <v>401</v>
      </c>
      <c r="P98" t="s">
        <v>402</v>
      </c>
      <c r="Q98" t="s">
        <v>403</v>
      </c>
      <c r="R98" t="s">
        <v>404</v>
      </c>
      <c r="S98" t="s">
        <v>422</v>
      </c>
      <c r="T98" t="s">
        <v>406</v>
      </c>
      <c r="U98">
        <v>1982</v>
      </c>
      <c r="V98">
        <v>118</v>
      </c>
      <c r="W98" t="s">
        <v>520</v>
      </c>
    </row>
    <row r="99" spans="1:23" hidden="1">
      <c r="A99" t="s">
        <v>389</v>
      </c>
      <c r="B99" t="s">
        <v>390</v>
      </c>
      <c r="C99" t="s">
        <v>391</v>
      </c>
      <c r="D99" t="s">
        <v>392</v>
      </c>
      <c r="E99" t="s">
        <v>408</v>
      </c>
      <c r="F99" t="s">
        <v>409</v>
      </c>
      <c r="G99" t="s">
        <v>519</v>
      </c>
      <c r="H99" t="s">
        <v>396</v>
      </c>
      <c r="I99" t="s">
        <v>397</v>
      </c>
      <c r="J99" t="s">
        <v>398</v>
      </c>
      <c r="K99" t="s">
        <v>399</v>
      </c>
      <c r="L99" t="s">
        <v>400</v>
      </c>
      <c r="M99">
        <v>0.86599999999999999</v>
      </c>
      <c r="N99" s="4">
        <f t="shared" si="3"/>
        <v>8.66</v>
      </c>
      <c r="O99" t="s">
        <v>401</v>
      </c>
      <c r="P99" t="s">
        <v>402</v>
      </c>
      <c r="Q99" t="s">
        <v>403</v>
      </c>
      <c r="R99" t="s">
        <v>404</v>
      </c>
      <c r="S99" t="s">
        <v>422</v>
      </c>
      <c r="T99" t="s">
        <v>406</v>
      </c>
      <c r="U99">
        <v>1982</v>
      </c>
      <c r="V99">
        <v>118</v>
      </c>
      <c r="W99" t="s">
        <v>520</v>
      </c>
    </row>
    <row r="100" spans="1:23" hidden="1">
      <c r="A100" t="s">
        <v>389</v>
      </c>
      <c r="B100" t="s">
        <v>390</v>
      </c>
      <c r="C100" t="s">
        <v>391</v>
      </c>
      <c r="D100" t="s">
        <v>392</v>
      </c>
      <c r="E100" t="s">
        <v>523</v>
      </c>
      <c r="F100" t="s">
        <v>524</v>
      </c>
      <c r="G100" t="s">
        <v>531</v>
      </c>
      <c r="H100" t="s">
        <v>396</v>
      </c>
      <c r="I100" t="s">
        <v>397</v>
      </c>
      <c r="J100" t="s">
        <v>398</v>
      </c>
      <c r="K100" t="s">
        <v>399</v>
      </c>
      <c r="L100" t="s">
        <v>400</v>
      </c>
      <c r="M100">
        <v>1.2190000000000001</v>
      </c>
      <c r="N100" s="4">
        <f t="shared" si="3"/>
        <v>12.190000000000001</v>
      </c>
      <c r="O100" t="s">
        <v>401</v>
      </c>
      <c r="P100" t="s">
        <v>402</v>
      </c>
      <c r="Q100" t="s">
        <v>403</v>
      </c>
      <c r="R100" t="s">
        <v>404</v>
      </c>
      <c r="S100" t="s">
        <v>422</v>
      </c>
      <c r="T100" t="s">
        <v>406</v>
      </c>
      <c r="U100">
        <v>1987</v>
      </c>
      <c r="V100">
        <v>118</v>
      </c>
      <c r="W100" t="s">
        <v>522</v>
      </c>
    </row>
    <row r="101" spans="1:23" hidden="1">
      <c r="A101" t="s">
        <v>389</v>
      </c>
      <c r="B101" t="s">
        <v>390</v>
      </c>
      <c r="C101" t="s">
        <v>391</v>
      </c>
      <c r="D101" t="s">
        <v>392</v>
      </c>
      <c r="E101" t="s">
        <v>393</v>
      </c>
      <c r="F101" t="s">
        <v>394</v>
      </c>
      <c r="G101" t="s">
        <v>412</v>
      </c>
      <c r="H101" t="s">
        <v>396</v>
      </c>
      <c r="I101" t="s">
        <v>397</v>
      </c>
      <c r="J101" t="s">
        <v>398</v>
      </c>
      <c r="K101" t="s">
        <v>399</v>
      </c>
      <c r="L101" t="s">
        <v>400</v>
      </c>
      <c r="M101">
        <v>2.0179999999999998</v>
      </c>
      <c r="N101" s="4">
        <f t="shared" si="3"/>
        <v>20.18</v>
      </c>
      <c r="O101" t="s">
        <v>401</v>
      </c>
      <c r="P101" t="s">
        <v>402</v>
      </c>
      <c r="Q101" t="s">
        <v>403</v>
      </c>
      <c r="R101" t="s">
        <v>404</v>
      </c>
      <c r="S101" t="s">
        <v>422</v>
      </c>
      <c r="T101" t="s">
        <v>406</v>
      </c>
      <c r="U101">
        <v>1982</v>
      </c>
      <c r="V101">
        <v>118</v>
      </c>
      <c r="W101" t="s">
        <v>520</v>
      </c>
    </row>
    <row r="102" spans="1:23" hidden="1">
      <c r="A102" t="s">
        <v>389</v>
      </c>
      <c r="B102" t="s">
        <v>390</v>
      </c>
      <c r="C102" t="s">
        <v>391</v>
      </c>
      <c r="D102" t="s">
        <v>392</v>
      </c>
      <c r="E102" t="s">
        <v>408</v>
      </c>
      <c r="F102" t="s">
        <v>409</v>
      </c>
      <c r="G102" t="s">
        <v>519</v>
      </c>
      <c r="H102" t="s">
        <v>396</v>
      </c>
      <c r="I102" t="s">
        <v>397</v>
      </c>
      <c r="J102" t="s">
        <v>398</v>
      </c>
      <c r="K102" t="s">
        <v>399</v>
      </c>
      <c r="L102" t="s">
        <v>400</v>
      </c>
      <c r="M102">
        <v>2.8719999999999999</v>
      </c>
      <c r="N102" s="4">
        <f t="shared" si="3"/>
        <v>28.72</v>
      </c>
      <c r="O102" t="s">
        <v>401</v>
      </c>
      <c r="P102" t="s">
        <v>402</v>
      </c>
      <c r="Q102" t="s">
        <v>403</v>
      </c>
      <c r="R102" t="s">
        <v>404</v>
      </c>
      <c r="S102" t="s">
        <v>422</v>
      </c>
      <c r="T102" t="s">
        <v>406</v>
      </c>
      <c r="U102">
        <v>1980</v>
      </c>
      <c r="V102">
        <v>118</v>
      </c>
      <c r="W102" t="s">
        <v>532</v>
      </c>
    </row>
    <row r="103" spans="1:23" hidden="1">
      <c r="A103" t="s">
        <v>389</v>
      </c>
      <c r="B103" t="s">
        <v>390</v>
      </c>
      <c r="C103" t="s">
        <v>391</v>
      </c>
      <c r="D103" t="s">
        <v>392</v>
      </c>
      <c r="E103" t="s">
        <v>393</v>
      </c>
      <c r="F103" t="s">
        <v>394</v>
      </c>
      <c r="G103" t="s">
        <v>412</v>
      </c>
      <c r="H103" t="s">
        <v>396</v>
      </c>
      <c r="I103" t="s">
        <v>397</v>
      </c>
      <c r="J103" t="s">
        <v>398</v>
      </c>
      <c r="K103" t="s">
        <v>399</v>
      </c>
      <c r="L103" t="s">
        <v>400</v>
      </c>
      <c r="M103">
        <v>6.03</v>
      </c>
      <c r="N103" s="4">
        <f t="shared" si="3"/>
        <v>60.300000000000004</v>
      </c>
      <c r="O103" t="s">
        <v>401</v>
      </c>
      <c r="P103" t="s">
        <v>402</v>
      </c>
      <c r="Q103" t="s">
        <v>403</v>
      </c>
      <c r="R103" t="s">
        <v>404</v>
      </c>
      <c r="S103" t="s">
        <v>422</v>
      </c>
      <c r="T103" t="s">
        <v>406</v>
      </c>
      <c r="U103">
        <v>1995</v>
      </c>
      <c r="V103">
        <v>118</v>
      </c>
      <c r="W103" t="s">
        <v>507</v>
      </c>
    </row>
    <row r="104" spans="1:23" hidden="1">
      <c r="A104" t="s">
        <v>389</v>
      </c>
      <c r="B104" t="s">
        <v>390</v>
      </c>
      <c r="C104" t="s">
        <v>391</v>
      </c>
      <c r="D104" t="s">
        <v>392</v>
      </c>
      <c r="E104" t="s">
        <v>393</v>
      </c>
      <c r="F104" t="s">
        <v>394</v>
      </c>
      <c r="G104" t="s">
        <v>395</v>
      </c>
      <c r="H104" t="s">
        <v>396</v>
      </c>
      <c r="I104" t="s">
        <v>397</v>
      </c>
      <c r="J104" t="s">
        <v>398</v>
      </c>
      <c r="K104" t="s">
        <v>399</v>
      </c>
      <c r="L104" t="s">
        <v>400</v>
      </c>
      <c r="M104">
        <v>6.8159999999999998</v>
      </c>
      <c r="N104" s="4">
        <f t="shared" si="3"/>
        <v>68.16</v>
      </c>
      <c r="O104" t="s">
        <v>401</v>
      </c>
      <c r="P104" t="s">
        <v>402</v>
      </c>
      <c r="Q104" t="s">
        <v>403</v>
      </c>
      <c r="R104" t="s">
        <v>404</v>
      </c>
      <c r="S104" t="s">
        <v>422</v>
      </c>
      <c r="T104" t="s">
        <v>406</v>
      </c>
      <c r="U104">
        <v>1980</v>
      </c>
      <c r="V104">
        <v>118</v>
      </c>
      <c r="W104" t="s">
        <v>532</v>
      </c>
    </row>
    <row r="105" spans="1:23" hidden="1">
      <c r="A105" t="s">
        <v>389</v>
      </c>
      <c r="B105" t="s">
        <v>390</v>
      </c>
      <c r="C105" t="s">
        <v>391</v>
      </c>
      <c r="D105" t="s">
        <v>392</v>
      </c>
      <c r="E105" t="s">
        <v>533</v>
      </c>
      <c r="F105" t="s">
        <v>534</v>
      </c>
      <c r="G105" t="s">
        <v>535</v>
      </c>
      <c r="H105" t="s">
        <v>396</v>
      </c>
      <c r="I105" t="s">
        <v>397</v>
      </c>
      <c r="J105" t="s">
        <v>398</v>
      </c>
      <c r="K105" t="s">
        <v>399</v>
      </c>
      <c r="L105" t="s">
        <v>400</v>
      </c>
      <c r="M105">
        <v>6.8849999999999998</v>
      </c>
      <c r="N105" s="4">
        <f t="shared" si="3"/>
        <v>68.849999999999994</v>
      </c>
      <c r="O105" t="s">
        <v>401</v>
      </c>
      <c r="P105" t="s">
        <v>402</v>
      </c>
      <c r="Q105" t="s">
        <v>403</v>
      </c>
      <c r="R105" t="s">
        <v>404</v>
      </c>
      <c r="S105" t="s">
        <v>422</v>
      </c>
      <c r="T105" t="s">
        <v>406</v>
      </c>
      <c r="U105">
        <v>1968</v>
      </c>
      <c r="V105">
        <v>118</v>
      </c>
      <c r="W105" t="s">
        <v>536</v>
      </c>
    </row>
    <row r="106" spans="1:23" hidden="1">
      <c r="A106" t="s">
        <v>389</v>
      </c>
      <c r="B106" t="s">
        <v>432</v>
      </c>
      <c r="C106" t="s">
        <v>537</v>
      </c>
      <c r="D106" t="s">
        <v>434</v>
      </c>
      <c r="E106" t="s">
        <v>538</v>
      </c>
      <c r="F106" t="s">
        <v>539</v>
      </c>
      <c r="G106" t="s">
        <v>540</v>
      </c>
      <c r="H106" t="s">
        <v>396</v>
      </c>
      <c r="I106" t="s">
        <v>397</v>
      </c>
      <c r="J106" t="s">
        <v>398</v>
      </c>
      <c r="K106" t="s">
        <v>399</v>
      </c>
      <c r="L106" t="s">
        <v>431</v>
      </c>
      <c r="M106">
        <v>-1.548</v>
      </c>
      <c r="N106" s="4">
        <f t="shared" si="3"/>
        <v>-15.48</v>
      </c>
      <c r="O106" t="s">
        <v>401</v>
      </c>
      <c r="P106" t="s">
        <v>419</v>
      </c>
      <c r="Q106" t="s">
        <v>541</v>
      </c>
      <c r="R106" t="s">
        <v>542</v>
      </c>
      <c r="S106" t="s">
        <v>422</v>
      </c>
      <c r="T106" t="s">
        <v>406</v>
      </c>
      <c r="U106">
        <v>1898</v>
      </c>
      <c r="V106">
        <v>125</v>
      </c>
      <c r="W106" t="s">
        <v>543</v>
      </c>
    </row>
    <row r="107" spans="1:23" hidden="1">
      <c r="A107" t="s">
        <v>389</v>
      </c>
      <c r="B107" t="s">
        <v>432</v>
      </c>
      <c r="C107" t="s">
        <v>537</v>
      </c>
      <c r="D107" t="s">
        <v>434</v>
      </c>
      <c r="E107" t="s">
        <v>538</v>
      </c>
      <c r="F107" t="s">
        <v>539</v>
      </c>
      <c r="G107" t="s">
        <v>539</v>
      </c>
      <c r="H107" t="s">
        <v>396</v>
      </c>
      <c r="I107" t="s">
        <v>397</v>
      </c>
      <c r="J107" t="s">
        <v>398</v>
      </c>
      <c r="K107" t="s">
        <v>399</v>
      </c>
      <c r="L107" t="s">
        <v>431</v>
      </c>
      <c r="M107">
        <v>4.1669999999999998</v>
      </c>
      <c r="N107" s="4">
        <f t="shared" si="3"/>
        <v>41.67</v>
      </c>
      <c r="O107" t="s">
        <v>401</v>
      </c>
      <c r="P107" t="s">
        <v>419</v>
      </c>
      <c r="Q107" t="s">
        <v>541</v>
      </c>
      <c r="R107" t="s">
        <v>542</v>
      </c>
      <c r="S107" t="s">
        <v>422</v>
      </c>
      <c r="T107" t="s">
        <v>406</v>
      </c>
      <c r="U107">
        <v>1898</v>
      </c>
      <c r="V107">
        <v>125</v>
      </c>
      <c r="W107" t="s">
        <v>543</v>
      </c>
    </row>
    <row r="108" spans="1:23" hidden="1">
      <c r="A108" t="s">
        <v>389</v>
      </c>
      <c r="B108" t="s">
        <v>432</v>
      </c>
      <c r="C108" t="s">
        <v>537</v>
      </c>
      <c r="D108" t="s">
        <v>434</v>
      </c>
      <c r="E108" t="s">
        <v>538</v>
      </c>
      <c r="F108" t="s">
        <v>539</v>
      </c>
      <c r="G108" t="s">
        <v>540</v>
      </c>
      <c r="H108" t="s">
        <v>396</v>
      </c>
      <c r="I108" t="s">
        <v>397</v>
      </c>
      <c r="J108" t="s">
        <v>398</v>
      </c>
      <c r="K108" t="s">
        <v>399</v>
      </c>
      <c r="L108" t="s">
        <v>431</v>
      </c>
      <c r="M108">
        <v>3.5710000000000002</v>
      </c>
      <c r="N108" s="4">
        <f t="shared" si="3"/>
        <v>35.71</v>
      </c>
      <c r="O108" t="s">
        <v>401</v>
      </c>
      <c r="P108" t="s">
        <v>419</v>
      </c>
      <c r="Q108" t="s">
        <v>541</v>
      </c>
      <c r="R108" t="s">
        <v>421</v>
      </c>
      <c r="S108" t="s">
        <v>422</v>
      </c>
      <c r="T108" t="s">
        <v>406</v>
      </c>
      <c r="U108">
        <v>1872</v>
      </c>
      <c r="V108">
        <v>126</v>
      </c>
      <c r="W108" t="s">
        <v>544</v>
      </c>
    </row>
    <row r="109" spans="1:23" hidden="1">
      <c r="A109" t="s">
        <v>389</v>
      </c>
      <c r="B109" t="s">
        <v>390</v>
      </c>
      <c r="C109" t="s">
        <v>391</v>
      </c>
      <c r="D109" t="s">
        <v>392</v>
      </c>
      <c r="E109" t="s">
        <v>393</v>
      </c>
      <c r="F109" t="s">
        <v>394</v>
      </c>
      <c r="G109" t="s">
        <v>395</v>
      </c>
      <c r="H109" t="s">
        <v>396</v>
      </c>
      <c r="I109" t="s">
        <v>397</v>
      </c>
      <c r="J109" t="s">
        <v>398</v>
      </c>
      <c r="K109" t="s">
        <v>399</v>
      </c>
      <c r="L109" t="s">
        <v>400</v>
      </c>
      <c r="M109">
        <v>-1.2</v>
      </c>
      <c r="N109" s="4">
        <f t="shared" si="3"/>
        <v>-12</v>
      </c>
      <c r="O109" t="s">
        <v>401</v>
      </c>
      <c r="P109" t="s">
        <v>402</v>
      </c>
      <c r="Q109" t="s">
        <v>403</v>
      </c>
      <c r="R109" t="s">
        <v>542</v>
      </c>
      <c r="S109" t="s">
        <v>422</v>
      </c>
      <c r="T109" t="s">
        <v>500</v>
      </c>
      <c r="U109">
        <v>1982</v>
      </c>
      <c r="V109">
        <v>133</v>
      </c>
      <c r="W109" t="s">
        <v>545</v>
      </c>
    </row>
    <row r="110" spans="1:23" hidden="1">
      <c r="A110" t="s">
        <v>389</v>
      </c>
      <c r="B110" t="s">
        <v>390</v>
      </c>
      <c r="C110" t="s">
        <v>391</v>
      </c>
      <c r="D110" t="s">
        <v>392</v>
      </c>
      <c r="E110" t="s">
        <v>393</v>
      </c>
      <c r="F110" t="s">
        <v>394</v>
      </c>
      <c r="G110" t="s">
        <v>412</v>
      </c>
      <c r="H110" t="s">
        <v>396</v>
      </c>
      <c r="I110" t="s">
        <v>397</v>
      </c>
      <c r="J110" t="s">
        <v>398</v>
      </c>
      <c r="K110" t="s">
        <v>399</v>
      </c>
      <c r="L110" t="s">
        <v>400</v>
      </c>
      <c r="M110">
        <v>1.0349999999999999</v>
      </c>
      <c r="N110" s="4">
        <f t="shared" si="3"/>
        <v>10.35</v>
      </c>
      <c r="O110" t="s">
        <v>401</v>
      </c>
      <c r="P110" t="s">
        <v>402</v>
      </c>
      <c r="Q110" t="s">
        <v>403</v>
      </c>
      <c r="R110" t="s">
        <v>542</v>
      </c>
      <c r="S110" t="s">
        <v>422</v>
      </c>
      <c r="T110" t="s">
        <v>500</v>
      </c>
      <c r="U110">
        <v>1982</v>
      </c>
      <c r="V110">
        <v>133</v>
      </c>
      <c r="W110" t="s">
        <v>545</v>
      </c>
    </row>
    <row r="111" spans="1:23" s="4" customFormat="1">
      <c r="A111" s="4" t="s">
        <v>389</v>
      </c>
      <c r="B111" s="4" t="s">
        <v>390</v>
      </c>
      <c r="C111" s="4" t="s">
        <v>495</v>
      </c>
      <c r="D111" s="4" t="s">
        <v>496</v>
      </c>
      <c r="E111" s="4" t="s">
        <v>546</v>
      </c>
      <c r="F111" s="4" t="s">
        <v>547</v>
      </c>
      <c r="G111" s="4" t="s">
        <v>370</v>
      </c>
      <c r="H111" s="4" t="s">
        <v>499</v>
      </c>
      <c r="I111" s="4" t="s">
        <v>397</v>
      </c>
      <c r="J111" s="4" t="s">
        <v>398</v>
      </c>
      <c r="K111" s="4" t="s">
        <v>399</v>
      </c>
      <c r="L111" s="4" t="s">
        <v>431</v>
      </c>
      <c r="M111" s="4">
        <v>15.7</v>
      </c>
      <c r="N111" s="4">
        <f t="shared" si="3"/>
        <v>157</v>
      </c>
      <c r="O111" s="4" t="s">
        <v>401</v>
      </c>
      <c r="P111" s="4" t="s">
        <v>419</v>
      </c>
      <c r="Q111" s="4" t="s">
        <v>403</v>
      </c>
      <c r="R111" s="4" t="s">
        <v>421</v>
      </c>
      <c r="S111" s="4" t="s">
        <v>422</v>
      </c>
      <c r="T111" s="4" t="s">
        <v>406</v>
      </c>
      <c r="U111" s="4">
        <v>1978</v>
      </c>
      <c r="V111" s="4">
        <v>151</v>
      </c>
      <c r="W111" s="4" t="s">
        <v>548</v>
      </c>
    </row>
    <row r="112" spans="1:23">
      <c r="A112" t="s">
        <v>389</v>
      </c>
      <c r="B112" t="s">
        <v>390</v>
      </c>
      <c r="C112" t="s">
        <v>495</v>
      </c>
      <c r="D112" t="s">
        <v>496</v>
      </c>
      <c r="E112" t="s">
        <v>549</v>
      </c>
      <c r="F112" t="s">
        <v>550</v>
      </c>
      <c r="G112" t="s">
        <v>369</v>
      </c>
      <c r="H112" t="s">
        <v>499</v>
      </c>
      <c r="I112" t="s">
        <v>397</v>
      </c>
      <c r="J112" t="s">
        <v>398</v>
      </c>
      <c r="K112" t="s">
        <v>399</v>
      </c>
      <c r="L112" t="s">
        <v>431</v>
      </c>
      <c r="M112">
        <v>15.7</v>
      </c>
      <c r="N112" s="4">
        <f t="shared" si="3"/>
        <v>157</v>
      </c>
      <c r="O112" t="s">
        <v>401</v>
      </c>
      <c r="P112" t="s">
        <v>419</v>
      </c>
      <c r="Q112" t="s">
        <v>403</v>
      </c>
      <c r="R112" t="s">
        <v>421</v>
      </c>
      <c r="S112" t="s">
        <v>422</v>
      </c>
      <c r="T112" t="s">
        <v>406</v>
      </c>
      <c r="U112">
        <v>1978</v>
      </c>
      <c r="V112">
        <v>151</v>
      </c>
      <c r="W112" t="s">
        <v>548</v>
      </c>
    </row>
    <row r="113" spans="1:23" s="4" customFormat="1">
      <c r="A113" s="4" t="s">
        <v>389</v>
      </c>
      <c r="B113" s="4" t="s">
        <v>390</v>
      </c>
      <c r="C113" s="4" t="s">
        <v>495</v>
      </c>
      <c r="D113" s="4" t="s">
        <v>496</v>
      </c>
      <c r="E113" s="4" t="s">
        <v>497</v>
      </c>
      <c r="F113" s="4" t="s">
        <v>498</v>
      </c>
      <c r="G113" s="4" t="s">
        <v>341</v>
      </c>
      <c r="H113" s="4" t="s">
        <v>499</v>
      </c>
      <c r="I113" s="4" t="s">
        <v>397</v>
      </c>
      <c r="J113" s="4" t="s">
        <v>398</v>
      </c>
      <c r="K113" s="4" t="s">
        <v>399</v>
      </c>
      <c r="L113" s="4" t="s">
        <v>418</v>
      </c>
      <c r="M113" s="4">
        <v>4.625</v>
      </c>
      <c r="N113" s="4">
        <f t="shared" si="3"/>
        <v>46.25</v>
      </c>
      <c r="O113" s="4" t="s">
        <v>401</v>
      </c>
      <c r="P113" s="4" t="s">
        <v>419</v>
      </c>
      <c r="Q113" s="4" t="s">
        <v>551</v>
      </c>
      <c r="R113" s="4" t="s">
        <v>542</v>
      </c>
      <c r="S113" s="4" t="s">
        <v>422</v>
      </c>
      <c r="T113" s="4" t="s">
        <v>500</v>
      </c>
      <c r="U113" s="4">
        <v>1958</v>
      </c>
      <c r="V113" s="4">
        <v>164</v>
      </c>
      <c r="W113" s="4" t="s">
        <v>552</v>
      </c>
    </row>
    <row r="114" spans="1:23">
      <c r="A114" t="s">
        <v>389</v>
      </c>
      <c r="B114" t="s">
        <v>390</v>
      </c>
      <c r="C114" t="s">
        <v>495</v>
      </c>
      <c r="D114" t="s">
        <v>496</v>
      </c>
      <c r="E114" t="s">
        <v>553</v>
      </c>
      <c r="F114" t="s">
        <v>554</v>
      </c>
      <c r="G114" t="s">
        <v>336</v>
      </c>
      <c r="H114" t="s">
        <v>499</v>
      </c>
      <c r="I114" t="s">
        <v>397</v>
      </c>
      <c r="J114" t="s">
        <v>398</v>
      </c>
      <c r="K114" t="s">
        <v>399</v>
      </c>
      <c r="L114" t="s">
        <v>431</v>
      </c>
      <c r="M114">
        <v>4.625</v>
      </c>
      <c r="N114" s="4">
        <f t="shared" si="3"/>
        <v>46.25</v>
      </c>
      <c r="O114" t="s">
        <v>401</v>
      </c>
      <c r="P114" t="s">
        <v>419</v>
      </c>
      <c r="Q114" t="s">
        <v>551</v>
      </c>
      <c r="R114" t="s">
        <v>542</v>
      </c>
      <c r="S114" t="s">
        <v>422</v>
      </c>
      <c r="T114" t="s">
        <v>500</v>
      </c>
      <c r="U114">
        <v>1958</v>
      </c>
      <c r="V114">
        <v>164</v>
      </c>
      <c r="W114" t="s">
        <v>552</v>
      </c>
    </row>
    <row r="115" spans="1:23">
      <c r="A115" t="s">
        <v>389</v>
      </c>
      <c r="B115" t="s">
        <v>390</v>
      </c>
      <c r="C115" t="s">
        <v>495</v>
      </c>
      <c r="D115" t="s">
        <v>496</v>
      </c>
      <c r="E115" t="s">
        <v>546</v>
      </c>
      <c r="F115" t="s">
        <v>547</v>
      </c>
      <c r="G115" t="s">
        <v>110</v>
      </c>
      <c r="H115" t="s">
        <v>499</v>
      </c>
      <c r="I115" t="s">
        <v>397</v>
      </c>
      <c r="J115" t="s">
        <v>398</v>
      </c>
      <c r="K115" t="s">
        <v>399</v>
      </c>
      <c r="L115" t="s">
        <v>418</v>
      </c>
      <c r="M115">
        <v>5.7809999999999997</v>
      </c>
      <c r="N115" s="4">
        <f t="shared" si="3"/>
        <v>57.809999999999995</v>
      </c>
      <c r="O115" t="s">
        <v>401</v>
      </c>
      <c r="P115" t="s">
        <v>419</v>
      </c>
      <c r="Q115" t="s">
        <v>551</v>
      </c>
      <c r="R115" t="s">
        <v>542</v>
      </c>
      <c r="S115" t="s">
        <v>422</v>
      </c>
      <c r="T115" t="s">
        <v>500</v>
      </c>
      <c r="U115">
        <v>1958</v>
      </c>
      <c r="V115">
        <v>164</v>
      </c>
      <c r="W115" t="s">
        <v>552</v>
      </c>
    </row>
    <row r="116" spans="1:23">
      <c r="A116" t="s">
        <v>389</v>
      </c>
      <c r="B116" t="s">
        <v>390</v>
      </c>
      <c r="C116" t="s">
        <v>495</v>
      </c>
      <c r="D116" t="s">
        <v>496</v>
      </c>
      <c r="E116" t="s">
        <v>555</v>
      </c>
      <c r="F116" t="s">
        <v>556</v>
      </c>
      <c r="G116" t="s">
        <v>335</v>
      </c>
      <c r="H116" t="s">
        <v>499</v>
      </c>
      <c r="I116" t="s">
        <v>397</v>
      </c>
      <c r="J116" t="s">
        <v>398</v>
      </c>
      <c r="K116" t="s">
        <v>399</v>
      </c>
      <c r="L116" t="s">
        <v>431</v>
      </c>
      <c r="M116">
        <v>13.875</v>
      </c>
      <c r="N116" s="4">
        <f t="shared" si="3"/>
        <v>138.75</v>
      </c>
      <c r="O116" t="s">
        <v>401</v>
      </c>
      <c r="P116" t="s">
        <v>419</v>
      </c>
      <c r="Q116" t="s">
        <v>551</v>
      </c>
      <c r="R116" t="s">
        <v>542</v>
      </c>
      <c r="S116" t="s">
        <v>422</v>
      </c>
      <c r="T116" t="s">
        <v>500</v>
      </c>
      <c r="U116">
        <v>1958</v>
      </c>
      <c r="V116">
        <v>164</v>
      </c>
      <c r="W116" t="s">
        <v>552</v>
      </c>
    </row>
    <row r="117" spans="1:23">
      <c r="A117" t="s">
        <v>389</v>
      </c>
      <c r="B117" t="s">
        <v>390</v>
      </c>
      <c r="C117" t="s">
        <v>495</v>
      </c>
      <c r="D117" t="s">
        <v>496</v>
      </c>
      <c r="E117" t="s">
        <v>555</v>
      </c>
      <c r="F117" t="s">
        <v>557</v>
      </c>
      <c r="G117" t="s">
        <v>337</v>
      </c>
      <c r="H117" t="s">
        <v>499</v>
      </c>
      <c r="I117" t="s">
        <v>397</v>
      </c>
      <c r="J117" t="s">
        <v>398</v>
      </c>
      <c r="K117" t="s">
        <v>399</v>
      </c>
      <c r="L117" t="s">
        <v>418</v>
      </c>
      <c r="M117">
        <v>16.187999999999999</v>
      </c>
      <c r="N117" s="4">
        <f t="shared" si="3"/>
        <v>161.88</v>
      </c>
      <c r="O117" t="s">
        <v>401</v>
      </c>
      <c r="P117" t="s">
        <v>419</v>
      </c>
      <c r="Q117" t="s">
        <v>551</v>
      </c>
      <c r="R117" t="s">
        <v>542</v>
      </c>
      <c r="S117" t="s">
        <v>422</v>
      </c>
      <c r="T117" t="s">
        <v>500</v>
      </c>
      <c r="U117">
        <v>1958</v>
      </c>
      <c r="V117">
        <v>164</v>
      </c>
      <c r="W117" t="s">
        <v>552</v>
      </c>
    </row>
    <row r="118" spans="1:23">
      <c r="A118" t="s">
        <v>389</v>
      </c>
      <c r="B118" t="s">
        <v>390</v>
      </c>
      <c r="C118" t="s">
        <v>495</v>
      </c>
      <c r="D118" t="s">
        <v>496</v>
      </c>
      <c r="E118" t="s">
        <v>497</v>
      </c>
      <c r="F118" t="s">
        <v>498</v>
      </c>
      <c r="G118" t="s">
        <v>66</v>
      </c>
      <c r="H118" t="s">
        <v>499</v>
      </c>
      <c r="I118" t="s">
        <v>397</v>
      </c>
      <c r="J118" t="s">
        <v>398</v>
      </c>
      <c r="K118" t="s">
        <v>399</v>
      </c>
      <c r="L118" t="s">
        <v>431</v>
      </c>
      <c r="M118">
        <v>21.75</v>
      </c>
      <c r="N118" s="4">
        <f t="shared" si="3"/>
        <v>217.5</v>
      </c>
      <c r="O118" t="s">
        <v>401</v>
      </c>
      <c r="P118" t="s">
        <v>419</v>
      </c>
      <c r="Q118" t="s">
        <v>551</v>
      </c>
      <c r="R118" t="s">
        <v>542</v>
      </c>
      <c r="S118" t="s">
        <v>422</v>
      </c>
      <c r="T118" t="s">
        <v>500</v>
      </c>
      <c r="U118">
        <v>1958</v>
      </c>
      <c r="V118">
        <v>164</v>
      </c>
      <c r="W118" t="s">
        <v>552</v>
      </c>
    </row>
    <row r="119" spans="1:23">
      <c r="A119" t="s">
        <v>389</v>
      </c>
      <c r="B119" t="s">
        <v>390</v>
      </c>
      <c r="C119" t="s">
        <v>495</v>
      </c>
      <c r="D119" t="s">
        <v>496</v>
      </c>
      <c r="E119" t="s">
        <v>497</v>
      </c>
      <c r="F119" t="s">
        <v>558</v>
      </c>
      <c r="G119" t="s">
        <v>332</v>
      </c>
      <c r="H119" t="s">
        <v>499</v>
      </c>
      <c r="I119" t="s">
        <v>397</v>
      </c>
      <c r="J119" t="s">
        <v>398</v>
      </c>
      <c r="K119" t="s">
        <v>399</v>
      </c>
      <c r="L119" t="s">
        <v>431</v>
      </c>
      <c r="M119">
        <v>23.16</v>
      </c>
      <c r="N119" s="4">
        <f t="shared" si="3"/>
        <v>231.6</v>
      </c>
      <c r="O119" t="s">
        <v>401</v>
      </c>
      <c r="P119" t="s">
        <v>419</v>
      </c>
      <c r="Q119" t="s">
        <v>551</v>
      </c>
      <c r="R119" t="s">
        <v>542</v>
      </c>
      <c r="S119" t="s">
        <v>422</v>
      </c>
      <c r="T119" t="s">
        <v>500</v>
      </c>
      <c r="U119">
        <v>1958</v>
      </c>
      <c r="V119">
        <v>164</v>
      </c>
      <c r="W119" t="s">
        <v>552</v>
      </c>
    </row>
    <row r="120" spans="1:23" hidden="1">
      <c r="A120" t="s">
        <v>389</v>
      </c>
      <c r="B120" t="s">
        <v>390</v>
      </c>
      <c r="C120" t="s">
        <v>391</v>
      </c>
      <c r="D120" t="s">
        <v>392</v>
      </c>
      <c r="E120" t="s">
        <v>533</v>
      </c>
      <c r="F120" t="s">
        <v>534</v>
      </c>
      <c r="G120" t="s">
        <v>535</v>
      </c>
      <c r="H120" t="s">
        <v>396</v>
      </c>
      <c r="I120" t="s">
        <v>397</v>
      </c>
      <c r="J120" t="s">
        <v>398</v>
      </c>
      <c r="K120" t="s">
        <v>399</v>
      </c>
      <c r="L120" t="s">
        <v>400</v>
      </c>
      <c r="M120">
        <v>-2.319</v>
      </c>
      <c r="N120" s="4">
        <f t="shared" ref="N120:N144" si="4">M120*10</f>
        <v>-23.189999999999998</v>
      </c>
      <c r="O120" t="s">
        <v>401</v>
      </c>
      <c r="P120" t="s">
        <v>402</v>
      </c>
      <c r="Q120" t="s">
        <v>420</v>
      </c>
      <c r="R120" t="s">
        <v>542</v>
      </c>
      <c r="S120" t="s">
        <v>422</v>
      </c>
      <c r="T120" t="s">
        <v>406</v>
      </c>
      <c r="U120">
        <v>1968</v>
      </c>
      <c r="V120">
        <v>197</v>
      </c>
      <c r="W120" t="s">
        <v>559</v>
      </c>
    </row>
    <row r="121" spans="1:23" hidden="1">
      <c r="A121" t="s">
        <v>389</v>
      </c>
      <c r="B121" t="s">
        <v>390</v>
      </c>
      <c r="C121" t="s">
        <v>391</v>
      </c>
      <c r="D121" t="s">
        <v>392</v>
      </c>
      <c r="E121" t="s">
        <v>533</v>
      </c>
      <c r="F121" t="s">
        <v>534</v>
      </c>
      <c r="G121" t="s">
        <v>535</v>
      </c>
      <c r="H121" t="s">
        <v>396</v>
      </c>
      <c r="I121" t="s">
        <v>397</v>
      </c>
      <c r="J121" t="s">
        <v>398</v>
      </c>
      <c r="K121" t="s">
        <v>399</v>
      </c>
      <c r="L121" t="s">
        <v>400</v>
      </c>
      <c r="M121">
        <v>0.22800000000000001</v>
      </c>
      <c r="N121" s="4">
        <f t="shared" si="4"/>
        <v>2.2800000000000002</v>
      </c>
      <c r="O121" t="s">
        <v>401</v>
      </c>
      <c r="P121" t="s">
        <v>402</v>
      </c>
      <c r="Q121" t="s">
        <v>420</v>
      </c>
      <c r="R121" t="s">
        <v>542</v>
      </c>
      <c r="S121" t="s">
        <v>422</v>
      </c>
      <c r="T121" t="s">
        <v>406</v>
      </c>
      <c r="U121">
        <v>1968</v>
      </c>
      <c r="V121">
        <v>197</v>
      </c>
      <c r="W121" t="s">
        <v>560</v>
      </c>
    </row>
    <row r="122" spans="1:23" hidden="1">
      <c r="A122" t="s">
        <v>389</v>
      </c>
      <c r="B122" t="s">
        <v>390</v>
      </c>
      <c r="C122" t="s">
        <v>391</v>
      </c>
      <c r="D122" t="s">
        <v>392</v>
      </c>
      <c r="E122" t="s">
        <v>533</v>
      </c>
      <c r="F122" t="s">
        <v>534</v>
      </c>
      <c r="G122" t="s">
        <v>535</v>
      </c>
      <c r="H122" t="s">
        <v>396</v>
      </c>
      <c r="I122" t="s">
        <v>397</v>
      </c>
      <c r="J122" t="s">
        <v>398</v>
      </c>
      <c r="K122" t="s">
        <v>399</v>
      </c>
      <c r="L122" t="s">
        <v>400</v>
      </c>
      <c r="M122">
        <v>0.27800000000000002</v>
      </c>
      <c r="N122" s="4">
        <f t="shared" si="4"/>
        <v>2.7800000000000002</v>
      </c>
      <c r="O122" t="s">
        <v>401</v>
      </c>
      <c r="P122" t="s">
        <v>402</v>
      </c>
      <c r="Q122" t="s">
        <v>420</v>
      </c>
      <c r="R122" t="s">
        <v>542</v>
      </c>
      <c r="S122" t="s">
        <v>422</v>
      </c>
      <c r="T122" t="s">
        <v>406</v>
      </c>
      <c r="U122">
        <v>1968</v>
      </c>
      <c r="V122">
        <v>197</v>
      </c>
      <c r="W122" t="s">
        <v>561</v>
      </c>
    </row>
    <row r="123" spans="1:23" s="4" customFormat="1">
      <c r="A123" s="4" t="s">
        <v>389</v>
      </c>
      <c r="B123" s="4" t="s">
        <v>390</v>
      </c>
      <c r="C123" s="4" t="s">
        <v>495</v>
      </c>
      <c r="D123" s="4" t="s">
        <v>496</v>
      </c>
      <c r="E123" s="4" t="s">
        <v>562</v>
      </c>
      <c r="F123" s="4" t="s">
        <v>563</v>
      </c>
      <c r="G123" s="4" t="s">
        <v>564</v>
      </c>
      <c r="H123" s="4" t="s">
        <v>499</v>
      </c>
      <c r="I123" s="4" t="s">
        <v>397</v>
      </c>
      <c r="J123" s="4" t="s">
        <v>398</v>
      </c>
      <c r="K123" s="4" t="s">
        <v>399</v>
      </c>
      <c r="L123" s="4" t="s">
        <v>400</v>
      </c>
      <c r="M123" s="4">
        <v>-9.3710000000000004</v>
      </c>
      <c r="N123" s="4">
        <f t="shared" si="4"/>
        <v>-93.710000000000008</v>
      </c>
      <c r="O123" s="4" t="s">
        <v>401</v>
      </c>
      <c r="P123" s="4" t="s">
        <v>402</v>
      </c>
      <c r="Q123" s="4" t="s">
        <v>551</v>
      </c>
      <c r="R123" s="4" t="s">
        <v>404</v>
      </c>
      <c r="S123" s="4" t="s">
        <v>422</v>
      </c>
      <c r="T123" s="4" t="s">
        <v>500</v>
      </c>
      <c r="U123" s="4">
        <v>1984</v>
      </c>
      <c r="V123" s="4">
        <v>233</v>
      </c>
      <c r="W123" s="4" t="s">
        <v>565</v>
      </c>
    </row>
    <row r="124" spans="1:23">
      <c r="A124" t="s">
        <v>389</v>
      </c>
      <c r="B124" t="s">
        <v>390</v>
      </c>
      <c r="C124" t="s">
        <v>495</v>
      </c>
      <c r="D124" t="s">
        <v>496</v>
      </c>
      <c r="E124" t="s">
        <v>562</v>
      </c>
      <c r="F124" t="s">
        <v>563</v>
      </c>
      <c r="G124" t="s">
        <v>566</v>
      </c>
      <c r="H124" t="s">
        <v>499</v>
      </c>
      <c r="I124" t="s">
        <v>397</v>
      </c>
      <c r="J124" t="s">
        <v>398</v>
      </c>
      <c r="K124" t="s">
        <v>399</v>
      </c>
      <c r="L124" t="s">
        <v>400</v>
      </c>
      <c r="M124">
        <v>-2.7349999999999999</v>
      </c>
      <c r="N124" s="4">
        <f t="shared" si="4"/>
        <v>-27.349999999999998</v>
      </c>
      <c r="O124" t="s">
        <v>401</v>
      </c>
      <c r="P124" t="s">
        <v>402</v>
      </c>
      <c r="Q124" t="s">
        <v>551</v>
      </c>
      <c r="R124" t="s">
        <v>404</v>
      </c>
      <c r="S124" t="s">
        <v>422</v>
      </c>
      <c r="T124" t="s">
        <v>500</v>
      </c>
      <c r="U124">
        <v>1959</v>
      </c>
      <c r="V124">
        <v>233</v>
      </c>
      <c r="W124" t="s">
        <v>567</v>
      </c>
    </row>
    <row r="125" spans="1:23">
      <c r="A125" t="s">
        <v>389</v>
      </c>
      <c r="B125" t="s">
        <v>390</v>
      </c>
      <c r="C125" t="s">
        <v>495</v>
      </c>
      <c r="D125" t="s">
        <v>496</v>
      </c>
      <c r="E125" t="s">
        <v>562</v>
      </c>
      <c r="F125" t="s">
        <v>563</v>
      </c>
      <c r="G125" t="s">
        <v>566</v>
      </c>
      <c r="H125" t="s">
        <v>499</v>
      </c>
      <c r="I125" t="s">
        <v>397</v>
      </c>
      <c r="J125" t="s">
        <v>398</v>
      </c>
      <c r="K125" t="s">
        <v>399</v>
      </c>
      <c r="L125" t="s">
        <v>400</v>
      </c>
      <c r="M125">
        <v>0.16400000000000001</v>
      </c>
      <c r="N125" s="4">
        <f t="shared" si="4"/>
        <v>1.6400000000000001</v>
      </c>
      <c r="O125" t="s">
        <v>401</v>
      </c>
      <c r="P125" t="s">
        <v>402</v>
      </c>
      <c r="Q125" t="s">
        <v>551</v>
      </c>
      <c r="R125" t="s">
        <v>404</v>
      </c>
      <c r="S125" t="s">
        <v>422</v>
      </c>
      <c r="T125" t="s">
        <v>500</v>
      </c>
      <c r="U125">
        <v>1984</v>
      </c>
      <c r="V125">
        <v>233</v>
      </c>
      <c r="W125" t="s">
        <v>565</v>
      </c>
    </row>
    <row r="126" spans="1:23">
      <c r="A126" t="s">
        <v>389</v>
      </c>
      <c r="B126" t="s">
        <v>390</v>
      </c>
      <c r="C126" t="s">
        <v>495</v>
      </c>
      <c r="D126" t="s">
        <v>496</v>
      </c>
      <c r="E126" t="s">
        <v>562</v>
      </c>
      <c r="F126" t="s">
        <v>568</v>
      </c>
      <c r="G126" t="s">
        <v>569</v>
      </c>
      <c r="H126" t="s">
        <v>499</v>
      </c>
      <c r="I126" t="s">
        <v>397</v>
      </c>
      <c r="J126" t="s">
        <v>398</v>
      </c>
      <c r="K126" t="s">
        <v>399</v>
      </c>
      <c r="L126" t="s">
        <v>400</v>
      </c>
      <c r="M126">
        <v>-18.925000000000001</v>
      </c>
      <c r="N126" s="4">
        <f t="shared" si="4"/>
        <v>-189.25</v>
      </c>
      <c r="O126" t="s">
        <v>401</v>
      </c>
      <c r="P126" t="s">
        <v>402</v>
      </c>
      <c r="Q126" t="s">
        <v>551</v>
      </c>
      <c r="R126" t="s">
        <v>404</v>
      </c>
      <c r="S126" t="s">
        <v>422</v>
      </c>
      <c r="T126" t="s">
        <v>500</v>
      </c>
      <c r="U126">
        <v>1959</v>
      </c>
      <c r="V126">
        <v>233</v>
      </c>
      <c r="W126" t="s">
        <v>567</v>
      </c>
    </row>
    <row r="127" spans="1:23">
      <c r="A127" t="s">
        <v>389</v>
      </c>
      <c r="B127" t="s">
        <v>390</v>
      </c>
      <c r="C127" t="s">
        <v>495</v>
      </c>
      <c r="D127" t="s">
        <v>496</v>
      </c>
      <c r="E127" t="s">
        <v>553</v>
      </c>
      <c r="F127" t="s">
        <v>570</v>
      </c>
      <c r="G127" t="s">
        <v>571</v>
      </c>
      <c r="H127" t="s">
        <v>499</v>
      </c>
      <c r="I127" t="s">
        <v>397</v>
      </c>
      <c r="J127" t="s">
        <v>398</v>
      </c>
      <c r="K127" t="s">
        <v>399</v>
      </c>
      <c r="L127" t="s">
        <v>400</v>
      </c>
      <c r="M127">
        <v>-4.8029999999999999</v>
      </c>
      <c r="N127" s="4">
        <f t="shared" si="4"/>
        <v>-48.03</v>
      </c>
      <c r="O127" t="s">
        <v>401</v>
      </c>
      <c r="P127" t="s">
        <v>402</v>
      </c>
      <c r="Q127" t="s">
        <v>551</v>
      </c>
      <c r="R127" t="s">
        <v>404</v>
      </c>
      <c r="S127" t="s">
        <v>422</v>
      </c>
      <c r="T127" t="s">
        <v>500</v>
      </c>
      <c r="U127">
        <v>1984</v>
      </c>
      <c r="V127">
        <v>233</v>
      </c>
      <c r="W127" t="s">
        <v>565</v>
      </c>
    </row>
    <row r="128" spans="1:23">
      <c r="A128" t="s">
        <v>389</v>
      </c>
      <c r="B128" t="s">
        <v>390</v>
      </c>
      <c r="C128" t="s">
        <v>495</v>
      </c>
      <c r="D128" t="s">
        <v>496</v>
      </c>
      <c r="E128" t="s">
        <v>562</v>
      </c>
      <c r="F128" t="s">
        <v>568</v>
      </c>
      <c r="G128" t="s">
        <v>572</v>
      </c>
      <c r="H128" t="s">
        <v>499</v>
      </c>
      <c r="I128" t="s">
        <v>397</v>
      </c>
      <c r="J128" t="s">
        <v>398</v>
      </c>
      <c r="K128" t="s">
        <v>399</v>
      </c>
      <c r="L128" t="s">
        <v>400</v>
      </c>
      <c r="M128">
        <v>-3.3650000000000002</v>
      </c>
      <c r="N128" s="4">
        <f t="shared" si="4"/>
        <v>-33.650000000000006</v>
      </c>
      <c r="O128" t="s">
        <v>401</v>
      </c>
      <c r="P128" t="s">
        <v>402</v>
      </c>
      <c r="Q128" t="s">
        <v>551</v>
      </c>
      <c r="R128" t="s">
        <v>404</v>
      </c>
      <c r="S128" t="s">
        <v>422</v>
      </c>
      <c r="T128" t="s">
        <v>500</v>
      </c>
      <c r="U128">
        <v>1959</v>
      </c>
      <c r="V128">
        <v>233</v>
      </c>
      <c r="W128" t="s">
        <v>567</v>
      </c>
    </row>
    <row r="129" spans="1:23">
      <c r="A129" t="s">
        <v>389</v>
      </c>
      <c r="B129" t="s">
        <v>390</v>
      </c>
      <c r="C129" t="s">
        <v>495</v>
      </c>
      <c r="D129" t="s">
        <v>496</v>
      </c>
      <c r="E129" t="s">
        <v>562</v>
      </c>
      <c r="F129" t="s">
        <v>563</v>
      </c>
      <c r="G129" t="s">
        <v>573</v>
      </c>
      <c r="H129" t="s">
        <v>499</v>
      </c>
      <c r="I129" t="s">
        <v>397</v>
      </c>
      <c r="J129" t="s">
        <v>398</v>
      </c>
      <c r="K129" t="s">
        <v>399</v>
      </c>
      <c r="L129" t="s">
        <v>400</v>
      </c>
      <c r="M129">
        <v>-3.3519999999999999</v>
      </c>
      <c r="N129" s="4">
        <f t="shared" si="4"/>
        <v>-33.519999999999996</v>
      </c>
      <c r="O129" t="s">
        <v>401</v>
      </c>
      <c r="P129" t="s">
        <v>402</v>
      </c>
      <c r="Q129" t="s">
        <v>551</v>
      </c>
      <c r="R129" t="s">
        <v>404</v>
      </c>
      <c r="S129" t="s">
        <v>422</v>
      </c>
      <c r="T129" t="s">
        <v>500</v>
      </c>
      <c r="U129">
        <v>1984</v>
      </c>
      <c r="V129">
        <v>233</v>
      </c>
      <c r="W129" t="s">
        <v>565</v>
      </c>
    </row>
    <row r="130" spans="1:23">
      <c r="A130" t="s">
        <v>389</v>
      </c>
      <c r="B130" t="s">
        <v>390</v>
      </c>
      <c r="C130" t="s">
        <v>495</v>
      </c>
      <c r="D130" t="s">
        <v>496</v>
      </c>
      <c r="E130" t="s">
        <v>562</v>
      </c>
      <c r="F130" t="s">
        <v>568</v>
      </c>
      <c r="G130" t="s">
        <v>572</v>
      </c>
      <c r="H130" t="s">
        <v>499</v>
      </c>
      <c r="I130" t="s">
        <v>397</v>
      </c>
      <c r="J130" t="s">
        <v>398</v>
      </c>
      <c r="K130" t="s">
        <v>399</v>
      </c>
      <c r="L130" t="s">
        <v>400</v>
      </c>
      <c r="M130">
        <v>-1.825</v>
      </c>
      <c r="N130" s="4">
        <f t="shared" si="4"/>
        <v>-18.25</v>
      </c>
      <c r="O130" t="s">
        <v>401</v>
      </c>
      <c r="P130" t="s">
        <v>402</v>
      </c>
      <c r="Q130" t="s">
        <v>551</v>
      </c>
      <c r="R130" t="s">
        <v>404</v>
      </c>
      <c r="S130" t="s">
        <v>422</v>
      </c>
      <c r="T130" t="s">
        <v>500</v>
      </c>
      <c r="U130">
        <v>1984</v>
      </c>
      <c r="V130">
        <v>233</v>
      </c>
      <c r="W130" t="s">
        <v>565</v>
      </c>
    </row>
    <row r="131" spans="1:23">
      <c r="A131" t="s">
        <v>389</v>
      </c>
      <c r="B131" t="s">
        <v>390</v>
      </c>
      <c r="C131" t="s">
        <v>495</v>
      </c>
      <c r="D131" t="s">
        <v>496</v>
      </c>
      <c r="E131" t="s">
        <v>553</v>
      </c>
      <c r="F131" t="s">
        <v>554</v>
      </c>
      <c r="G131" t="s">
        <v>336</v>
      </c>
      <c r="H131" t="s">
        <v>499</v>
      </c>
      <c r="I131" t="s">
        <v>397</v>
      </c>
      <c r="J131" t="s">
        <v>398</v>
      </c>
      <c r="K131" t="s">
        <v>399</v>
      </c>
      <c r="L131" t="s">
        <v>400</v>
      </c>
      <c r="M131">
        <v>-0.17399999999999999</v>
      </c>
      <c r="N131" s="4">
        <f t="shared" si="4"/>
        <v>-1.7399999999999998</v>
      </c>
      <c r="O131" t="s">
        <v>401</v>
      </c>
      <c r="P131" t="s">
        <v>402</v>
      </c>
      <c r="Q131" t="s">
        <v>551</v>
      </c>
      <c r="R131" t="s">
        <v>404</v>
      </c>
      <c r="S131" t="s">
        <v>422</v>
      </c>
      <c r="T131" t="s">
        <v>500</v>
      </c>
      <c r="U131">
        <v>1959</v>
      </c>
      <c r="V131">
        <v>233</v>
      </c>
      <c r="W131" t="s">
        <v>567</v>
      </c>
    </row>
    <row r="132" spans="1:23">
      <c r="A132" t="s">
        <v>389</v>
      </c>
      <c r="B132" t="s">
        <v>390</v>
      </c>
      <c r="C132" t="s">
        <v>495</v>
      </c>
      <c r="D132" t="s">
        <v>496</v>
      </c>
      <c r="E132" t="s">
        <v>497</v>
      </c>
      <c r="F132" t="s">
        <v>498</v>
      </c>
      <c r="G132" t="s">
        <v>66</v>
      </c>
      <c r="H132" t="s">
        <v>499</v>
      </c>
      <c r="I132" t="s">
        <v>397</v>
      </c>
      <c r="J132" t="s">
        <v>398</v>
      </c>
      <c r="K132" t="s">
        <v>399</v>
      </c>
      <c r="L132" t="s">
        <v>400</v>
      </c>
      <c r="M132">
        <v>0.47499999999999998</v>
      </c>
      <c r="N132" s="4">
        <f t="shared" si="4"/>
        <v>4.75</v>
      </c>
      <c r="O132" t="s">
        <v>401</v>
      </c>
      <c r="P132" t="s">
        <v>402</v>
      </c>
      <c r="Q132" t="s">
        <v>551</v>
      </c>
      <c r="R132" t="s">
        <v>404</v>
      </c>
      <c r="S132" t="s">
        <v>422</v>
      </c>
      <c r="T132" t="s">
        <v>500</v>
      </c>
      <c r="U132">
        <v>1959</v>
      </c>
      <c r="V132">
        <v>233</v>
      </c>
      <c r="W132" t="s">
        <v>567</v>
      </c>
    </row>
    <row r="133" spans="1:23">
      <c r="A133" t="s">
        <v>389</v>
      </c>
      <c r="B133" t="s">
        <v>390</v>
      </c>
      <c r="C133" t="s">
        <v>495</v>
      </c>
      <c r="D133" t="s">
        <v>496</v>
      </c>
      <c r="E133" t="s">
        <v>555</v>
      </c>
      <c r="F133" t="s">
        <v>556</v>
      </c>
      <c r="G133" t="s">
        <v>574</v>
      </c>
      <c r="H133" t="s">
        <v>499</v>
      </c>
      <c r="I133" t="s">
        <v>397</v>
      </c>
      <c r="J133" t="s">
        <v>398</v>
      </c>
      <c r="K133" t="s">
        <v>399</v>
      </c>
      <c r="L133" t="s">
        <v>400</v>
      </c>
      <c r="M133">
        <v>1.4490000000000001</v>
      </c>
      <c r="N133" s="4">
        <f t="shared" si="4"/>
        <v>14.49</v>
      </c>
      <c r="O133" t="s">
        <v>401</v>
      </c>
      <c r="P133" t="s">
        <v>402</v>
      </c>
      <c r="Q133" t="s">
        <v>551</v>
      </c>
      <c r="R133" t="s">
        <v>404</v>
      </c>
      <c r="S133" t="s">
        <v>422</v>
      </c>
      <c r="T133" t="s">
        <v>500</v>
      </c>
      <c r="U133">
        <v>1959</v>
      </c>
      <c r="V133">
        <v>233</v>
      </c>
      <c r="W133" t="s">
        <v>567</v>
      </c>
    </row>
    <row r="134" spans="1:23">
      <c r="A134" t="s">
        <v>389</v>
      </c>
      <c r="B134" t="s">
        <v>390</v>
      </c>
      <c r="C134" t="s">
        <v>495</v>
      </c>
      <c r="D134" t="s">
        <v>496</v>
      </c>
      <c r="E134" t="s">
        <v>497</v>
      </c>
      <c r="F134" t="s">
        <v>498</v>
      </c>
      <c r="G134" t="s">
        <v>65</v>
      </c>
      <c r="H134" t="s">
        <v>499</v>
      </c>
      <c r="I134" t="s">
        <v>397</v>
      </c>
      <c r="J134" t="s">
        <v>398</v>
      </c>
      <c r="K134" t="s">
        <v>399</v>
      </c>
      <c r="L134" t="s">
        <v>400</v>
      </c>
      <c r="M134">
        <v>1.7729999999999999</v>
      </c>
      <c r="N134" s="4">
        <f t="shared" si="4"/>
        <v>17.73</v>
      </c>
      <c r="O134" t="s">
        <v>401</v>
      </c>
      <c r="P134" t="s">
        <v>402</v>
      </c>
      <c r="Q134" t="s">
        <v>551</v>
      </c>
      <c r="R134" t="s">
        <v>404</v>
      </c>
      <c r="S134" t="s">
        <v>422</v>
      </c>
      <c r="T134" t="s">
        <v>500</v>
      </c>
      <c r="U134">
        <v>1959</v>
      </c>
      <c r="V134">
        <v>233</v>
      </c>
      <c r="W134" t="s">
        <v>567</v>
      </c>
    </row>
    <row r="135" spans="1:23">
      <c r="A135" t="s">
        <v>389</v>
      </c>
      <c r="B135" t="s">
        <v>390</v>
      </c>
      <c r="C135" t="s">
        <v>495</v>
      </c>
      <c r="D135" t="s">
        <v>496</v>
      </c>
      <c r="E135" t="s">
        <v>562</v>
      </c>
      <c r="F135" t="s">
        <v>563</v>
      </c>
      <c r="G135" t="s">
        <v>564</v>
      </c>
      <c r="H135" t="s">
        <v>499</v>
      </c>
      <c r="I135" t="s">
        <v>397</v>
      </c>
      <c r="J135" t="s">
        <v>398</v>
      </c>
      <c r="K135" t="s">
        <v>399</v>
      </c>
      <c r="L135" t="s">
        <v>400</v>
      </c>
      <c r="M135">
        <v>9.5619999999999994</v>
      </c>
      <c r="N135" s="4">
        <f t="shared" si="4"/>
        <v>95.61999999999999</v>
      </c>
      <c r="O135" t="s">
        <v>401</v>
      </c>
      <c r="P135" t="s">
        <v>402</v>
      </c>
      <c r="Q135" t="s">
        <v>551</v>
      </c>
      <c r="R135" t="s">
        <v>404</v>
      </c>
      <c r="S135" t="s">
        <v>422</v>
      </c>
      <c r="T135" t="s">
        <v>500</v>
      </c>
      <c r="U135">
        <v>1959</v>
      </c>
      <c r="V135">
        <v>233</v>
      </c>
      <c r="W135" t="s">
        <v>567</v>
      </c>
    </row>
    <row r="136" spans="1:23">
      <c r="A136" t="s">
        <v>389</v>
      </c>
      <c r="B136" t="s">
        <v>390</v>
      </c>
      <c r="C136" t="s">
        <v>495</v>
      </c>
      <c r="D136" t="s">
        <v>496</v>
      </c>
      <c r="E136" t="s">
        <v>555</v>
      </c>
      <c r="F136" t="s">
        <v>556</v>
      </c>
      <c r="G136" t="s">
        <v>574</v>
      </c>
      <c r="H136" t="s">
        <v>499</v>
      </c>
      <c r="I136" t="s">
        <v>397</v>
      </c>
      <c r="J136" t="s">
        <v>398</v>
      </c>
      <c r="K136" t="s">
        <v>399</v>
      </c>
      <c r="L136" t="s">
        <v>400</v>
      </c>
      <c r="M136">
        <v>2.7509999999999999</v>
      </c>
      <c r="N136" s="4">
        <f t="shared" si="4"/>
        <v>27.509999999999998</v>
      </c>
      <c r="O136" t="s">
        <v>401</v>
      </c>
      <c r="P136" t="s">
        <v>402</v>
      </c>
      <c r="Q136" t="s">
        <v>551</v>
      </c>
      <c r="R136" t="s">
        <v>404</v>
      </c>
      <c r="S136" t="s">
        <v>422</v>
      </c>
      <c r="T136" t="s">
        <v>500</v>
      </c>
      <c r="U136">
        <v>1984</v>
      </c>
      <c r="V136">
        <v>233</v>
      </c>
      <c r="W136" t="s">
        <v>565</v>
      </c>
    </row>
    <row r="137" spans="1:23">
      <c r="A137" t="s">
        <v>389</v>
      </c>
      <c r="B137" t="s">
        <v>390</v>
      </c>
      <c r="C137" t="s">
        <v>495</v>
      </c>
      <c r="D137" t="s">
        <v>496</v>
      </c>
      <c r="E137" t="s">
        <v>562</v>
      </c>
      <c r="F137" t="s">
        <v>563</v>
      </c>
      <c r="G137" t="s">
        <v>575</v>
      </c>
      <c r="H137" t="s">
        <v>499</v>
      </c>
      <c r="I137" t="s">
        <v>397</v>
      </c>
      <c r="J137" t="s">
        <v>398</v>
      </c>
      <c r="K137" t="s">
        <v>399</v>
      </c>
      <c r="L137" t="s">
        <v>400</v>
      </c>
      <c r="M137">
        <v>3.456</v>
      </c>
      <c r="N137" s="4">
        <f t="shared" si="4"/>
        <v>34.56</v>
      </c>
      <c r="O137" t="s">
        <v>401</v>
      </c>
      <c r="P137" t="s">
        <v>402</v>
      </c>
      <c r="Q137" t="s">
        <v>551</v>
      </c>
      <c r="R137" t="s">
        <v>404</v>
      </c>
      <c r="S137" t="s">
        <v>422</v>
      </c>
      <c r="T137" t="s">
        <v>500</v>
      </c>
      <c r="U137">
        <v>1984</v>
      </c>
      <c r="V137">
        <v>233</v>
      </c>
      <c r="W137" t="s">
        <v>565</v>
      </c>
    </row>
    <row r="138" spans="1:23">
      <c r="A138" t="s">
        <v>389</v>
      </c>
      <c r="B138" t="s">
        <v>390</v>
      </c>
      <c r="C138" t="s">
        <v>495</v>
      </c>
      <c r="D138" t="s">
        <v>496</v>
      </c>
      <c r="E138" t="s">
        <v>562</v>
      </c>
      <c r="F138" t="s">
        <v>563</v>
      </c>
      <c r="G138" t="s">
        <v>573</v>
      </c>
      <c r="H138" t="s">
        <v>499</v>
      </c>
      <c r="I138" t="s">
        <v>397</v>
      </c>
      <c r="J138" t="s">
        <v>398</v>
      </c>
      <c r="K138" t="s">
        <v>399</v>
      </c>
      <c r="L138" t="s">
        <v>400</v>
      </c>
      <c r="M138">
        <v>4.077</v>
      </c>
      <c r="N138" s="4">
        <f t="shared" si="4"/>
        <v>40.769999999999996</v>
      </c>
      <c r="O138" t="s">
        <v>401</v>
      </c>
      <c r="P138" t="s">
        <v>402</v>
      </c>
      <c r="Q138" t="s">
        <v>551</v>
      </c>
      <c r="R138" t="s">
        <v>404</v>
      </c>
      <c r="S138" t="s">
        <v>422</v>
      </c>
      <c r="T138" t="s">
        <v>500</v>
      </c>
      <c r="U138">
        <v>1959</v>
      </c>
      <c r="V138">
        <v>233</v>
      </c>
      <c r="W138" t="s">
        <v>567</v>
      </c>
    </row>
    <row r="139" spans="1:23">
      <c r="A139" t="s">
        <v>389</v>
      </c>
      <c r="B139" t="s">
        <v>390</v>
      </c>
      <c r="C139" t="s">
        <v>495</v>
      </c>
      <c r="D139" t="s">
        <v>496</v>
      </c>
      <c r="E139" t="s">
        <v>497</v>
      </c>
      <c r="F139" t="s">
        <v>498</v>
      </c>
      <c r="G139" t="s">
        <v>65</v>
      </c>
      <c r="H139" t="s">
        <v>499</v>
      </c>
      <c r="I139" t="s">
        <v>397</v>
      </c>
      <c r="J139" t="s">
        <v>398</v>
      </c>
      <c r="K139" t="s">
        <v>399</v>
      </c>
      <c r="L139" t="s">
        <v>400</v>
      </c>
      <c r="M139">
        <v>6.5529999999999999</v>
      </c>
      <c r="N139" s="4">
        <f t="shared" si="4"/>
        <v>65.53</v>
      </c>
      <c r="O139" t="s">
        <v>401</v>
      </c>
      <c r="P139" t="s">
        <v>402</v>
      </c>
      <c r="Q139" t="s">
        <v>551</v>
      </c>
      <c r="R139" t="s">
        <v>404</v>
      </c>
      <c r="S139" t="s">
        <v>422</v>
      </c>
      <c r="T139" t="s">
        <v>500</v>
      </c>
      <c r="U139">
        <v>1984</v>
      </c>
      <c r="V139">
        <v>233</v>
      </c>
      <c r="W139" t="s">
        <v>565</v>
      </c>
    </row>
    <row r="140" spans="1:23">
      <c r="A140" t="s">
        <v>389</v>
      </c>
      <c r="B140" t="s">
        <v>390</v>
      </c>
      <c r="C140" t="s">
        <v>495</v>
      </c>
      <c r="D140" t="s">
        <v>496</v>
      </c>
      <c r="E140" t="s">
        <v>562</v>
      </c>
      <c r="F140" t="s">
        <v>563</v>
      </c>
      <c r="G140" t="s">
        <v>575</v>
      </c>
      <c r="H140" t="s">
        <v>499</v>
      </c>
      <c r="I140" t="s">
        <v>397</v>
      </c>
      <c r="J140" t="s">
        <v>398</v>
      </c>
      <c r="K140" t="s">
        <v>399</v>
      </c>
      <c r="L140" t="s">
        <v>400</v>
      </c>
      <c r="M140">
        <v>8.6340000000000003</v>
      </c>
      <c r="N140" s="4">
        <f t="shared" si="4"/>
        <v>86.34</v>
      </c>
      <c r="O140" t="s">
        <v>401</v>
      </c>
      <c r="P140" t="s">
        <v>402</v>
      </c>
      <c r="Q140" t="s">
        <v>551</v>
      </c>
      <c r="R140" t="s">
        <v>404</v>
      </c>
      <c r="S140" t="s">
        <v>422</v>
      </c>
      <c r="T140" t="s">
        <v>500</v>
      </c>
      <c r="U140">
        <v>1959</v>
      </c>
      <c r="V140">
        <v>233</v>
      </c>
      <c r="W140" t="s">
        <v>567</v>
      </c>
    </row>
    <row r="141" spans="1:23">
      <c r="A141" t="s">
        <v>389</v>
      </c>
      <c r="B141" t="s">
        <v>390</v>
      </c>
      <c r="C141" t="s">
        <v>495</v>
      </c>
      <c r="D141" t="s">
        <v>496</v>
      </c>
      <c r="E141" t="s">
        <v>553</v>
      </c>
      <c r="F141" t="s">
        <v>554</v>
      </c>
      <c r="G141" t="s">
        <v>336</v>
      </c>
      <c r="H141" t="s">
        <v>499</v>
      </c>
      <c r="I141" t="s">
        <v>397</v>
      </c>
      <c r="J141" t="s">
        <v>398</v>
      </c>
      <c r="K141" t="s">
        <v>399</v>
      </c>
      <c r="L141" t="s">
        <v>400</v>
      </c>
      <c r="M141">
        <v>8.6430000000000007</v>
      </c>
      <c r="N141" s="4">
        <f t="shared" si="4"/>
        <v>86.43</v>
      </c>
      <c r="O141" t="s">
        <v>401</v>
      </c>
      <c r="P141" t="s">
        <v>402</v>
      </c>
      <c r="Q141" t="s">
        <v>551</v>
      </c>
      <c r="R141" t="s">
        <v>404</v>
      </c>
      <c r="S141" t="s">
        <v>422</v>
      </c>
      <c r="T141" t="s">
        <v>500</v>
      </c>
      <c r="U141">
        <v>1984</v>
      </c>
      <c r="V141">
        <v>233</v>
      </c>
      <c r="W141" t="s">
        <v>565</v>
      </c>
    </row>
    <row r="142" spans="1:23">
      <c r="A142" t="s">
        <v>389</v>
      </c>
      <c r="B142" t="s">
        <v>390</v>
      </c>
      <c r="C142" t="s">
        <v>495</v>
      </c>
      <c r="D142" t="s">
        <v>496</v>
      </c>
      <c r="E142" t="s">
        <v>553</v>
      </c>
      <c r="F142" t="s">
        <v>570</v>
      </c>
      <c r="G142" t="s">
        <v>571</v>
      </c>
      <c r="H142" t="s">
        <v>499</v>
      </c>
      <c r="I142" t="s">
        <v>397</v>
      </c>
      <c r="J142" t="s">
        <v>398</v>
      </c>
      <c r="K142" t="s">
        <v>399</v>
      </c>
      <c r="L142" t="s">
        <v>400</v>
      </c>
      <c r="M142">
        <v>11.397</v>
      </c>
      <c r="N142" s="4">
        <f t="shared" si="4"/>
        <v>113.97</v>
      </c>
      <c r="O142" t="s">
        <v>401</v>
      </c>
      <c r="P142" t="s">
        <v>402</v>
      </c>
      <c r="Q142" t="s">
        <v>551</v>
      </c>
      <c r="R142" t="s">
        <v>404</v>
      </c>
      <c r="S142" t="s">
        <v>422</v>
      </c>
      <c r="T142" t="s">
        <v>500</v>
      </c>
      <c r="U142">
        <v>1959</v>
      </c>
      <c r="V142">
        <v>233</v>
      </c>
      <c r="W142" t="s">
        <v>567</v>
      </c>
    </row>
    <row r="143" spans="1:23">
      <c r="A143" t="s">
        <v>389</v>
      </c>
      <c r="B143" t="s">
        <v>390</v>
      </c>
      <c r="C143" t="s">
        <v>495</v>
      </c>
      <c r="D143" t="s">
        <v>496</v>
      </c>
      <c r="E143" t="s">
        <v>497</v>
      </c>
      <c r="F143" t="s">
        <v>498</v>
      </c>
      <c r="G143" t="s">
        <v>66</v>
      </c>
      <c r="H143" t="s">
        <v>499</v>
      </c>
      <c r="I143" t="s">
        <v>397</v>
      </c>
      <c r="J143" t="s">
        <v>398</v>
      </c>
      <c r="K143" t="s">
        <v>399</v>
      </c>
      <c r="L143" t="s">
        <v>400</v>
      </c>
      <c r="M143">
        <v>12.157</v>
      </c>
      <c r="N143" s="4">
        <f t="shared" si="4"/>
        <v>121.57</v>
      </c>
      <c r="O143" t="s">
        <v>401</v>
      </c>
      <c r="P143" t="s">
        <v>402</v>
      </c>
      <c r="Q143" t="s">
        <v>551</v>
      </c>
      <c r="R143" t="s">
        <v>404</v>
      </c>
      <c r="S143" t="s">
        <v>422</v>
      </c>
      <c r="T143" t="s">
        <v>500</v>
      </c>
      <c r="U143">
        <v>1984</v>
      </c>
      <c r="V143">
        <v>233</v>
      </c>
      <c r="W143" t="s">
        <v>565</v>
      </c>
    </row>
    <row r="144" spans="1:23">
      <c r="A144" t="s">
        <v>389</v>
      </c>
      <c r="B144" t="s">
        <v>390</v>
      </c>
      <c r="C144" t="s">
        <v>495</v>
      </c>
      <c r="D144" t="s">
        <v>496</v>
      </c>
      <c r="E144" t="s">
        <v>562</v>
      </c>
      <c r="F144" t="s">
        <v>568</v>
      </c>
      <c r="G144" t="s">
        <v>569</v>
      </c>
      <c r="H144" t="s">
        <v>499</v>
      </c>
      <c r="I144" t="s">
        <v>397</v>
      </c>
      <c r="J144" t="s">
        <v>398</v>
      </c>
      <c r="K144" t="s">
        <v>399</v>
      </c>
      <c r="L144" t="s">
        <v>400</v>
      </c>
      <c r="M144">
        <v>32.389000000000003</v>
      </c>
      <c r="N144" s="4">
        <f t="shared" si="4"/>
        <v>323.89000000000004</v>
      </c>
      <c r="O144" t="s">
        <v>401</v>
      </c>
      <c r="P144" t="s">
        <v>402</v>
      </c>
      <c r="Q144" t="s">
        <v>551</v>
      </c>
      <c r="R144" t="s">
        <v>404</v>
      </c>
      <c r="S144" t="s">
        <v>422</v>
      </c>
      <c r="T144" t="s">
        <v>500</v>
      </c>
      <c r="U144">
        <v>1984</v>
      </c>
      <c r="V144">
        <v>233</v>
      </c>
      <c r="W144" t="s">
        <v>565</v>
      </c>
    </row>
    <row r="145" spans="1:23" s="4" customFormat="1" hidden="1">
      <c r="A145" s="4" t="s">
        <v>389</v>
      </c>
      <c r="B145" s="4" t="s">
        <v>413</v>
      </c>
      <c r="C145" s="4" t="s">
        <v>442</v>
      </c>
      <c r="D145" s="4" t="s">
        <v>113</v>
      </c>
      <c r="E145" s="4" t="s">
        <v>476</v>
      </c>
      <c r="F145" s="4" t="s">
        <v>576</v>
      </c>
      <c r="G145" s="4" t="s">
        <v>577</v>
      </c>
      <c r="H145" s="4" t="s">
        <v>396</v>
      </c>
      <c r="I145" s="4" t="s">
        <v>397</v>
      </c>
      <c r="J145" s="4" t="s">
        <v>398</v>
      </c>
      <c r="K145" s="4" t="s">
        <v>399</v>
      </c>
      <c r="L145" s="4" t="s">
        <v>418</v>
      </c>
      <c r="M145" s="4">
        <v>-21.515000000000001</v>
      </c>
      <c r="N145" s="4">
        <f t="shared" ref="N145:N186" si="5">M145*10</f>
        <v>-215.15</v>
      </c>
      <c r="O145" s="4" t="s">
        <v>401</v>
      </c>
      <c r="P145" s="4" t="s">
        <v>402</v>
      </c>
      <c r="Q145" s="4" t="s">
        <v>420</v>
      </c>
      <c r="R145" s="4" t="s">
        <v>542</v>
      </c>
      <c r="S145" s="4" t="s">
        <v>405</v>
      </c>
      <c r="T145" s="4" t="s">
        <v>406</v>
      </c>
      <c r="U145" s="4">
        <v>1993</v>
      </c>
      <c r="V145" s="4">
        <v>258</v>
      </c>
      <c r="W145" s="4" t="s">
        <v>578</v>
      </c>
    </row>
    <row r="146" spans="1:23" hidden="1">
      <c r="A146" t="s">
        <v>389</v>
      </c>
      <c r="B146" t="s">
        <v>432</v>
      </c>
      <c r="C146" t="s">
        <v>438</v>
      </c>
      <c r="D146" t="s">
        <v>434</v>
      </c>
      <c r="E146" t="s">
        <v>439</v>
      </c>
      <c r="F146" t="s">
        <v>579</v>
      </c>
      <c r="G146" t="s">
        <v>580</v>
      </c>
      <c r="H146" t="s">
        <v>396</v>
      </c>
      <c r="I146" t="s">
        <v>397</v>
      </c>
      <c r="J146" t="s">
        <v>398</v>
      </c>
      <c r="K146" t="s">
        <v>399</v>
      </c>
      <c r="L146" t="s">
        <v>400</v>
      </c>
      <c r="M146">
        <v>-8.3179999999999996</v>
      </c>
      <c r="N146" s="4">
        <f t="shared" si="5"/>
        <v>-83.179999999999993</v>
      </c>
      <c r="O146" t="s">
        <v>401</v>
      </c>
      <c r="P146" t="s">
        <v>402</v>
      </c>
      <c r="Q146" t="s">
        <v>420</v>
      </c>
      <c r="R146" t="s">
        <v>542</v>
      </c>
      <c r="S146" t="s">
        <v>405</v>
      </c>
      <c r="T146" t="s">
        <v>406</v>
      </c>
      <c r="U146">
        <v>1993</v>
      </c>
      <c r="V146">
        <v>258</v>
      </c>
      <c r="W146" t="s">
        <v>578</v>
      </c>
    </row>
    <row r="147" spans="1:23" hidden="1">
      <c r="A147" t="s">
        <v>389</v>
      </c>
      <c r="B147" t="s">
        <v>432</v>
      </c>
      <c r="C147" t="s">
        <v>581</v>
      </c>
      <c r="D147" t="s">
        <v>434</v>
      </c>
      <c r="E147" t="s">
        <v>582</v>
      </c>
      <c r="F147" t="s">
        <v>583</v>
      </c>
      <c r="G147" t="s">
        <v>584</v>
      </c>
      <c r="H147" t="s">
        <v>396</v>
      </c>
      <c r="I147" t="s">
        <v>397</v>
      </c>
      <c r="J147" t="s">
        <v>398</v>
      </c>
      <c r="K147" t="s">
        <v>399</v>
      </c>
      <c r="L147" t="s">
        <v>400</v>
      </c>
      <c r="M147">
        <v>-4.016</v>
      </c>
      <c r="N147" s="4">
        <f t="shared" si="5"/>
        <v>-40.159999999999997</v>
      </c>
      <c r="O147" t="s">
        <v>401</v>
      </c>
      <c r="P147" t="s">
        <v>402</v>
      </c>
      <c r="Q147" t="s">
        <v>420</v>
      </c>
      <c r="R147" t="s">
        <v>542</v>
      </c>
      <c r="S147" t="s">
        <v>405</v>
      </c>
      <c r="T147" t="s">
        <v>406</v>
      </c>
      <c r="U147">
        <v>1993</v>
      </c>
      <c r="V147">
        <v>258</v>
      </c>
      <c r="W147" t="s">
        <v>578</v>
      </c>
    </row>
    <row r="148" spans="1:23" hidden="1">
      <c r="A148" t="s">
        <v>389</v>
      </c>
      <c r="B148" t="s">
        <v>432</v>
      </c>
      <c r="C148" t="s">
        <v>438</v>
      </c>
      <c r="D148" t="s">
        <v>434</v>
      </c>
      <c r="E148" t="s">
        <v>439</v>
      </c>
      <c r="F148" t="s">
        <v>585</v>
      </c>
      <c r="G148" t="s">
        <v>586</v>
      </c>
      <c r="H148" t="s">
        <v>396</v>
      </c>
      <c r="I148" t="s">
        <v>397</v>
      </c>
      <c r="J148" t="s">
        <v>398</v>
      </c>
      <c r="K148" t="s">
        <v>399</v>
      </c>
      <c r="L148" t="s">
        <v>400</v>
      </c>
      <c r="M148">
        <v>-3.6840000000000002</v>
      </c>
      <c r="N148" s="4">
        <f t="shared" si="5"/>
        <v>-36.840000000000003</v>
      </c>
      <c r="O148" t="s">
        <v>401</v>
      </c>
      <c r="P148" t="s">
        <v>402</v>
      </c>
      <c r="Q148" t="s">
        <v>420</v>
      </c>
      <c r="R148" t="s">
        <v>542</v>
      </c>
      <c r="S148" t="s">
        <v>405</v>
      </c>
      <c r="T148" t="s">
        <v>406</v>
      </c>
      <c r="U148">
        <v>1993</v>
      </c>
      <c r="V148">
        <v>258</v>
      </c>
      <c r="W148" t="s">
        <v>578</v>
      </c>
    </row>
    <row r="149" spans="1:23" hidden="1">
      <c r="A149" t="s">
        <v>389</v>
      </c>
      <c r="B149" t="s">
        <v>432</v>
      </c>
      <c r="C149" t="s">
        <v>438</v>
      </c>
      <c r="D149" t="s">
        <v>434</v>
      </c>
      <c r="E149" t="s">
        <v>439</v>
      </c>
      <c r="F149" t="s">
        <v>440</v>
      </c>
      <c r="G149" t="s">
        <v>470</v>
      </c>
      <c r="H149" t="s">
        <v>396</v>
      </c>
      <c r="I149" t="s">
        <v>397</v>
      </c>
      <c r="J149" t="s">
        <v>398</v>
      </c>
      <c r="K149" t="s">
        <v>399</v>
      </c>
      <c r="L149" t="s">
        <v>431</v>
      </c>
      <c r="M149">
        <v>-2.1080000000000001</v>
      </c>
      <c r="N149" s="4">
        <f t="shared" si="5"/>
        <v>-21.080000000000002</v>
      </c>
      <c r="O149" t="s">
        <v>401</v>
      </c>
      <c r="P149" t="s">
        <v>402</v>
      </c>
      <c r="Q149" t="s">
        <v>420</v>
      </c>
      <c r="R149" t="s">
        <v>542</v>
      </c>
      <c r="S149" t="s">
        <v>405</v>
      </c>
      <c r="T149" t="s">
        <v>406</v>
      </c>
      <c r="U149">
        <v>1993</v>
      </c>
      <c r="V149">
        <v>258</v>
      </c>
      <c r="W149" t="s">
        <v>578</v>
      </c>
    </row>
    <row r="150" spans="1:23" hidden="1">
      <c r="A150" t="s">
        <v>389</v>
      </c>
      <c r="B150" t="s">
        <v>432</v>
      </c>
      <c r="C150" t="s">
        <v>581</v>
      </c>
      <c r="D150" t="s">
        <v>434</v>
      </c>
      <c r="E150" t="s">
        <v>480</v>
      </c>
      <c r="F150" t="s">
        <v>481</v>
      </c>
      <c r="G150" t="s">
        <v>587</v>
      </c>
      <c r="H150" t="s">
        <v>396</v>
      </c>
      <c r="I150" t="s">
        <v>397</v>
      </c>
      <c r="J150" t="s">
        <v>398</v>
      </c>
      <c r="K150" t="s">
        <v>399</v>
      </c>
      <c r="L150" t="s">
        <v>431</v>
      </c>
      <c r="M150">
        <v>-1.137</v>
      </c>
      <c r="N150" s="4">
        <f t="shared" si="5"/>
        <v>-11.370000000000001</v>
      </c>
      <c r="O150" t="s">
        <v>401</v>
      </c>
      <c r="P150" t="s">
        <v>402</v>
      </c>
      <c r="Q150" t="s">
        <v>420</v>
      </c>
      <c r="R150" t="s">
        <v>542</v>
      </c>
      <c r="S150" t="s">
        <v>405</v>
      </c>
      <c r="T150" t="s">
        <v>406</v>
      </c>
      <c r="U150">
        <v>1993</v>
      </c>
      <c r="V150">
        <v>258</v>
      </c>
      <c r="W150" t="s">
        <v>578</v>
      </c>
    </row>
    <row r="151" spans="1:23" hidden="1">
      <c r="A151" t="s">
        <v>389</v>
      </c>
      <c r="B151" t="s">
        <v>432</v>
      </c>
      <c r="C151" t="s">
        <v>433</v>
      </c>
      <c r="D151" t="s">
        <v>434</v>
      </c>
      <c r="E151" t="s">
        <v>435</v>
      </c>
      <c r="F151" t="s">
        <v>436</v>
      </c>
      <c r="G151" t="s">
        <v>588</v>
      </c>
      <c r="H151" t="s">
        <v>396</v>
      </c>
      <c r="I151" t="s">
        <v>397</v>
      </c>
      <c r="J151" t="s">
        <v>398</v>
      </c>
      <c r="K151" t="s">
        <v>399</v>
      </c>
      <c r="L151" t="s">
        <v>431</v>
      </c>
      <c r="M151">
        <v>-5.1999999999999998E-2</v>
      </c>
      <c r="N151" s="4">
        <f t="shared" si="5"/>
        <v>-0.52</v>
      </c>
      <c r="O151" t="s">
        <v>401</v>
      </c>
      <c r="P151" t="s">
        <v>402</v>
      </c>
      <c r="Q151" t="s">
        <v>420</v>
      </c>
      <c r="R151" t="s">
        <v>542</v>
      </c>
      <c r="S151" t="s">
        <v>405</v>
      </c>
      <c r="T151" t="s">
        <v>406</v>
      </c>
      <c r="U151">
        <v>1993</v>
      </c>
      <c r="V151">
        <v>258</v>
      </c>
      <c r="W151" t="s">
        <v>578</v>
      </c>
    </row>
    <row r="152" spans="1:23" hidden="1">
      <c r="A152" t="s">
        <v>389</v>
      </c>
      <c r="B152" t="s">
        <v>432</v>
      </c>
      <c r="C152" t="s">
        <v>433</v>
      </c>
      <c r="D152" t="s">
        <v>434</v>
      </c>
      <c r="E152" t="s">
        <v>467</v>
      </c>
      <c r="F152" t="s">
        <v>468</v>
      </c>
      <c r="G152" t="s">
        <v>589</v>
      </c>
      <c r="H152" t="s">
        <v>396</v>
      </c>
      <c r="I152" t="s">
        <v>397</v>
      </c>
      <c r="J152" t="s">
        <v>398</v>
      </c>
      <c r="K152" t="s">
        <v>399</v>
      </c>
      <c r="L152" t="s">
        <v>431</v>
      </c>
      <c r="M152">
        <v>0</v>
      </c>
      <c r="N152" s="4">
        <f t="shared" si="5"/>
        <v>0</v>
      </c>
      <c r="O152" t="s">
        <v>401</v>
      </c>
      <c r="P152" t="s">
        <v>402</v>
      </c>
      <c r="Q152" t="s">
        <v>420</v>
      </c>
      <c r="R152" t="s">
        <v>542</v>
      </c>
      <c r="S152" t="s">
        <v>405</v>
      </c>
      <c r="T152" t="s">
        <v>406</v>
      </c>
      <c r="U152">
        <v>1993</v>
      </c>
      <c r="V152">
        <v>258</v>
      </c>
      <c r="W152" t="s">
        <v>578</v>
      </c>
    </row>
    <row r="153" spans="1:23" hidden="1">
      <c r="A153" t="s">
        <v>389</v>
      </c>
      <c r="B153" t="s">
        <v>432</v>
      </c>
      <c r="C153" t="s">
        <v>433</v>
      </c>
      <c r="D153" t="s">
        <v>434</v>
      </c>
      <c r="E153" t="s">
        <v>467</v>
      </c>
      <c r="F153" t="s">
        <v>468</v>
      </c>
      <c r="G153" t="s">
        <v>589</v>
      </c>
      <c r="H153" t="s">
        <v>396</v>
      </c>
      <c r="I153" t="s">
        <v>397</v>
      </c>
      <c r="J153" t="s">
        <v>398</v>
      </c>
      <c r="K153" t="s">
        <v>399</v>
      </c>
      <c r="L153" t="s">
        <v>400</v>
      </c>
      <c r="M153">
        <v>0</v>
      </c>
      <c r="N153" s="4">
        <f t="shared" si="5"/>
        <v>0</v>
      </c>
      <c r="O153" t="s">
        <v>401</v>
      </c>
      <c r="P153" t="s">
        <v>402</v>
      </c>
      <c r="Q153" t="s">
        <v>420</v>
      </c>
      <c r="R153" t="s">
        <v>542</v>
      </c>
      <c r="S153" t="s">
        <v>405</v>
      </c>
      <c r="T153" t="s">
        <v>406</v>
      </c>
      <c r="U153">
        <v>1993</v>
      </c>
      <c r="V153">
        <v>258</v>
      </c>
      <c r="W153" t="s">
        <v>578</v>
      </c>
    </row>
    <row r="154" spans="1:23" hidden="1">
      <c r="A154" t="s">
        <v>389</v>
      </c>
      <c r="B154" t="s">
        <v>432</v>
      </c>
      <c r="C154" t="s">
        <v>433</v>
      </c>
      <c r="D154" t="s">
        <v>434</v>
      </c>
      <c r="E154" t="s">
        <v>435</v>
      </c>
      <c r="F154" t="s">
        <v>436</v>
      </c>
      <c r="G154" t="s">
        <v>590</v>
      </c>
      <c r="H154" t="s">
        <v>396</v>
      </c>
      <c r="I154" t="s">
        <v>397</v>
      </c>
      <c r="J154" t="s">
        <v>398</v>
      </c>
      <c r="K154" t="s">
        <v>399</v>
      </c>
      <c r="L154" t="s">
        <v>400</v>
      </c>
      <c r="M154">
        <v>0</v>
      </c>
      <c r="N154" s="4">
        <f t="shared" si="5"/>
        <v>0</v>
      </c>
      <c r="O154" t="s">
        <v>401</v>
      </c>
      <c r="P154" t="s">
        <v>402</v>
      </c>
      <c r="Q154" t="s">
        <v>420</v>
      </c>
      <c r="R154" t="s">
        <v>542</v>
      </c>
      <c r="S154" t="s">
        <v>405</v>
      </c>
      <c r="T154" t="s">
        <v>406</v>
      </c>
      <c r="U154">
        <v>1993</v>
      </c>
      <c r="V154">
        <v>258</v>
      </c>
      <c r="W154" t="s">
        <v>578</v>
      </c>
    </row>
    <row r="155" spans="1:23" hidden="1">
      <c r="A155" t="s">
        <v>389</v>
      </c>
      <c r="B155" t="s">
        <v>432</v>
      </c>
      <c r="C155" t="s">
        <v>433</v>
      </c>
      <c r="D155" t="s">
        <v>434</v>
      </c>
      <c r="E155" t="s">
        <v>467</v>
      </c>
      <c r="F155" t="s">
        <v>468</v>
      </c>
      <c r="G155" t="s">
        <v>589</v>
      </c>
      <c r="H155" t="s">
        <v>396</v>
      </c>
      <c r="I155" t="s">
        <v>397</v>
      </c>
      <c r="J155" t="s">
        <v>398</v>
      </c>
      <c r="K155" t="s">
        <v>399</v>
      </c>
      <c r="L155" t="s">
        <v>418</v>
      </c>
      <c r="M155">
        <v>0</v>
      </c>
      <c r="N155" s="4">
        <f t="shared" si="5"/>
        <v>0</v>
      </c>
      <c r="O155" t="s">
        <v>401</v>
      </c>
      <c r="P155" t="s">
        <v>402</v>
      </c>
      <c r="Q155" t="s">
        <v>420</v>
      </c>
      <c r="R155" t="s">
        <v>542</v>
      </c>
      <c r="S155" t="s">
        <v>405</v>
      </c>
      <c r="T155" t="s">
        <v>406</v>
      </c>
      <c r="U155">
        <v>1993</v>
      </c>
      <c r="V155">
        <v>258</v>
      </c>
      <c r="W155" t="s">
        <v>578</v>
      </c>
    </row>
    <row r="156" spans="1:23" hidden="1">
      <c r="A156" t="s">
        <v>389</v>
      </c>
      <c r="B156" t="s">
        <v>432</v>
      </c>
      <c r="C156" t="s">
        <v>433</v>
      </c>
      <c r="D156" t="s">
        <v>434</v>
      </c>
      <c r="E156" t="s">
        <v>435</v>
      </c>
      <c r="F156" t="s">
        <v>436</v>
      </c>
      <c r="G156" t="s">
        <v>590</v>
      </c>
      <c r="H156" t="s">
        <v>396</v>
      </c>
      <c r="I156" t="s">
        <v>397</v>
      </c>
      <c r="J156" t="s">
        <v>398</v>
      </c>
      <c r="K156" t="s">
        <v>399</v>
      </c>
      <c r="L156" t="s">
        <v>418</v>
      </c>
      <c r="M156">
        <v>0</v>
      </c>
      <c r="N156" s="4">
        <f t="shared" si="5"/>
        <v>0</v>
      </c>
      <c r="O156" t="s">
        <v>401</v>
      </c>
      <c r="P156" t="s">
        <v>402</v>
      </c>
      <c r="Q156" t="s">
        <v>420</v>
      </c>
      <c r="R156" t="s">
        <v>542</v>
      </c>
      <c r="S156" t="s">
        <v>405</v>
      </c>
      <c r="T156" t="s">
        <v>406</v>
      </c>
      <c r="U156">
        <v>1993</v>
      </c>
      <c r="V156">
        <v>258</v>
      </c>
      <c r="W156" t="s">
        <v>578</v>
      </c>
    </row>
    <row r="157" spans="1:23" hidden="1">
      <c r="A157" t="s">
        <v>389</v>
      </c>
      <c r="B157" t="s">
        <v>390</v>
      </c>
      <c r="C157" t="s">
        <v>449</v>
      </c>
      <c r="D157" t="s">
        <v>392</v>
      </c>
      <c r="E157" t="s">
        <v>450</v>
      </c>
      <c r="F157" t="s">
        <v>451</v>
      </c>
      <c r="G157" t="s">
        <v>591</v>
      </c>
      <c r="H157" t="s">
        <v>396</v>
      </c>
      <c r="I157" t="s">
        <v>397</v>
      </c>
      <c r="J157" t="s">
        <v>398</v>
      </c>
      <c r="K157" t="s">
        <v>399</v>
      </c>
      <c r="L157" t="s">
        <v>418</v>
      </c>
      <c r="M157">
        <v>0</v>
      </c>
      <c r="N157" s="4">
        <f t="shared" si="5"/>
        <v>0</v>
      </c>
      <c r="O157" t="s">
        <v>401</v>
      </c>
      <c r="P157" t="s">
        <v>402</v>
      </c>
      <c r="Q157" t="s">
        <v>420</v>
      </c>
      <c r="R157" t="s">
        <v>542</v>
      </c>
      <c r="S157" t="s">
        <v>405</v>
      </c>
      <c r="T157" t="s">
        <v>406</v>
      </c>
      <c r="U157">
        <v>1993</v>
      </c>
      <c r="V157">
        <v>258</v>
      </c>
      <c r="W157" t="s">
        <v>578</v>
      </c>
    </row>
    <row r="158" spans="1:23" hidden="1">
      <c r="A158" t="s">
        <v>389</v>
      </c>
      <c r="B158" t="s">
        <v>432</v>
      </c>
      <c r="C158" t="s">
        <v>433</v>
      </c>
      <c r="D158" t="s">
        <v>434</v>
      </c>
      <c r="E158" t="s">
        <v>435</v>
      </c>
      <c r="F158" t="s">
        <v>436</v>
      </c>
      <c r="G158" t="s">
        <v>590</v>
      </c>
      <c r="H158" t="s">
        <v>396</v>
      </c>
      <c r="I158" t="s">
        <v>397</v>
      </c>
      <c r="J158" t="s">
        <v>398</v>
      </c>
      <c r="K158" t="s">
        <v>399</v>
      </c>
      <c r="L158" t="s">
        <v>431</v>
      </c>
      <c r="M158">
        <v>0</v>
      </c>
      <c r="N158" s="4">
        <f t="shared" si="5"/>
        <v>0</v>
      </c>
      <c r="O158" t="s">
        <v>401</v>
      </c>
      <c r="P158" t="s">
        <v>402</v>
      </c>
      <c r="Q158" t="s">
        <v>420</v>
      </c>
      <c r="R158" t="s">
        <v>542</v>
      </c>
      <c r="S158" t="s">
        <v>405</v>
      </c>
      <c r="T158" t="s">
        <v>406</v>
      </c>
      <c r="U158">
        <v>1993</v>
      </c>
      <c r="V158">
        <v>258</v>
      </c>
      <c r="W158" t="s">
        <v>578</v>
      </c>
    </row>
    <row r="159" spans="1:23" hidden="1">
      <c r="A159" t="s">
        <v>389</v>
      </c>
      <c r="B159" t="s">
        <v>390</v>
      </c>
      <c r="C159" t="s">
        <v>449</v>
      </c>
      <c r="D159" t="s">
        <v>392</v>
      </c>
      <c r="E159" t="s">
        <v>450</v>
      </c>
      <c r="F159" t="s">
        <v>451</v>
      </c>
      <c r="G159" t="s">
        <v>591</v>
      </c>
      <c r="H159" t="s">
        <v>396</v>
      </c>
      <c r="I159" t="s">
        <v>397</v>
      </c>
      <c r="J159" t="s">
        <v>398</v>
      </c>
      <c r="K159" t="s">
        <v>399</v>
      </c>
      <c r="L159" t="s">
        <v>400</v>
      </c>
      <c r="M159">
        <v>0</v>
      </c>
      <c r="N159" s="4">
        <f t="shared" si="5"/>
        <v>0</v>
      </c>
      <c r="O159" t="s">
        <v>401</v>
      </c>
      <c r="P159" t="s">
        <v>402</v>
      </c>
      <c r="Q159" t="s">
        <v>420</v>
      </c>
      <c r="R159" t="s">
        <v>542</v>
      </c>
      <c r="S159" t="s">
        <v>405</v>
      </c>
      <c r="T159" t="s">
        <v>406</v>
      </c>
      <c r="U159">
        <v>1993</v>
      </c>
      <c r="V159">
        <v>258</v>
      </c>
      <c r="W159" t="s">
        <v>578</v>
      </c>
    </row>
    <row r="160" spans="1:23" hidden="1">
      <c r="A160" t="s">
        <v>389</v>
      </c>
      <c r="B160" t="s">
        <v>390</v>
      </c>
      <c r="C160" t="s">
        <v>449</v>
      </c>
      <c r="D160" t="s">
        <v>392</v>
      </c>
      <c r="E160" t="s">
        <v>450</v>
      </c>
      <c r="F160" t="s">
        <v>451</v>
      </c>
      <c r="G160" t="s">
        <v>591</v>
      </c>
      <c r="H160" t="s">
        <v>396</v>
      </c>
      <c r="I160" t="s">
        <v>397</v>
      </c>
      <c r="J160" t="s">
        <v>398</v>
      </c>
      <c r="K160" t="s">
        <v>399</v>
      </c>
      <c r="L160" t="s">
        <v>431</v>
      </c>
      <c r="M160">
        <v>0</v>
      </c>
      <c r="N160" s="4">
        <f t="shared" si="5"/>
        <v>0</v>
      </c>
      <c r="O160" t="s">
        <v>401</v>
      </c>
      <c r="P160" t="s">
        <v>402</v>
      </c>
      <c r="Q160" t="s">
        <v>420</v>
      </c>
      <c r="R160" t="s">
        <v>542</v>
      </c>
      <c r="S160" t="s">
        <v>405</v>
      </c>
      <c r="T160" t="s">
        <v>406</v>
      </c>
      <c r="U160">
        <v>1993</v>
      </c>
      <c r="V160">
        <v>258</v>
      </c>
      <c r="W160" t="s">
        <v>578</v>
      </c>
    </row>
    <row r="161" spans="1:23" hidden="1">
      <c r="A161" t="s">
        <v>389</v>
      </c>
      <c r="B161" t="s">
        <v>413</v>
      </c>
      <c r="C161" t="s">
        <v>414</v>
      </c>
      <c r="D161" t="s">
        <v>113</v>
      </c>
      <c r="E161" t="s">
        <v>415</v>
      </c>
      <c r="F161" t="s">
        <v>416</v>
      </c>
      <c r="G161" t="s">
        <v>592</v>
      </c>
      <c r="H161" t="s">
        <v>396</v>
      </c>
      <c r="I161" t="s">
        <v>397</v>
      </c>
      <c r="J161" t="s">
        <v>398</v>
      </c>
      <c r="K161" t="s">
        <v>399</v>
      </c>
      <c r="L161" t="s">
        <v>431</v>
      </c>
      <c r="M161">
        <v>0.17299999999999999</v>
      </c>
      <c r="N161" s="4">
        <f t="shared" si="5"/>
        <v>1.73</v>
      </c>
      <c r="O161" t="s">
        <v>401</v>
      </c>
      <c r="P161" t="s">
        <v>402</v>
      </c>
      <c r="Q161" t="s">
        <v>420</v>
      </c>
      <c r="R161" t="s">
        <v>542</v>
      </c>
      <c r="S161" t="s">
        <v>405</v>
      </c>
      <c r="T161" t="s">
        <v>406</v>
      </c>
      <c r="U161">
        <v>1993</v>
      </c>
      <c r="V161">
        <v>258</v>
      </c>
      <c r="W161" t="s">
        <v>578</v>
      </c>
    </row>
    <row r="162" spans="1:23" hidden="1">
      <c r="A162" t="s">
        <v>389</v>
      </c>
      <c r="B162" t="s">
        <v>432</v>
      </c>
      <c r="C162" t="s">
        <v>433</v>
      </c>
      <c r="D162" t="s">
        <v>434</v>
      </c>
      <c r="E162" t="s">
        <v>435</v>
      </c>
      <c r="F162" t="s">
        <v>436</v>
      </c>
      <c r="G162" t="s">
        <v>588</v>
      </c>
      <c r="H162" t="s">
        <v>396</v>
      </c>
      <c r="I162" t="s">
        <v>397</v>
      </c>
      <c r="J162" t="s">
        <v>398</v>
      </c>
      <c r="K162" t="s">
        <v>399</v>
      </c>
      <c r="L162" t="s">
        <v>400</v>
      </c>
      <c r="M162">
        <v>0.32100000000000001</v>
      </c>
      <c r="N162" s="4">
        <f t="shared" si="5"/>
        <v>3.21</v>
      </c>
      <c r="O162" t="s">
        <v>401</v>
      </c>
      <c r="P162" t="s">
        <v>402</v>
      </c>
      <c r="Q162" t="s">
        <v>420</v>
      </c>
      <c r="R162" t="s">
        <v>542</v>
      </c>
      <c r="S162" t="s">
        <v>405</v>
      </c>
      <c r="T162" t="s">
        <v>406</v>
      </c>
      <c r="U162">
        <v>1993</v>
      </c>
      <c r="V162">
        <v>258</v>
      </c>
      <c r="W162" t="s">
        <v>578</v>
      </c>
    </row>
    <row r="163" spans="1:23" hidden="1">
      <c r="A163" t="s">
        <v>389</v>
      </c>
      <c r="B163" t="s">
        <v>432</v>
      </c>
      <c r="C163" t="s">
        <v>464</v>
      </c>
      <c r="D163" t="s">
        <v>434</v>
      </c>
      <c r="E163" t="s">
        <v>593</v>
      </c>
      <c r="F163" t="s">
        <v>594</v>
      </c>
      <c r="G163" t="s">
        <v>595</v>
      </c>
      <c r="H163" t="s">
        <v>396</v>
      </c>
      <c r="I163" t="s">
        <v>397</v>
      </c>
      <c r="J163" t="s">
        <v>398</v>
      </c>
      <c r="K163" t="s">
        <v>399</v>
      </c>
      <c r="L163" t="s">
        <v>431</v>
      </c>
      <c r="M163">
        <v>0.68</v>
      </c>
      <c r="N163" s="4">
        <f t="shared" si="5"/>
        <v>6.8000000000000007</v>
      </c>
      <c r="O163" t="s">
        <v>401</v>
      </c>
      <c r="P163" t="s">
        <v>402</v>
      </c>
      <c r="Q163" t="s">
        <v>420</v>
      </c>
      <c r="R163" t="s">
        <v>542</v>
      </c>
      <c r="S163" t="s">
        <v>405</v>
      </c>
      <c r="T163" t="s">
        <v>406</v>
      </c>
      <c r="U163">
        <v>1993</v>
      </c>
      <c r="V163">
        <v>258</v>
      </c>
      <c r="W163" t="s">
        <v>578</v>
      </c>
    </row>
    <row r="164" spans="1:23" hidden="1">
      <c r="A164" t="s">
        <v>389</v>
      </c>
      <c r="B164" t="s">
        <v>432</v>
      </c>
      <c r="C164" t="s">
        <v>438</v>
      </c>
      <c r="D164" t="s">
        <v>434</v>
      </c>
      <c r="E164" t="s">
        <v>439</v>
      </c>
      <c r="F164" t="s">
        <v>585</v>
      </c>
      <c r="G164" t="s">
        <v>586</v>
      </c>
      <c r="H164" t="s">
        <v>396</v>
      </c>
      <c r="I164" t="s">
        <v>397</v>
      </c>
      <c r="J164" t="s">
        <v>398</v>
      </c>
      <c r="K164" t="s">
        <v>399</v>
      </c>
      <c r="L164" t="s">
        <v>431</v>
      </c>
      <c r="M164">
        <v>0.68</v>
      </c>
      <c r="N164" s="4">
        <f t="shared" si="5"/>
        <v>6.8000000000000007</v>
      </c>
      <c r="O164" t="s">
        <v>401</v>
      </c>
      <c r="P164" t="s">
        <v>402</v>
      </c>
      <c r="Q164" t="s">
        <v>420</v>
      </c>
      <c r="R164" t="s">
        <v>542</v>
      </c>
      <c r="S164" t="s">
        <v>405</v>
      </c>
      <c r="T164" t="s">
        <v>406</v>
      </c>
      <c r="U164">
        <v>1993</v>
      </c>
      <c r="V164">
        <v>258</v>
      </c>
      <c r="W164" t="s">
        <v>578</v>
      </c>
    </row>
    <row r="165" spans="1:23" hidden="1">
      <c r="A165" t="s">
        <v>389</v>
      </c>
      <c r="B165" t="s">
        <v>432</v>
      </c>
      <c r="C165" t="s">
        <v>438</v>
      </c>
      <c r="D165" t="s">
        <v>434</v>
      </c>
      <c r="E165" t="s">
        <v>439</v>
      </c>
      <c r="F165" t="s">
        <v>579</v>
      </c>
      <c r="G165" t="s">
        <v>580</v>
      </c>
      <c r="H165" t="s">
        <v>396</v>
      </c>
      <c r="I165" t="s">
        <v>397</v>
      </c>
      <c r="J165" t="s">
        <v>398</v>
      </c>
      <c r="K165" t="s">
        <v>399</v>
      </c>
      <c r="L165" t="s">
        <v>431</v>
      </c>
      <c r="M165">
        <v>0.68</v>
      </c>
      <c r="N165" s="4">
        <f t="shared" si="5"/>
        <v>6.8000000000000007</v>
      </c>
      <c r="O165" t="s">
        <v>401</v>
      </c>
      <c r="P165" t="s">
        <v>402</v>
      </c>
      <c r="Q165" t="s">
        <v>420</v>
      </c>
      <c r="R165" t="s">
        <v>542</v>
      </c>
      <c r="S165" t="s">
        <v>405</v>
      </c>
      <c r="T165" t="s">
        <v>406</v>
      </c>
      <c r="U165">
        <v>1993</v>
      </c>
      <c r="V165">
        <v>258</v>
      </c>
      <c r="W165" t="s">
        <v>578</v>
      </c>
    </row>
    <row r="166" spans="1:23" hidden="1">
      <c r="A166" t="s">
        <v>389</v>
      </c>
      <c r="B166" t="s">
        <v>413</v>
      </c>
      <c r="C166" t="s">
        <v>442</v>
      </c>
      <c r="D166" t="s">
        <v>113</v>
      </c>
      <c r="E166" t="s">
        <v>476</v>
      </c>
      <c r="F166" t="s">
        <v>576</v>
      </c>
      <c r="G166" t="s">
        <v>577</v>
      </c>
      <c r="H166" t="s">
        <v>396</v>
      </c>
      <c r="I166" t="s">
        <v>397</v>
      </c>
      <c r="J166" t="s">
        <v>398</v>
      </c>
      <c r="K166" t="s">
        <v>399</v>
      </c>
      <c r="L166" t="s">
        <v>431</v>
      </c>
      <c r="M166">
        <v>0.68</v>
      </c>
      <c r="N166" s="4">
        <f t="shared" si="5"/>
        <v>6.8000000000000007</v>
      </c>
      <c r="O166" t="s">
        <v>401</v>
      </c>
      <c r="P166" t="s">
        <v>402</v>
      </c>
      <c r="Q166" t="s">
        <v>420</v>
      </c>
      <c r="R166" t="s">
        <v>542</v>
      </c>
      <c r="S166" t="s">
        <v>405</v>
      </c>
      <c r="T166" t="s">
        <v>406</v>
      </c>
      <c r="U166">
        <v>1993</v>
      </c>
      <c r="V166">
        <v>258</v>
      </c>
      <c r="W166" t="s">
        <v>578</v>
      </c>
    </row>
    <row r="167" spans="1:23" hidden="1">
      <c r="A167" t="s">
        <v>389</v>
      </c>
      <c r="B167" t="s">
        <v>432</v>
      </c>
      <c r="C167" t="s">
        <v>581</v>
      </c>
      <c r="D167" t="s">
        <v>434</v>
      </c>
      <c r="E167" t="s">
        <v>582</v>
      </c>
      <c r="F167" t="s">
        <v>583</v>
      </c>
      <c r="G167" t="s">
        <v>584</v>
      </c>
      <c r="H167" t="s">
        <v>396</v>
      </c>
      <c r="I167" t="s">
        <v>397</v>
      </c>
      <c r="J167" t="s">
        <v>398</v>
      </c>
      <c r="K167" t="s">
        <v>399</v>
      </c>
      <c r="L167" t="s">
        <v>431</v>
      </c>
      <c r="M167">
        <v>0.68</v>
      </c>
      <c r="N167" s="4">
        <f t="shared" si="5"/>
        <v>6.8000000000000007</v>
      </c>
      <c r="O167" t="s">
        <v>401</v>
      </c>
      <c r="P167" t="s">
        <v>402</v>
      </c>
      <c r="Q167" t="s">
        <v>420</v>
      </c>
      <c r="R167" t="s">
        <v>542</v>
      </c>
      <c r="S167" t="s">
        <v>405</v>
      </c>
      <c r="T167" t="s">
        <v>406</v>
      </c>
      <c r="U167">
        <v>1993</v>
      </c>
      <c r="V167">
        <v>258</v>
      </c>
      <c r="W167" t="s">
        <v>578</v>
      </c>
    </row>
    <row r="168" spans="1:23" hidden="1">
      <c r="A168" t="s">
        <v>389</v>
      </c>
      <c r="B168" t="s">
        <v>413</v>
      </c>
      <c r="C168" t="s">
        <v>596</v>
      </c>
      <c r="D168" t="s">
        <v>116</v>
      </c>
      <c r="E168" t="s">
        <v>597</v>
      </c>
      <c r="F168" t="s">
        <v>598</v>
      </c>
      <c r="G168" t="s">
        <v>599</v>
      </c>
      <c r="H168" t="s">
        <v>396</v>
      </c>
      <c r="I168" t="s">
        <v>397</v>
      </c>
      <c r="J168" t="s">
        <v>398</v>
      </c>
      <c r="K168" t="s">
        <v>399</v>
      </c>
      <c r="L168" t="s">
        <v>431</v>
      </c>
      <c r="M168">
        <v>0.77800000000000002</v>
      </c>
      <c r="N168" s="4">
        <f t="shared" si="5"/>
        <v>7.78</v>
      </c>
      <c r="O168" t="s">
        <v>401</v>
      </c>
      <c r="P168" t="s">
        <v>402</v>
      </c>
      <c r="Q168" t="s">
        <v>420</v>
      </c>
      <c r="R168" t="s">
        <v>542</v>
      </c>
      <c r="S168" t="s">
        <v>405</v>
      </c>
      <c r="T168" t="s">
        <v>406</v>
      </c>
      <c r="U168">
        <v>1993</v>
      </c>
      <c r="V168">
        <v>258</v>
      </c>
      <c r="W168" t="s">
        <v>578</v>
      </c>
    </row>
    <row r="169" spans="1:23" hidden="1">
      <c r="A169" t="s">
        <v>389</v>
      </c>
      <c r="B169" t="s">
        <v>432</v>
      </c>
      <c r="C169" t="s">
        <v>483</v>
      </c>
      <c r="D169" t="s">
        <v>434</v>
      </c>
      <c r="E169" t="s">
        <v>600</v>
      </c>
      <c r="F169" t="s">
        <v>601</v>
      </c>
      <c r="G169" t="s">
        <v>602</v>
      </c>
      <c r="H169" t="s">
        <v>396</v>
      </c>
      <c r="I169" t="s">
        <v>397</v>
      </c>
      <c r="J169" t="s">
        <v>398</v>
      </c>
      <c r="K169" t="s">
        <v>399</v>
      </c>
      <c r="L169" t="s">
        <v>431</v>
      </c>
      <c r="M169">
        <v>1.002</v>
      </c>
      <c r="N169" s="4">
        <f t="shared" si="5"/>
        <v>10.02</v>
      </c>
      <c r="O169" t="s">
        <v>401</v>
      </c>
      <c r="P169" t="s">
        <v>402</v>
      </c>
      <c r="Q169" t="s">
        <v>420</v>
      </c>
      <c r="R169" t="s">
        <v>542</v>
      </c>
      <c r="S169" t="s">
        <v>405</v>
      </c>
      <c r="T169" t="s">
        <v>406</v>
      </c>
      <c r="U169">
        <v>1993</v>
      </c>
      <c r="V169">
        <v>258</v>
      </c>
      <c r="W169" t="s">
        <v>578</v>
      </c>
    </row>
    <row r="170" spans="1:23" hidden="1">
      <c r="A170" t="s">
        <v>389</v>
      </c>
      <c r="B170" t="s">
        <v>413</v>
      </c>
      <c r="C170" t="s">
        <v>596</v>
      </c>
      <c r="D170" t="s">
        <v>116</v>
      </c>
      <c r="E170" t="s">
        <v>597</v>
      </c>
      <c r="F170" t="s">
        <v>598</v>
      </c>
      <c r="G170" t="s">
        <v>599</v>
      </c>
      <c r="H170" t="s">
        <v>396</v>
      </c>
      <c r="I170" t="s">
        <v>397</v>
      </c>
      <c r="J170" t="s">
        <v>398</v>
      </c>
      <c r="K170" t="s">
        <v>399</v>
      </c>
      <c r="L170" t="s">
        <v>400</v>
      </c>
      <c r="M170">
        <v>1.736</v>
      </c>
      <c r="N170" s="4">
        <f t="shared" si="5"/>
        <v>17.36</v>
      </c>
      <c r="O170" t="s">
        <v>401</v>
      </c>
      <c r="P170" t="s">
        <v>402</v>
      </c>
      <c r="Q170" t="s">
        <v>420</v>
      </c>
      <c r="R170" t="s">
        <v>542</v>
      </c>
      <c r="S170" t="s">
        <v>405</v>
      </c>
      <c r="T170" t="s">
        <v>406</v>
      </c>
      <c r="U170">
        <v>1993</v>
      </c>
      <c r="V170">
        <v>258</v>
      </c>
      <c r="W170" t="s">
        <v>578</v>
      </c>
    </row>
    <row r="171" spans="1:23" hidden="1">
      <c r="A171" t="s">
        <v>389</v>
      </c>
      <c r="B171" t="s">
        <v>432</v>
      </c>
      <c r="C171" t="s">
        <v>438</v>
      </c>
      <c r="D171" t="s">
        <v>434</v>
      </c>
      <c r="E171" t="s">
        <v>439</v>
      </c>
      <c r="F171" t="s">
        <v>585</v>
      </c>
      <c r="G171" t="s">
        <v>586</v>
      </c>
      <c r="H171" t="s">
        <v>396</v>
      </c>
      <c r="I171" t="s">
        <v>397</v>
      </c>
      <c r="J171" t="s">
        <v>398</v>
      </c>
      <c r="K171" t="s">
        <v>399</v>
      </c>
      <c r="L171" t="s">
        <v>418</v>
      </c>
      <c r="M171">
        <v>3.726</v>
      </c>
      <c r="N171" s="4">
        <f t="shared" si="5"/>
        <v>37.26</v>
      </c>
      <c r="O171" t="s">
        <v>401</v>
      </c>
      <c r="P171" t="s">
        <v>402</v>
      </c>
      <c r="Q171" t="s">
        <v>420</v>
      </c>
      <c r="R171" t="s">
        <v>542</v>
      </c>
      <c r="S171" t="s">
        <v>405</v>
      </c>
      <c r="T171" t="s">
        <v>406</v>
      </c>
      <c r="U171">
        <v>1993</v>
      </c>
      <c r="V171">
        <v>258</v>
      </c>
      <c r="W171" t="s">
        <v>578</v>
      </c>
    </row>
    <row r="172" spans="1:23" hidden="1">
      <c r="A172" t="s">
        <v>389</v>
      </c>
      <c r="B172" t="s">
        <v>432</v>
      </c>
      <c r="C172" t="s">
        <v>581</v>
      </c>
      <c r="D172" t="s">
        <v>434</v>
      </c>
      <c r="E172" t="s">
        <v>582</v>
      </c>
      <c r="F172" t="s">
        <v>583</v>
      </c>
      <c r="G172" t="s">
        <v>584</v>
      </c>
      <c r="H172" t="s">
        <v>396</v>
      </c>
      <c r="I172" t="s">
        <v>397</v>
      </c>
      <c r="J172" t="s">
        <v>398</v>
      </c>
      <c r="K172" t="s">
        <v>399</v>
      </c>
      <c r="L172" t="s">
        <v>418</v>
      </c>
      <c r="M172">
        <v>3.726</v>
      </c>
      <c r="N172" s="4">
        <f t="shared" si="5"/>
        <v>37.26</v>
      </c>
      <c r="O172" t="s">
        <v>401</v>
      </c>
      <c r="P172" t="s">
        <v>402</v>
      </c>
      <c r="Q172" t="s">
        <v>420</v>
      </c>
      <c r="R172" t="s">
        <v>542</v>
      </c>
      <c r="S172" t="s">
        <v>405</v>
      </c>
      <c r="T172" t="s">
        <v>406</v>
      </c>
      <c r="U172">
        <v>1993</v>
      </c>
      <c r="V172">
        <v>258</v>
      </c>
      <c r="W172" t="s">
        <v>578</v>
      </c>
    </row>
    <row r="173" spans="1:23" hidden="1">
      <c r="A173" t="s">
        <v>389</v>
      </c>
      <c r="B173" t="s">
        <v>432</v>
      </c>
      <c r="C173" t="s">
        <v>581</v>
      </c>
      <c r="D173" t="s">
        <v>434</v>
      </c>
      <c r="E173" t="s">
        <v>480</v>
      </c>
      <c r="F173" t="s">
        <v>481</v>
      </c>
      <c r="G173" t="s">
        <v>587</v>
      </c>
      <c r="H173" t="s">
        <v>396</v>
      </c>
      <c r="I173" t="s">
        <v>397</v>
      </c>
      <c r="J173" t="s">
        <v>398</v>
      </c>
      <c r="K173" t="s">
        <v>399</v>
      </c>
      <c r="L173" t="s">
        <v>400</v>
      </c>
      <c r="M173">
        <v>4.5129999999999999</v>
      </c>
      <c r="N173" s="4">
        <f t="shared" si="5"/>
        <v>45.129999999999995</v>
      </c>
      <c r="O173" t="s">
        <v>401</v>
      </c>
      <c r="P173" t="s">
        <v>402</v>
      </c>
      <c r="Q173" t="s">
        <v>420</v>
      </c>
      <c r="R173" t="s">
        <v>542</v>
      </c>
      <c r="S173" t="s">
        <v>405</v>
      </c>
      <c r="T173" t="s">
        <v>406</v>
      </c>
      <c r="U173">
        <v>1993</v>
      </c>
      <c r="V173">
        <v>258</v>
      </c>
      <c r="W173" t="s">
        <v>578</v>
      </c>
    </row>
    <row r="174" spans="1:23" hidden="1">
      <c r="A174" t="s">
        <v>389</v>
      </c>
      <c r="B174" t="s">
        <v>432</v>
      </c>
      <c r="C174" t="s">
        <v>438</v>
      </c>
      <c r="D174" t="s">
        <v>434</v>
      </c>
      <c r="E174" t="s">
        <v>439</v>
      </c>
      <c r="F174" t="s">
        <v>579</v>
      </c>
      <c r="G174" t="s">
        <v>580</v>
      </c>
      <c r="H174" t="s">
        <v>396</v>
      </c>
      <c r="I174" t="s">
        <v>397</v>
      </c>
      <c r="J174" t="s">
        <v>398</v>
      </c>
      <c r="K174" t="s">
        <v>399</v>
      </c>
      <c r="L174" t="s">
        <v>418</v>
      </c>
      <c r="M174">
        <v>5.8680000000000003</v>
      </c>
      <c r="N174" s="4">
        <f t="shared" si="5"/>
        <v>58.680000000000007</v>
      </c>
      <c r="O174" t="s">
        <v>401</v>
      </c>
      <c r="P174" t="s">
        <v>402</v>
      </c>
      <c r="Q174" t="s">
        <v>420</v>
      </c>
      <c r="R174" t="s">
        <v>542</v>
      </c>
      <c r="S174" t="s">
        <v>405</v>
      </c>
      <c r="T174" t="s">
        <v>406</v>
      </c>
      <c r="U174">
        <v>1993</v>
      </c>
      <c r="V174">
        <v>258</v>
      </c>
      <c r="W174" t="s">
        <v>578</v>
      </c>
    </row>
    <row r="175" spans="1:23" hidden="1">
      <c r="A175" t="s">
        <v>389</v>
      </c>
      <c r="B175" t="s">
        <v>413</v>
      </c>
      <c r="C175" t="s">
        <v>414</v>
      </c>
      <c r="D175" t="s">
        <v>113</v>
      </c>
      <c r="E175" t="s">
        <v>415</v>
      </c>
      <c r="F175" t="s">
        <v>416</v>
      </c>
      <c r="G175" t="s">
        <v>592</v>
      </c>
      <c r="H175" t="s">
        <v>396</v>
      </c>
      <c r="I175" t="s">
        <v>397</v>
      </c>
      <c r="J175" t="s">
        <v>398</v>
      </c>
      <c r="K175" t="s">
        <v>399</v>
      </c>
      <c r="L175" t="s">
        <v>400</v>
      </c>
      <c r="M175">
        <v>6.8920000000000003</v>
      </c>
      <c r="N175" s="4">
        <f t="shared" si="5"/>
        <v>68.92</v>
      </c>
      <c r="O175" t="s">
        <v>401</v>
      </c>
      <c r="P175" t="s">
        <v>402</v>
      </c>
      <c r="Q175" t="s">
        <v>420</v>
      </c>
      <c r="R175" t="s">
        <v>542</v>
      </c>
      <c r="S175" t="s">
        <v>405</v>
      </c>
      <c r="T175" t="s">
        <v>406</v>
      </c>
      <c r="U175">
        <v>1993</v>
      </c>
      <c r="V175">
        <v>258</v>
      </c>
      <c r="W175" t="s">
        <v>578</v>
      </c>
    </row>
    <row r="176" spans="1:23" hidden="1">
      <c r="A176" t="s">
        <v>389</v>
      </c>
      <c r="B176" t="s">
        <v>432</v>
      </c>
      <c r="C176" t="s">
        <v>464</v>
      </c>
      <c r="D176" t="s">
        <v>434</v>
      </c>
      <c r="E176" t="s">
        <v>593</v>
      </c>
      <c r="F176" t="s">
        <v>594</v>
      </c>
      <c r="G176" t="s">
        <v>595</v>
      </c>
      <c r="H176" t="s">
        <v>396</v>
      </c>
      <c r="I176" t="s">
        <v>397</v>
      </c>
      <c r="J176" t="s">
        <v>398</v>
      </c>
      <c r="K176" t="s">
        <v>399</v>
      </c>
      <c r="L176" t="s">
        <v>418</v>
      </c>
      <c r="M176">
        <v>7.2629999999999999</v>
      </c>
      <c r="N176" s="4">
        <f t="shared" si="5"/>
        <v>72.63</v>
      </c>
      <c r="O176" t="s">
        <v>401</v>
      </c>
      <c r="P176" t="s">
        <v>402</v>
      </c>
      <c r="Q176" t="s">
        <v>420</v>
      </c>
      <c r="R176" t="s">
        <v>542</v>
      </c>
      <c r="S176" t="s">
        <v>405</v>
      </c>
      <c r="T176" t="s">
        <v>406</v>
      </c>
      <c r="U176">
        <v>1993</v>
      </c>
      <c r="V176">
        <v>258</v>
      </c>
      <c r="W176" t="s">
        <v>578</v>
      </c>
    </row>
    <row r="177" spans="1:23" hidden="1">
      <c r="A177" t="s">
        <v>389</v>
      </c>
      <c r="B177" t="s">
        <v>413</v>
      </c>
      <c r="C177" t="s">
        <v>442</v>
      </c>
      <c r="D177" t="s">
        <v>113</v>
      </c>
      <c r="E177" t="s">
        <v>476</v>
      </c>
      <c r="F177" t="s">
        <v>576</v>
      </c>
      <c r="G177" t="s">
        <v>577</v>
      </c>
      <c r="H177" t="s">
        <v>396</v>
      </c>
      <c r="I177" t="s">
        <v>397</v>
      </c>
      <c r="J177" t="s">
        <v>398</v>
      </c>
      <c r="K177" t="s">
        <v>399</v>
      </c>
      <c r="L177" t="s">
        <v>400</v>
      </c>
      <c r="M177">
        <v>9.7040000000000006</v>
      </c>
      <c r="N177" s="4">
        <f t="shared" si="5"/>
        <v>97.04</v>
      </c>
      <c r="O177" t="s">
        <v>401</v>
      </c>
      <c r="P177" t="s">
        <v>402</v>
      </c>
      <c r="Q177" t="s">
        <v>420</v>
      </c>
      <c r="R177" t="s">
        <v>542</v>
      </c>
      <c r="S177" t="s">
        <v>405</v>
      </c>
      <c r="T177" t="s">
        <v>406</v>
      </c>
      <c r="U177">
        <v>1993</v>
      </c>
      <c r="V177">
        <v>258</v>
      </c>
      <c r="W177" t="s">
        <v>578</v>
      </c>
    </row>
    <row r="178" spans="1:23" hidden="1">
      <c r="A178" t="s">
        <v>389</v>
      </c>
      <c r="B178" t="s">
        <v>432</v>
      </c>
      <c r="C178" t="s">
        <v>438</v>
      </c>
      <c r="D178" t="s">
        <v>434</v>
      </c>
      <c r="E178" t="s">
        <v>439</v>
      </c>
      <c r="F178" t="s">
        <v>440</v>
      </c>
      <c r="G178" t="s">
        <v>470</v>
      </c>
      <c r="H178" t="s">
        <v>396</v>
      </c>
      <c r="I178" t="s">
        <v>397</v>
      </c>
      <c r="J178" t="s">
        <v>398</v>
      </c>
      <c r="K178" t="s">
        <v>399</v>
      </c>
      <c r="L178" t="s">
        <v>400</v>
      </c>
      <c r="M178">
        <v>10.134</v>
      </c>
      <c r="N178" s="4">
        <f t="shared" si="5"/>
        <v>101.34</v>
      </c>
      <c r="O178" t="s">
        <v>401</v>
      </c>
      <c r="P178" t="s">
        <v>402</v>
      </c>
      <c r="Q178" t="s">
        <v>420</v>
      </c>
      <c r="R178" t="s">
        <v>542</v>
      </c>
      <c r="S178" t="s">
        <v>405</v>
      </c>
      <c r="T178" t="s">
        <v>406</v>
      </c>
      <c r="U178">
        <v>1993</v>
      </c>
      <c r="V178">
        <v>258</v>
      </c>
      <c r="W178" t="s">
        <v>578</v>
      </c>
    </row>
    <row r="179" spans="1:23" hidden="1">
      <c r="A179" t="s">
        <v>389</v>
      </c>
      <c r="B179" t="s">
        <v>432</v>
      </c>
      <c r="C179" t="s">
        <v>464</v>
      </c>
      <c r="D179" t="s">
        <v>434</v>
      </c>
      <c r="E179" t="s">
        <v>593</v>
      </c>
      <c r="F179" t="s">
        <v>594</v>
      </c>
      <c r="G179" t="s">
        <v>595</v>
      </c>
      <c r="H179" t="s">
        <v>396</v>
      </c>
      <c r="I179" t="s">
        <v>397</v>
      </c>
      <c r="J179" t="s">
        <v>398</v>
      </c>
      <c r="K179" t="s">
        <v>399</v>
      </c>
      <c r="L179" t="s">
        <v>400</v>
      </c>
      <c r="M179">
        <v>12.384</v>
      </c>
      <c r="N179" s="4">
        <f t="shared" si="5"/>
        <v>123.84</v>
      </c>
      <c r="O179" t="s">
        <v>401</v>
      </c>
      <c r="P179" t="s">
        <v>402</v>
      </c>
      <c r="Q179" t="s">
        <v>420</v>
      </c>
      <c r="R179" t="s">
        <v>542</v>
      </c>
      <c r="S179" t="s">
        <v>405</v>
      </c>
      <c r="T179" t="s">
        <v>406</v>
      </c>
      <c r="U179">
        <v>1993</v>
      </c>
      <c r="V179">
        <v>258</v>
      </c>
      <c r="W179" t="s">
        <v>578</v>
      </c>
    </row>
    <row r="180" spans="1:23" hidden="1">
      <c r="A180" t="s">
        <v>389</v>
      </c>
      <c r="B180" t="s">
        <v>413</v>
      </c>
      <c r="C180" t="s">
        <v>596</v>
      </c>
      <c r="D180" t="s">
        <v>116</v>
      </c>
      <c r="E180" t="s">
        <v>597</v>
      </c>
      <c r="F180" t="s">
        <v>598</v>
      </c>
      <c r="G180" t="s">
        <v>599</v>
      </c>
      <c r="H180" t="s">
        <v>396</v>
      </c>
      <c r="I180" t="s">
        <v>397</v>
      </c>
      <c r="J180" t="s">
        <v>398</v>
      </c>
      <c r="K180" t="s">
        <v>399</v>
      </c>
      <c r="L180" t="s">
        <v>418</v>
      </c>
      <c r="M180">
        <v>12.641999999999999</v>
      </c>
      <c r="N180" s="4">
        <f t="shared" si="5"/>
        <v>126.41999999999999</v>
      </c>
      <c r="O180" t="s">
        <v>401</v>
      </c>
      <c r="P180" t="s">
        <v>402</v>
      </c>
      <c r="Q180" t="s">
        <v>420</v>
      </c>
      <c r="R180" t="s">
        <v>542</v>
      </c>
      <c r="S180" t="s">
        <v>405</v>
      </c>
      <c r="T180" t="s">
        <v>406</v>
      </c>
      <c r="U180">
        <v>1993</v>
      </c>
      <c r="V180">
        <v>258</v>
      </c>
      <c r="W180" t="s">
        <v>578</v>
      </c>
    </row>
    <row r="181" spans="1:23" hidden="1">
      <c r="A181" t="s">
        <v>389</v>
      </c>
      <c r="B181" t="s">
        <v>432</v>
      </c>
      <c r="C181" t="s">
        <v>433</v>
      </c>
      <c r="D181" t="s">
        <v>434</v>
      </c>
      <c r="E181" t="s">
        <v>435</v>
      </c>
      <c r="F181" t="s">
        <v>436</v>
      </c>
      <c r="G181" t="s">
        <v>588</v>
      </c>
      <c r="H181" t="s">
        <v>396</v>
      </c>
      <c r="I181" t="s">
        <v>397</v>
      </c>
      <c r="J181" t="s">
        <v>398</v>
      </c>
      <c r="K181" t="s">
        <v>399</v>
      </c>
      <c r="L181" t="s">
        <v>418</v>
      </c>
      <c r="M181">
        <v>12.78</v>
      </c>
      <c r="N181" s="4">
        <f t="shared" si="5"/>
        <v>127.8</v>
      </c>
      <c r="O181" t="s">
        <v>401</v>
      </c>
      <c r="P181" t="s">
        <v>402</v>
      </c>
      <c r="Q181" t="s">
        <v>420</v>
      </c>
      <c r="R181" t="s">
        <v>542</v>
      </c>
      <c r="S181" t="s">
        <v>405</v>
      </c>
      <c r="T181" t="s">
        <v>406</v>
      </c>
      <c r="U181">
        <v>1993</v>
      </c>
      <c r="V181">
        <v>258</v>
      </c>
      <c r="W181" t="s">
        <v>578</v>
      </c>
    </row>
    <row r="182" spans="1:23" hidden="1">
      <c r="A182" t="s">
        <v>389</v>
      </c>
      <c r="B182" t="s">
        <v>432</v>
      </c>
      <c r="C182" t="s">
        <v>483</v>
      </c>
      <c r="D182" t="s">
        <v>434</v>
      </c>
      <c r="E182" t="s">
        <v>600</v>
      </c>
      <c r="F182" t="s">
        <v>601</v>
      </c>
      <c r="G182" t="s">
        <v>602</v>
      </c>
      <c r="H182" t="s">
        <v>396</v>
      </c>
      <c r="I182" t="s">
        <v>397</v>
      </c>
      <c r="J182" t="s">
        <v>398</v>
      </c>
      <c r="K182" t="s">
        <v>399</v>
      </c>
      <c r="L182" t="s">
        <v>418</v>
      </c>
      <c r="M182">
        <v>14.117000000000001</v>
      </c>
      <c r="N182" s="4">
        <f t="shared" si="5"/>
        <v>141.17000000000002</v>
      </c>
      <c r="O182" t="s">
        <v>401</v>
      </c>
      <c r="P182" t="s">
        <v>402</v>
      </c>
      <c r="Q182" t="s">
        <v>420</v>
      </c>
      <c r="R182" t="s">
        <v>542</v>
      </c>
      <c r="S182" t="s">
        <v>405</v>
      </c>
      <c r="T182" t="s">
        <v>406</v>
      </c>
      <c r="U182">
        <v>1993</v>
      </c>
      <c r="V182">
        <v>258</v>
      </c>
      <c r="W182" t="s">
        <v>578</v>
      </c>
    </row>
    <row r="183" spans="1:23" hidden="1">
      <c r="A183" t="s">
        <v>389</v>
      </c>
      <c r="B183" t="s">
        <v>413</v>
      </c>
      <c r="C183" t="s">
        <v>414</v>
      </c>
      <c r="D183" t="s">
        <v>113</v>
      </c>
      <c r="E183" t="s">
        <v>415</v>
      </c>
      <c r="F183" t="s">
        <v>416</v>
      </c>
      <c r="G183" t="s">
        <v>592</v>
      </c>
      <c r="H183" t="s">
        <v>396</v>
      </c>
      <c r="I183" t="s">
        <v>397</v>
      </c>
      <c r="J183" t="s">
        <v>398</v>
      </c>
      <c r="K183" t="s">
        <v>399</v>
      </c>
      <c r="L183" t="s">
        <v>418</v>
      </c>
      <c r="M183">
        <v>23.977</v>
      </c>
      <c r="N183" s="4">
        <f t="shared" si="5"/>
        <v>239.77</v>
      </c>
      <c r="O183" t="s">
        <v>401</v>
      </c>
      <c r="P183" t="s">
        <v>402</v>
      </c>
      <c r="Q183" t="s">
        <v>420</v>
      </c>
      <c r="R183" t="s">
        <v>542</v>
      </c>
      <c r="S183" t="s">
        <v>405</v>
      </c>
      <c r="T183" t="s">
        <v>406</v>
      </c>
      <c r="U183">
        <v>1993</v>
      </c>
      <c r="V183">
        <v>258</v>
      </c>
      <c r="W183" t="s">
        <v>578</v>
      </c>
    </row>
    <row r="184" spans="1:23" hidden="1">
      <c r="A184" t="s">
        <v>389</v>
      </c>
      <c r="B184" t="s">
        <v>432</v>
      </c>
      <c r="C184" t="s">
        <v>438</v>
      </c>
      <c r="D184" t="s">
        <v>434</v>
      </c>
      <c r="E184" t="s">
        <v>439</v>
      </c>
      <c r="F184" t="s">
        <v>440</v>
      </c>
      <c r="G184" t="s">
        <v>470</v>
      </c>
      <c r="H184" t="s">
        <v>396</v>
      </c>
      <c r="I184" t="s">
        <v>397</v>
      </c>
      <c r="J184" t="s">
        <v>398</v>
      </c>
      <c r="K184" t="s">
        <v>399</v>
      </c>
      <c r="L184" t="s">
        <v>418</v>
      </c>
      <c r="M184">
        <v>27.724</v>
      </c>
      <c r="N184" s="4">
        <f t="shared" si="5"/>
        <v>277.24</v>
      </c>
      <c r="O184" t="s">
        <v>401</v>
      </c>
      <c r="P184" t="s">
        <v>402</v>
      </c>
      <c r="Q184" t="s">
        <v>420</v>
      </c>
      <c r="R184" t="s">
        <v>542</v>
      </c>
      <c r="S184" t="s">
        <v>405</v>
      </c>
      <c r="T184" t="s">
        <v>406</v>
      </c>
      <c r="U184">
        <v>1993</v>
      </c>
      <c r="V184">
        <v>258</v>
      </c>
      <c r="W184" t="s">
        <v>578</v>
      </c>
    </row>
    <row r="185" spans="1:23" hidden="1">
      <c r="A185" t="s">
        <v>389</v>
      </c>
      <c r="B185" t="s">
        <v>432</v>
      </c>
      <c r="C185" t="s">
        <v>581</v>
      </c>
      <c r="D185" t="s">
        <v>434</v>
      </c>
      <c r="E185" t="s">
        <v>480</v>
      </c>
      <c r="F185" t="s">
        <v>481</v>
      </c>
      <c r="G185" t="s">
        <v>587</v>
      </c>
      <c r="H185" t="s">
        <v>396</v>
      </c>
      <c r="I185" t="s">
        <v>397</v>
      </c>
      <c r="J185" t="s">
        <v>398</v>
      </c>
      <c r="K185" t="s">
        <v>399</v>
      </c>
      <c r="L185" t="s">
        <v>418</v>
      </c>
      <c r="M185">
        <v>28.443000000000001</v>
      </c>
      <c r="N185" s="4">
        <f t="shared" si="5"/>
        <v>284.43</v>
      </c>
      <c r="O185" t="s">
        <v>401</v>
      </c>
      <c r="P185" t="s">
        <v>402</v>
      </c>
      <c r="Q185" t="s">
        <v>420</v>
      </c>
      <c r="R185" t="s">
        <v>542</v>
      </c>
      <c r="S185" t="s">
        <v>405</v>
      </c>
      <c r="T185" t="s">
        <v>406</v>
      </c>
      <c r="U185">
        <v>1993</v>
      </c>
      <c r="V185">
        <v>258</v>
      </c>
      <c r="W185" t="s">
        <v>578</v>
      </c>
    </row>
    <row r="186" spans="1:23" hidden="1">
      <c r="A186" t="s">
        <v>389</v>
      </c>
      <c r="B186" t="s">
        <v>432</v>
      </c>
      <c r="C186" t="s">
        <v>483</v>
      </c>
      <c r="D186" t="s">
        <v>434</v>
      </c>
      <c r="E186" t="s">
        <v>600</v>
      </c>
      <c r="F186" t="s">
        <v>601</v>
      </c>
      <c r="G186" t="s">
        <v>602</v>
      </c>
      <c r="H186" t="s">
        <v>396</v>
      </c>
      <c r="I186" t="s">
        <v>397</v>
      </c>
      <c r="J186" t="s">
        <v>398</v>
      </c>
      <c r="K186" t="s">
        <v>399</v>
      </c>
      <c r="L186" t="s">
        <v>400</v>
      </c>
      <c r="M186">
        <v>39.841999999999999</v>
      </c>
      <c r="N186" s="4">
        <f t="shared" si="5"/>
        <v>398.41999999999996</v>
      </c>
      <c r="O186" t="s">
        <v>401</v>
      </c>
      <c r="P186" t="s">
        <v>402</v>
      </c>
      <c r="Q186" t="s">
        <v>420</v>
      </c>
      <c r="R186" t="s">
        <v>542</v>
      </c>
      <c r="S186" t="s">
        <v>405</v>
      </c>
      <c r="T186" t="s">
        <v>406</v>
      </c>
      <c r="U186">
        <v>1993</v>
      </c>
      <c r="V186">
        <v>258</v>
      </c>
      <c r="W186" t="s">
        <v>578</v>
      </c>
    </row>
    <row r="189" spans="1:23" s="41" customFormat="1">
      <c r="A189" s="41">
        <v>55</v>
      </c>
      <c r="B189" s="41" t="s">
        <v>610</v>
      </c>
      <c r="R189" s="41" t="s">
        <v>1164</v>
      </c>
      <c r="S189" s="41" t="s">
        <v>1174</v>
      </c>
      <c r="T189" s="41" t="s">
        <v>1175</v>
      </c>
    </row>
    <row r="190" spans="1:23" s="4" customFormat="1">
      <c r="A190" s="4">
        <v>87</v>
      </c>
      <c r="B190" s="4" t="s">
        <v>611</v>
      </c>
      <c r="R190" s="4" t="s">
        <v>1165</v>
      </c>
    </row>
    <row r="191" spans="1:23" s="41" customFormat="1">
      <c r="A191" s="41">
        <v>95</v>
      </c>
      <c r="B191" s="41" t="s">
        <v>612</v>
      </c>
      <c r="R191" s="41" t="s">
        <v>1166</v>
      </c>
    </row>
    <row r="192" spans="1:23" s="4" customFormat="1">
      <c r="A192" s="4">
        <v>98</v>
      </c>
      <c r="B192" s="4" t="s">
        <v>613</v>
      </c>
      <c r="R192" s="4" t="s">
        <v>1167</v>
      </c>
    </row>
    <row r="193" spans="1:18" s="4" customFormat="1">
      <c r="A193" s="4">
        <v>118</v>
      </c>
      <c r="B193" s="4" t="s">
        <v>614</v>
      </c>
      <c r="R193" s="4" t="s">
        <v>1168</v>
      </c>
    </row>
    <row r="194" spans="1:18" s="4" customFormat="1">
      <c r="A194" s="4">
        <v>125</v>
      </c>
      <c r="B194" s="4" t="s">
        <v>615</v>
      </c>
      <c r="R194" s="4" t="s">
        <v>1169</v>
      </c>
    </row>
    <row r="195" spans="1:18" s="4" customFormat="1">
      <c r="A195" s="4">
        <v>126</v>
      </c>
      <c r="B195" s="4" t="s">
        <v>616</v>
      </c>
      <c r="R195" s="4" t="s">
        <v>1170</v>
      </c>
    </row>
    <row r="196" spans="1:18" s="41" customFormat="1">
      <c r="A196" s="41">
        <v>151</v>
      </c>
      <c r="B196" s="41" t="s">
        <v>617</v>
      </c>
      <c r="R196" s="41" t="s">
        <v>1171</v>
      </c>
    </row>
    <row r="197" spans="1:18" s="41" customFormat="1">
      <c r="A197" s="41">
        <v>164</v>
      </c>
      <c r="B197" s="41" t="s">
        <v>618</v>
      </c>
      <c r="R197" s="41" t="s">
        <v>1171</v>
      </c>
    </row>
    <row r="198" spans="1:18" s="4" customFormat="1">
      <c r="A198" s="4">
        <v>197</v>
      </c>
      <c r="B198" s="4" t="s">
        <v>619</v>
      </c>
      <c r="R198" s="4" t="s">
        <v>1172</v>
      </c>
    </row>
    <row r="199" spans="1:18" s="41" customFormat="1">
      <c r="A199" s="41">
        <v>233</v>
      </c>
      <c r="B199" s="41" t="s">
        <v>620</v>
      </c>
      <c r="R199" s="41" t="s">
        <v>1171</v>
      </c>
    </row>
    <row r="200" spans="1:18" s="4" customFormat="1">
      <c r="A200" s="4">
        <v>258</v>
      </c>
      <c r="B200" s="4" t="s">
        <v>621</v>
      </c>
      <c r="R200" s="4" t="s">
        <v>1173</v>
      </c>
    </row>
  </sheetData>
  <autoFilter ref="A1:W186" xr:uid="{ADFC43AA-8842-4D56-B82A-BE4E2A79C783}">
    <filterColumn colId="7">
      <filters>
        <filter val="Holoplankton"/>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8319-69D3-4E2B-ADA4-C17E2AA60FD2}">
  <sheetPr filterMode="1"/>
  <dimension ref="A1:AE169"/>
  <sheetViews>
    <sheetView topLeftCell="C1" zoomScale="88" workbookViewId="0">
      <selection activeCell="Q191" sqref="Q191"/>
    </sheetView>
  </sheetViews>
  <sheetFormatPr defaultRowHeight="14.5"/>
  <cols>
    <col min="3" max="3" width="34.1796875" customWidth="1"/>
    <col min="13" max="13" width="21.453125" customWidth="1"/>
  </cols>
  <sheetData>
    <row r="1" spans="1:31" ht="16">
      <c r="A1" s="36" t="s">
        <v>905</v>
      </c>
      <c r="B1" s="36" t="s">
        <v>906</v>
      </c>
      <c r="C1" s="36" t="s">
        <v>0</v>
      </c>
      <c r="D1" s="36" t="s">
        <v>1</v>
      </c>
      <c r="E1" s="36" t="s">
        <v>2</v>
      </c>
      <c r="F1" s="36" t="s">
        <v>3</v>
      </c>
      <c r="G1" s="37" t="s">
        <v>4</v>
      </c>
      <c r="H1" s="37" t="s">
        <v>5</v>
      </c>
      <c r="I1" s="37" t="s">
        <v>6</v>
      </c>
      <c r="J1" s="37" t="s">
        <v>7</v>
      </c>
      <c r="K1" s="37" t="s">
        <v>8</v>
      </c>
      <c r="L1" s="36" t="s">
        <v>9</v>
      </c>
      <c r="M1" s="36" t="s">
        <v>150</v>
      </c>
      <c r="N1" s="36" t="s">
        <v>10</v>
      </c>
      <c r="O1" s="36" t="s">
        <v>11</v>
      </c>
      <c r="P1" s="36" t="s">
        <v>12</v>
      </c>
      <c r="Q1" s="36" t="s">
        <v>13</v>
      </c>
      <c r="R1" s="36" t="s">
        <v>14</v>
      </c>
      <c r="S1" s="36" t="s">
        <v>15</v>
      </c>
      <c r="T1" s="36" t="s">
        <v>16</v>
      </c>
      <c r="U1" s="36" t="s">
        <v>193</v>
      </c>
      <c r="V1" s="36" t="s">
        <v>17</v>
      </c>
      <c r="W1" s="36" t="s">
        <v>18</v>
      </c>
      <c r="X1" s="36" t="s">
        <v>19</v>
      </c>
      <c r="Y1" s="36" t="s">
        <v>20</v>
      </c>
      <c r="Z1" s="36" t="s">
        <v>21</v>
      </c>
      <c r="AA1" s="36" t="s">
        <v>22</v>
      </c>
      <c r="AB1" s="36" t="s">
        <v>23</v>
      </c>
      <c r="AC1" s="36" t="s">
        <v>24</v>
      </c>
      <c r="AD1" s="36" t="s">
        <v>907</v>
      </c>
      <c r="AE1" s="36" t="s">
        <v>908</v>
      </c>
    </row>
    <row r="2" spans="1:31" s="6" customFormat="1" hidden="1">
      <c r="A2" s="6">
        <v>222</v>
      </c>
      <c r="B2" s="6" t="s">
        <v>73</v>
      </c>
      <c r="C2" s="6" t="s">
        <v>688</v>
      </c>
      <c r="D2" s="6">
        <v>1996</v>
      </c>
      <c r="E2" s="6" t="s">
        <v>62</v>
      </c>
      <c r="F2" s="6" t="s">
        <v>147</v>
      </c>
      <c r="G2" s="16">
        <v>54.19</v>
      </c>
      <c r="H2" s="16">
        <v>7.9</v>
      </c>
      <c r="I2" s="16">
        <v>1974</v>
      </c>
      <c r="J2" s="16">
        <v>1994</v>
      </c>
      <c r="K2" s="16">
        <v>21</v>
      </c>
      <c r="L2" s="6" t="s">
        <v>623</v>
      </c>
      <c r="M2" s="6" t="s">
        <v>151</v>
      </c>
      <c r="N2" s="6" t="s">
        <v>654</v>
      </c>
      <c r="P2" s="6" t="s">
        <v>254</v>
      </c>
      <c r="Q2" s="35"/>
      <c r="R2" s="35"/>
      <c r="S2" s="35"/>
      <c r="T2" s="35"/>
      <c r="U2" s="6" t="s">
        <v>40</v>
      </c>
      <c r="V2" s="6" t="s">
        <v>42</v>
      </c>
      <c r="W2" s="6" t="s">
        <v>42</v>
      </c>
      <c r="X2" s="6" t="s">
        <v>73</v>
      </c>
      <c r="AA2" s="6" t="s">
        <v>689</v>
      </c>
    </row>
    <row r="3" spans="1:31" s="6" customFormat="1" hidden="1">
      <c r="A3" s="6">
        <v>223</v>
      </c>
      <c r="B3" s="6" t="s">
        <v>73</v>
      </c>
      <c r="C3" s="6" t="s">
        <v>688</v>
      </c>
      <c r="D3" s="6">
        <v>1996</v>
      </c>
      <c r="E3" s="6" t="s">
        <v>62</v>
      </c>
      <c r="F3" s="6" t="s">
        <v>147</v>
      </c>
      <c r="G3" s="16">
        <v>54.19</v>
      </c>
      <c r="H3" s="16">
        <v>7.9</v>
      </c>
      <c r="I3" s="16">
        <v>1974</v>
      </c>
      <c r="J3" s="16">
        <v>1994</v>
      </c>
      <c r="K3" s="16">
        <v>21</v>
      </c>
      <c r="L3" s="6" t="s">
        <v>623</v>
      </c>
      <c r="M3" s="6" t="s">
        <v>151</v>
      </c>
      <c r="N3" s="6" t="s">
        <v>654</v>
      </c>
      <c r="P3" s="6" t="s">
        <v>232</v>
      </c>
      <c r="Q3" s="35"/>
      <c r="R3" s="35"/>
      <c r="S3" s="35"/>
      <c r="T3" s="35"/>
      <c r="U3" s="6" t="s">
        <v>40</v>
      </c>
      <c r="V3" s="6" t="s">
        <v>42</v>
      </c>
      <c r="W3" s="6" t="s">
        <v>42</v>
      </c>
      <c r="X3" s="6" t="s">
        <v>73</v>
      </c>
      <c r="AA3" s="6" t="s">
        <v>689</v>
      </c>
    </row>
    <row r="4" spans="1:31" s="6" customFormat="1" hidden="1">
      <c r="A4" s="6">
        <v>224</v>
      </c>
      <c r="B4" s="6" t="s">
        <v>73</v>
      </c>
      <c r="C4" s="6" t="s">
        <v>688</v>
      </c>
      <c r="D4" s="6">
        <v>1996</v>
      </c>
      <c r="E4" s="6" t="s">
        <v>62</v>
      </c>
      <c r="F4" s="6" t="s">
        <v>147</v>
      </c>
      <c r="G4" s="16">
        <v>54.19</v>
      </c>
      <c r="H4" s="16">
        <v>7.9</v>
      </c>
      <c r="I4" s="16">
        <v>1974</v>
      </c>
      <c r="J4" s="16">
        <v>1994</v>
      </c>
      <c r="K4" s="16">
        <v>21</v>
      </c>
      <c r="L4" s="6" t="s">
        <v>623</v>
      </c>
      <c r="M4" s="6" t="s">
        <v>151</v>
      </c>
      <c r="N4" s="6" t="s">
        <v>36</v>
      </c>
      <c r="P4" s="6" t="s">
        <v>690</v>
      </c>
      <c r="Q4" s="35"/>
      <c r="R4" s="35"/>
      <c r="S4" s="35"/>
      <c r="T4" s="35"/>
      <c r="U4" s="6" t="s">
        <v>40</v>
      </c>
      <c r="V4" s="6" t="s">
        <v>42</v>
      </c>
      <c r="W4" s="6" t="s">
        <v>42</v>
      </c>
      <c r="X4" s="6" t="s">
        <v>73</v>
      </c>
      <c r="AA4" s="6" t="s">
        <v>689</v>
      </c>
    </row>
    <row r="5" spans="1:31" s="6" customFormat="1" hidden="1">
      <c r="A5" s="6">
        <v>225</v>
      </c>
      <c r="B5" s="6" t="s">
        <v>73</v>
      </c>
      <c r="C5" s="6" t="s">
        <v>688</v>
      </c>
      <c r="D5" s="6">
        <v>1996</v>
      </c>
      <c r="E5" s="6" t="s">
        <v>62</v>
      </c>
      <c r="F5" s="6" t="s">
        <v>147</v>
      </c>
      <c r="G5" s="16">
        <v>54.19</v>
      </c>
      <c r="H5" s="16">
        <v>7.9</v>
      </c>
      <c r="I5" s="16">
        <v>1974</v>
      </c>
      <c r="J5" s="16">
        <v>1994</v>
      </c>
      <c r="K5" s="16">
        <v>21</v>
      </c>
      <c r="L5" s="6" t="s">
        <v>623</v>
      </c>
      <c r="M5" s="6" t="s">
        <v>151</v>
      </c>
      <c r="N5" s="6" t="s">
        <v>36</v>
      </c>
      <c r="P5" s="6" t="s">
        <v>256</v>
      </c>
      <c r="Q5" s="35"/>
      <c r="R5" s="35"/>
      <c r="S5" s="35"/>
      <c r="T5" s="35"/>
      <c r="U5" s="6" t="s">
        <v>40</v>
      </c>
      <c r="V5" s="6" t="s">
        <v>42</v>
      </c>
      <c r="W5" s="6" t="s">
        <v>42</v>
      </c>
      <c r="X5" s="6" t="s">
        <v>73</v>
      </c>
      <c r="AA5" s="6" t="s">
        <v>689</v>
      </c>
    </row>
    <row r="6" spans="1:31" s="6" customFormat="1" hidden="1">
      <c r="A6" s="6">
        <v>226</v>
      </c>
      <c r="B6" s="6" t="s">
        <v>73</v>
      </c>
      <c r="C6" s="6" t="s">
        <v>688</v>
      </c>
      <c r="D6" s="6">
        <v>1996</v>
      </c>
      <c r="E6" s="6" t="s">
        <v>62</v>
      </c>
      <c r="F6" s="6" t="s">
        <v>147</v>
      </c>
      <c r="G6" s="16">
        <v>54.19</v>
      </c>
      <c r="H6" s="16">
        <v>7.9</v>
      </c>
      <c r="I6" s="16">
        <v>1974</v>
      </c>
      <c r="J6" s="16">
        <v>1994</v>
      </c>
      <c r="K6" s="16">
        <v>21</v>
      </c>
      <c r="L6" s="6" t="s">
        <v>623</v>
      </c>
      <c r="M6" s="6" t="s">
        <v>151</v>
      </c>
      <c r="N6" s="6" t="s">
        <v>36</v>
      </c>
      <c r="P6" s="6" t="s">
        <v>109</v>
      </c>
      <c r="Q6" s="35"/>
      <c r="R6" s="35"/>
      <c r="S6" s="35"/>
      <c r="T6" s="35"/>
      <c r="U6" s="6" t="s">
        <v>40</v>
      </c>
      <c r="V6" s="6" t="s">
        <v>42</v>
      </c>
      <c r="W6" s="6" t="s">
        <v>42</v>
      </c>
      <c r="X6" s="6" t="s">
        <v>73</v>
      </c>
      <c r="AA6" s="6" t="s">
        <v>689</v>
      </c>
    </row>
    <row r="7" spans="1:31" s="6" customFormat="1" hidden="1">
      <c r="A7" s="6">
        <v>233</v>
      </c>
      <c r="B7" s="6" t="s">
        <v>73</v>
      </c>
      <c r="C7" s="6" t="s">
        <v>688</v>
      </c>
      <c r="D7" s="6">
        <v>1996</v>
      </c>
      <c r="E7" s="6" t="s">
        <v>62</v>
      </c>
      <c r="F7" s="6" t="s">
        <v>147</v>
      </c>
      <c r="G7" s="16">
        <v>54.19</v>
      </c>
      <c r="H7" s="16">
        <v>7.9</v>
      </c>
      <c r="I7" s="16">
        <v>1974</v>
      </c>
      <c r="J7" s="16">
        <v>1994</v>
      </c>
      <c r="K7" s="16">
        <v>21</v>
      </c>
      <c r="L7" s="6" t="s">
        <v>623</v>
      </c>
      <c r="M7" s="6" t="s">
        <v>151</v>
      </c>
      <c r="N7" s="6" t="s">
        <v>654</v>
      </c>
      <c r="P7" s="6" t="s">
        <v>117</v>
      </c>
      <c r="Q7" s="35"/>
      <c r="R7" s="35"/>
      <c r="S7" s="35"/>
      <c r="T7" s="35"/>
      <c r="U7" s="6" t="s">
        <v>40</v>
      </c>
      <c r="V7" s="6" t="s">
        <v>42</v>
      </c>
      <c r="W7" s="6" t="s">
        <v>42</v>
      </c>
      <c r="X7" s="6" t="s">
        <v>73</v>
      </c>
      <c r="AA7" s="6" t="s">
        <v>689</v>
      </c>
    </row>
    <row r="8" spans="1:31" s="6" customFormat="1" hidden="1">
      <c r="A8" s="6">
        <v>234</v>
      </c>
      <c r="B8" s="6" t="s">
        <v>73</v>
      </c>
      <c r="C8" s="6" t="s">
        <v>688</v>
      </c>
      <c r="D8" s="6">
        <v>1996</v>
      </c>
      <c r="E8" s="6" t="s">
        <v>62</v>
      </c>
      <c r="F8" s="6" t="s">
        <v>147</v>
      </c>
      <c r="G8" s="16">
        <v>54.19</v>
      </c>
      <c r="H8" s="16">
        <v>7.9</v>
      </c>
      <c r="I8" s="16">
        <v>1974</v>
      </c>
      <c r="J8" s="16">
        <v>1994</v>
      </c>
      <c r="K8" s="16">
        <v>21</v>
      </c>
      <c r="L8" s="6" t="s">
        <v>623</v>
      </c>
      <c r="M8" s="6" t="s">
        <v>151</v>
      </c>
      <c r="N8" s="6" t="s">
        <v>654</v>
      </c>
      <c r="P8" s="6" t="s">
        <v>258</v>
      </c>
      <c r="Q8" s="35"/>
      <c r="R8" s="35"/>
      <c r="S8" s="35"/>
      <c r="T8" s="35"/>
      <c r="U8" s="6" t="s">
        <v>40</v>
      </c>
      <c r="V8" s="6" t="s">
        <v>642</v>
      </c>
      <c r="W8" s="6" t="s">
        <v>42</v>
      </c>
      <c r="X8" s="6" t="s">
        <v>73</v>
      </c>
      <c r="AA8" s="6" t="s">
        <v>689</v>
      </c>
    </row>
    <row r="9" spans="1:31" s="6" customFormat="1" hidden="1">
      <c r="A9" s="6">
        <v>235</v>
      </c>
      <c r="B9" s="6" t="s">
        <v>73</v>
      </c>
      <c r="C9" s="6" t="s">
        <v>688</v>
      </c>
      <c r="D9" s="6">
        <v>1996</v>
      </c>
      <c r="E9" s="6" t="s">
        <v>62</v>
      </c>
      <c r="F9" s="6" t="s">
        <v>147</v>
      </c>
      <c r="G9" s="16">
        <v>54.19</v>
      </c>
      <c r="H9" s="16">
        <v>7.9</v>
      </c>
      <c r="I9" s="16">
        <v>1974</v>
      </c>
      <c r="J9" s="16">
        <v>1994</v>
      </c>
      <c r="K9" s="16">
        <v>21</v>
      </c>
      <c r="L9" s="6" t="s">
        <v>623</v>
      </c>
      <c r="M9" s="6" t="s">
        <v>151</v>
      </c>
      <c r="N9" s="6" t="s">
        <v>654</v>
      </c>
      <c r="P9" s="6" t="s">
        <v>237</v>
      </c>
      <c r="Q9" s="35"/>
      <c r="R9" s="35"/>
      <c r="S9" s="35"/>
      <c r="T9" s="35"/>
      <c r="U9" s="6" t="s">
        <v>40</v>
      </c>
      <c r="V9" s="6" t="s">
        <v>42</v>
      </c>
      <c r="W9" s="6" t="s">
        <v>42</v>
      </c>
      <c r="X9" s="6" t="s">
        <v>73</v>
      </c>
      <c r="AA9" s="6" t="s">
        <v>689</v>
      </c>
    </row>
    <row r="10" spans="1:31" s="6" customFormat="1" hidden="1">
      <c r="A10" s="6">
        <v>243</v>
      </c>
      <c r="B10" s="6" t="s">
        <v>73</v>
      </c>
      <c r="C10" s="6" t="s">
        <v>688</v>
      </c>
      <c r="D10" s="6">
        <v>1996</v>
      </c>
      <c r="E10" s="6" t="s">
        <v>62</v>
      </c>
      <c r="F10" s="6" t="s">
        <v>147</v>
      </c>
      <c r="G10" s="16">
        <v>54.19</v>
      </c>
      <c r="H10" s="16">
        <v>7.9</v>
      </c>
      <c r="I10" s="16">
        <v>1974</v>
      </c>
      <c r="J10" s="16">
        <v>1994</v>
      </c>
      <c r="K10" s="16">
        <v>21</v>
      </c>
      <c r="L10" s="6" t="s">
        <v>623</v>
      </c>
      <c r="M10" s="6" t="s">
        <v>151</v>
      </c>
      <c r="N10" s="6" t="s">
        <v>396</v>
      </c>
      <c r="P10" s="6" t="s">
        <v>260</v>
      </c>
      <c r="Q10" s="35"/>
      <c r="R10" s="35"/>
      <c r="S10" s="35"/>
      <c r="T10" s="35"/>
      <c r="U10" s="6" t="s">
        <v>40</v>
      </c>
      <c r="V10" s="6" t="s">
        <v>642</v>
      </c>
      <c r="W10" s="6" t="s">
        <v>42</v>
      </c>
      <c r="X10" s="6" t="s">
        <v>73</v>
      </c>
      <c r="AA10" s="6" t="s">
        <v>689</v>
      </c>
    </row>
    <row r="11" spans="1:31" s="6" customFormat="1" hidden="1">
      <c r="A11" s="6">
        <v>245</v>
      </c>
      <c r="B11" s="6" t="s">
        <v>73</v>
      </c>
      <c r="C11" s="6" t="s">
        <v>688</v>
      </c>
      <c r="D11" s="6">
        <v>1996</v>
      </c>
      <c r="E11" s="6" t="s">
        <v>62</v>
      </c>
      <c r="F11" s="6" t="s">
        <v>147</v>
      </c>
      <c r="G11" s="16">
        <v>54.19</v>
      </c>
      <c r="H11" s="16">
        <v>7.9</v>
      </c>
      <c r="I11" s="16">
        <v>1974</v>
      </c>
      <c r="J11" s="16">
        <v>1994</v>
      </c>
      <c r="K11" s="16">
        <v>21</v>
      </c>
      <c r="L11" s="6" t="s">
        <v>623</v>
      </c>
      <c r="M11" s="6" t="s">
        <v>151</v>
      </c>
      <c r="N11" s="6" t="s">
        <v>396</v>
      </c>
      <c r="P11" s="6" t="s">
        <v>262</v>
      </c>
      <c r="Q11" s="35"/>
      <c r="R11" s="35"/>
      <c r="S11" s="35"/>
      <c r="T11" s="35"/>
      <c r="U11" s="6" t="s">
        <v>40</v>
      </c>
      <c r="V11" s="6" t="s">
        <v>642</v>
      </c>
      <c r="W11" s="6" t="s">
        <v>42</v>
      </c>
      <c r="X11" s="6" t="s">
        <v>73</v>
      </c>
      <c r="AA11" s="6" t="s">
        <v>689</v>
      </c>
    </row>
    <row r="12" spans="1:31" s="6" customFormat="1" hidden="1">
      <c r="A12" s="6">
        <v>246</v>
      </c>
      <c r="B12" s="6" t="s">
        <v>73</v>
      </c>
      <c r="C12" s="6" t="s">
        <v>688</v>
      </c>
      <c r="D12" s="6">
        <v>1996</v>
      </c>
      <c r="E12" s="6" t="s">
        <v>62</v>
      </c>
      <c r="F12" s="6" t="s">
        <v>147</v>
      </c>
      <c r="G12" s="16">
        <v>54.19</v>
      </c>
      <c r="H12" s="16">
        <v>7.9</v>
      </c>
      <c r="I12" s="16">
        <v>1974</v>
      </c>
      <c r="J12" s="16">
        <v>1994</v>
      </c>
      <c r="K12" s="16">
        <v>21</v>
      </c>
      <c r="L12" s="6" t="s">
        <v>623</v>
      </c>
      <c r="M12" s="6" t="s">
        <v>151</v>
      </c>
      <c r="N12" s="6" t="s">
        <v>654</v>
      </c>
      <c r="P12" s="6" t="s">
        <v>255</v>
      </c>
      <c r="Q12" s="35"/>
      <c r="R12" s="35"/>
      <c r="S12" s="35"/>
      <c r="T12" s="35"/>
      <c r="U12" s="6" t="s">
        <v>40</v>
      </c>
      <c r="V12" s="6" t="s">
        <v>42</v>
      </c>
      <c r="W12" s="6" t="s">
        <v>42</v>
      </c>
      <c r="X12" s="6" t="s">
        <v>73</v>
      </c>
      <c r="AA12" s="6" t="s">
        <v>689</v>
      </c>
    </row>
    <row r="13" spans="1:31" s="6" customFormat="1" hidden="1">
      <c r="A13" s="6">
        <v>407</v>
      </c>
      <c r="B13" s="6" t="s">
        <v>650</v>
      </c>
      <c r="C13" s="6" t="s">
        <v>685</v>
      </c>
      <c r="D13" s="6">
        <v>1998</v>
      </c>
      <c r="E13" s="6" t="s">
        <v>686</v>
      </c>
      <c r="F13" s="6" t="s">
        <v>147</v>
      </c>
      <c r="G13" s="16">
        <v>50</v>
      </c>
      <c r="H13" s="16">
        <v>-145</v>
      </c>
      <c r="I13" s="16">
        <v>1968</v>
      </c>
      <c r="J13" s="16">
        <v>1996</v>
      </c>
      <c r="K13" s="16">
        <v>29</v>
      </c>
      <c r="L13" s="6" t="s">
        <v>623</v>
      </c>
      <c r="M13" s="6" t="s">
        <v>151</v>
      </c>
      <c r="N13" s="6" t="s">
        <v>36</v>
      </c>
      <c r="O13" s="6" t="s">
        <v>687</v>
      </c>
      <c r="P13" s="6" t="s">
        <v>226</v>
      </c>
      <c r="U13" s="6">
        <v>-10.34</v>
      </c>
      <c r="V13" s="6" t="s">
        <v>42</v>
      </c>
      <c r="W13" s="6" t="s">
        <v>42</v>
      </c>
      <c r="X13" s="6" t="s">
        <v>656</v>
      </c>
    </row>
    <row r="14" spans="1:31" s="6" customFormat="1" ht="16" hidden="1">
      <c r="A14" s="6">
        <v>405</v>
      </c>
      <c r="B14" s="6" t="s">
        <v>650</v>
      </c>
      <c r="C14" s="6" t="s">
        <v>682</v>
      </c>
      <c r="D14" s="6">
        <v>2001</v>
      </c>
      <c r="E14" s="6" t="s">
        <v>683</v>
      </c>
      <c r="F14" s="6" t="s">
        <v>147</v>
      </c>
      <c r="G14" s="16">
        <v>50</v>
      </c>
      <c r="H14" s="16">
        <v>145</v>
      </c>
      <c r="I14" s="16">
        <v>1975</v>
      </c>
      <c r="J14" s="16">
        <v>1996</v>
      </c>
      <c r="K14" s="16">
        <v>22</v>
      </c>
      <c r="L14" s="6" t="s">
        <v>659</v>
      </c>
      <c r="M14" s="6" t="s">
        <v>151</v>
      </c>
      <c r="N14" s="17" t="s">
        <v>36</v>
      </c>
      <c r="O14" s="6" t="s">
        <v>36</v>
      </c>
      <c r="P14" s="6" t="s">
        <v>226</v>
      </c>
      <c r="U14" s="6">
        <v>-22</v>
      </c>
      <c r="V14" s="6" t="s">
        <v>42</v>
      </c>
      <c r="W14" s="6" t="s">
        <v>42</v>
      </c>
      <c r="X14" s="6" t="s">
        <v>684</v>
      </c>
    </row>
    <row r="15" spans="1:31" s="6" customFormat="1" hidden="1">
      <c r="A15" s="6">
        <v>406</v>
      </c>
      <c r="B15" s="6" t="s">
        <v>650</v>
      </c>
      <c r="C15" s="6" t="s">
        <v>682</v>
      </c>
      <c r="D15" s="6">
        <v>2001</v>
      </c>
      <c r="E15" s="6" t="s">
        <v>683</v>
      </c>
      <c r="F15" s="6" t="s">
        <v>147</v>
      </c>
      <c r="G15" s="16">
        <v>48.65</v>
      </c>
      <c r="H15" s="16">
        <v>-126.67</v>
      </c>
      <c r="I15" s="16">
        <v>1975</v>
      </c>
      <c r="J15" s="16">
        <v>1998</v>
      </c>
      <c r="K15" s="16">
        <v>24</v>
      </c>
      <c r="L15" s="6" t="s">
        <v>659</v>
      </c>
      <c r="M15" s="6" t="s">
        <v>151</v>
      </c>
      <c r="N15" s="6" t="s">
        <v>36</v>
      </c>
      <c r="O15" s="6" t="s">
        <v>36</v>
      </c>
      <c r="P15" s="6" t="s">
        <v>226</v>
      </c>
      <c r="U15" s="6">
        <v>-13</v>
      </c>
      <c r="V15" s="6" t="s">
        <v>42</v>
      </c>
      <c r="W15" s="6" t="s">
        <v>42</v>
      </c>
      <c r="X15" s="6" t="s">
        <v>684</v>
      </c>
    </row>
    <row r="16" spans="1:31" s="6" customFormat="1" hidden="1">
      <c r="A16" s="6">
        <v>340</v>
      </c>
      <c r="B16" s="6" t="s">
        <v>650</v>
      </c>
      <c r="C16" s="6" t="s">
        <v>662</v>
      </c>
      <c r="D16" s="6">
        <v>2004</v>
      </c>
      <c r="E16" s="6" t="s">
        <v>62</v>
      </c>
      <c r="F16" s="6" t="s">
        <v>147</v>
      </c>
      <c r="G16" s="16">
        <v>55</v>
      </c>
      <c r="H16" s="16">
        <v>5</v>
      </c>
      <c r="I16" s="16">
        <v>1958</v>
      </c>
      <c r="J16" s="16">
        <v>2002</v>
      </c>
      <c r="K16" s="16">
        <v>45</v>
      </c>
      <c r="L16" s="6" t="s">
        <v>623</v>
      </c>
      <c r="M16" s="6" t="s">
        <v>151</v>
      </c>
      <c r="N16" s="6" t="s">
        <v>654</v>
      </c>
      <c r="O16" s="6" t="s">
        <v>40</v>
      </c>
      <c r="P16" s="6" t="s">
        <v>663</v>
      </c>
      <c r="U16" s="6">
        <v>-6.6810718329999998</v>
      </c>
      <c r="V16" s="6" t="s">
        <v>42</v>
      </c>
      <c r="W16" s="6" t="s">
        <v>42</v>
      </c>
      <c r="X16" s="6" t="s">
        <v>664</v>
      </c>
    </row>
    <row r="17" spans="1:24" s="6" customFormat="1" hidden="1">
      <c r="A17" s="6">
        <v>346</v>
      </c>
      <c r="B17" s="6" t="s">
        <v>650</v>
      </c>
      <c r="C17" s="6" t="s">
        <v>662</v>
      </c>
      <c r="D17" s="6">
        <v>2004</v>
      </c>
      <c r="E17" s="6" t="s">
        <v>62</v>
      </c>
      <c r="F17" s="6" t="s">
        <v>147</v>
      </c>
      <c r="G17" s="16">
        <v>55</v>
      </c>
      <c r="H17" s="16">
        <v>5</v>
      </c>
      <c r="I17" s="16">
        <v>1958</v>
      </c>
      <c r="J17" s="16">
        <v>2002</v>
      </c>
      <c r="K17" s="16">
        <v>45</v>
      </c>
      <c r="L17" s="6" t="s">
        <v>623</v>
      </c>
      <c r="M17" s="6" t="s">
        <v>151</v>
      </c>
      <c r="N17" s="6" t="s">
        <v>36</v>
      </c>
      <c r="O17" s="6" t="s">
        <v>36</v>
      </c>
      <c r="P17" s="6" t="s">
        <v>665</v>
      </c>
      <c r="U17" s="6">
        <v>-5.7319899999999997</v>
      </c>
      <c r="V17" s="6" t="s">
        <v>42</v>
      </c>
      <c r="W17" s="6" t="s">
        <v>42</v>
      </c>
      <c r="X17" s="6" t="s">
        <v>664</v>
      </c>
    </row>
    <row r="18" spans="1:24" s="6" customFormat="1" hidden="1">
      <c r="A18" s="6">
        <v>348</v>
      </c>
      <c r="B18" s="6" t="s">
        <v>650</v>
      </c>
      <c r="C18" s="6" t="s">
        <v>662</v>
      </c>
      <c r="D18" s="6">
        <v>2004</v>
      </c>
      <c r="E18" s="6" t="s">
        <v>62</v>
      </c>
      <c r="F18" s="6" t="s">
        <v>147</v>
      </c>
      <c r="G18" s="16">
        <v>55</v>
      </c>
      <c r="H18" s="16">
        <v>5</v>
      </c>
      <c r="I18" s="16">
        <v>1958</v>
      </c>
      <c r="J18" s="16">
        <v>2002</v>
      </c>
      <c r="K18" s="16">
        <v>45</v>
      </c>
      <c r="L18" s="6" t="s">
        <v>623</v>
      </c>
      <c r="M18" s="6" t="s">
        <v>151</v>
      </c>
      <c r="N18" s="6" t="s">
        <v>36</v>
      </c>
      <c r="O18" s="6" t="s">
        <v>36</v>
      </c>
      <c r="P18" s="6" t="s">
        <v>666</v>
      </c>
      <c r="U18" s="6">
        <v>-4.9787362780000004</v>
      </c>
      <c r="V18" s="6" t="s">
        <v>42</v>
      </c>
      <c r="W18" s="6" t="s">
        <v>42</v>
      </c>
      <c r="X18" s="6" t="s">
        <v>664</v>
      </c>
    </row>
    <row r="19" spans="1:24" s="6" customFormat="1" hidden="1">
      <c r="A19" s="6">
        <v>353</v>
      </c>
      <c r="B19" s="6" t="s">
        <v>650</v>
      </c>
      <c r="C19" s="6" t="s">
        <v>662</v>
      </c>
      <c r="D19" s="6">
        <v>2004</v>
      </c>
      <c r="E19" s="6" t="s">
        <v>62</v>
      </c>
      <c r="F19" s="6" t="s">
        <v>147</v>
      </c>
      <c r="G19" s="16">
        <v>55</v>
      </c>
      <c r="H19" s="16">
        <v>5</v>
      </c>
      <c r="I19" s="16">
        <v>1958</v>
      </c>
      <c r="J19" s="16">
        <v>2002</v>
      </c>
      <c r="K19" s="16">
        <v>45</v>
      </c>
      <c r="L19" s="6" t="s">
        <v>623</v>
      </c>
      <c r="M19" s="6" t="s">
        <v>151</v>
      </c>
      <c r="N19" s="6" t="s">
        <v>36</v>
      </c>
      <c r="O19" s="6" t="s">
        <v>36</v>
      </c>
      <c r="P19" s="6" t="s">
        <v>56</v>
      </c>
      <c r="U19" s="6">
        <v>-3.5302630000000002</v>
      </c>
      <c r="V19" s="6" t="s">
        <v>42</v>
      </c>
      <c r="W19" s="6" t="s">
        <v>42</v>
      </c>
      <c r="X19" s="6" t="s">
        <v>664</v>
      </c>
    </row>
    <row r="20" spans="1:24" s="6" customFormat="1" hidden="1">
      <c r="A20" s="6">
        <v>369</v>
      </c>
      <c r="B20" s="6" t="s">
        <v>650</v>
      </c>
      <c r="C20" s="6" t="s">
        <v>662</v>
      </c>
      <c r="D20" s="6">
        <v>2004</v>
      </c>
      <c r="E20" s="6" t="s">
        <v>62</v>
      </c>
      <c r="F20" s="6" t="s">
        <v>147</v>
      </c>
      <c r="G20" s="16">
        <v>55</v>
      </c>
      <c r="H20" s="16">
        <v>5</v>
      </c>
      <c r="I20" s="16">
        <v>1958</v>
      </c>
      <c r="J20" s="16">
        <v>2002</v>
      </c>
      <c r="K20" s="16">
        <v>45</v>
      </c>
      <c r="L20" s="6" t="s">
        <v>623</v>
      </c>
      <c r="M20" s="6" t="s">
        <v>151</v>
      </c>
      <c r="N20" s="6" t="s">
        <v>36</v>
      </c>
      <c r="O20" s="6" t="s">
        <v>36</v>
      </c>
      <c r="P20" s="6" t="s">
        <v>110</v>
      </c>
      <c r="U20" s="6">
        <v>-3.1332497780000002</v>
      </c>
      <c r="V20" s="6" t="s">
        <v>42</v>
      </c>
      <c r="W20" s="6" t="s">
        <v>42</v>
      </c>
      <c r="X20" s="6" t="s">
        <v>664</v>
      </c>
    </row>
    <row r="21" spans="1:24" s="6" customFormat="1" hidden="1">
      <c r="A21" s="6">
        <v>370</v>
      </c>
      <c r="B21" s="6" t="s">
        <v>650</v>
      </c>
      <c r="C21" s="6" t="s">
        <v>662</v>
      </c>
      <c r="D21" s="6">
        <v>2004</v>
      </c>
      <c r="E21" s="6" t="s">
        <v>62</v>
      </c>
      <c r="F21" s="6" t="s">
        <v>147</v>
      </c>
      <c r="G21" s="16">
        <v>55</v>
      </c>
      <c r="H21" s="16">
        <v>5</v>
      </c>
      <c r="I21" s="16">
        <v>1958</v>
      </c>
      <c r="J21" s="16">
        <v>2002</v>
      </c>
      <c r="K21" s="16">
        <v>45</v>
      </c>
      <c r="L21" s="6" t="s">
        <v>623</v>
      </c>
      <c r="M21" s="6" t="s">
        <v>151</v>
      </c>
      <c r="N21" s="6" t="s">
        <v>36</v>
      </c>
      <c r="O21" s="6" t="s">
        <v>36</v>
      </c>
      <c r="P21" s="6" t="s">
        <v>253</v>
      </c>
      <c r="U21" s="6">
        <v>-2.711951489</v>
      </c>
      <c r="V21" s="6" t="s">
        <v>42</v>
      </c>
      <c r="W21" s="6" t="s">
        <v>42</v>
      </c>
      <c r="X21" s="6" t="s">
        <v>664</v>
      </c>
    </row>
    <row r="22" spans="1:24" s="6" customFormat="1" hidden="1">
      <c r="A22" s="6">
        <v>371</v>
      </c>
      <c r="B22" s="6" t="s">
        <v>650</v>
      </c>
      <c r="C22" s="6" t="s">
        <v>662</v>
      </c>
      <c r="D22" s="6">
        <v>2004</v>
      </c>
      <c r="E22" s="6" t="s">
        <v>62</v>
      </c>
      <c r="F22" s="6" t="s">
        <v>147</v>
      </c>
      <c r="G22" s="16">
        <v>55</v>
      </c>
      <c r="H22" s="16">
        <v>5</v>
      </c>
      <c r="I22" s="16">
        <v>1958</v>
      </c>
      <c r="J22" s="16">
        <v>2002</v>
      </c>
      <c r="K22" s="16">
        <v>45</v>
      </c>
      <c r="L22" s="6" t="s">
        <v>623</v>
      </c>
      <c r="M22" s="6" t="s">
        <v>151</v>
      </c>
      <c r="N22" s="6" t="s">
        <v>36</v>
      </c>
      <c r="O22" s="6" t="s">
        <v>36</v>
      </c>
      <c r="P22" s="6" t="s">
        <v>667</v>
      </c>
      <c r="U22" s="6">
        <v>-2.5749908559999999</v>
      </c>
      <c r="V22" s="6" t="s">
        <v>42</v>
      </c>
      <c r="W22" s="6" t="s">
        <v>42</v>
      </c>
      <c r="X22" s="6" t="s">
        <v>664</v>
      </c>
    </row>
    <row r="23" spans="1:24" s="6" customFormat="1" hidden="1">
      <c r="A23" s="6">
        <v>372</v>
      </c>
      <c r="B23" s="6" t="s">
        <v>650</v>
      </c>
      <c r="C23" s="6" t="s">
        <v>662</v>
      </c>
      <c r="D23" s="6">
        <v>2004</v>
      </c>
      <c r="E23" s="6" t="s">
        <v>62</v>
      </c>
      <c r="F23" s="6" t="s">
        <v>147</v>
      </c>
      <c r="G23" s="16">
        <v>55</v>
      </c>
      <c r="H23" s="16">
        <v>5</v>
      </c>
      <c r="I23" s="16">
        <v>1958</v>
      </c>
      <c r="J23" s="16">
        <v>2002</v>
      </c>
      <c r="K23" s="16">
        <v>45</v>
      </c>
      <c r="L23" s="6" t="s">
        <v>623</v>
      </c>
      <c r="M23" s="6" t="s">
        <v>151</v>
      </c>
      <c r="N23" s="6" t="s">
        <v>36</v>
      </c>
      <c r="O23" s="6" t="s">
        <v>36</v>
      </c>
      <c r="P23" s="6" t="s">
        <v>668</v>
      </c>
      <c r="U23" s="6">
        <v>-2.5209744390000002</v>
      </c>
      <c r="V23" s="6" t="s">
        <v>42</v>
      </c>
      <c r="W23" s="6" t="s">
        <v>42</v>
      </c>
      <c r="X23" s="6" t="s">
        <v>664</v>
      </c>
    </row>
    <row r="24" spans="1:24" s="6" customFormat="1" hidden="1">
      <c r="A24" s="6">
        <v>374</v>
      </c>
      <c r="B24" s="6" t="s">
        <v>650</v>
      </c>
      <c r="C24" s="6" t="s">
        <v>662</v>
      </c>
      <c r="D24" s="6">
        <v>2004</v>
      </c>
      <c r="E24" s="6" t="s">
        <v>62</v>
      </c>
      <c r="F24" s="6" t="s">
        <v>147</v>
      </c>
      <c r="G24" s="16">
        <v>55</v>
      </c>
      <c r="H24" s="16">
        <v>5</v>
      </c>
      <c r="I24" s="16">
        <v>1958</v>
      </c>
      <c r="J24" s="16">
        <v>2002</v>
      </c>
      <c r="K24" s="16">
        <v>45</v>
      </c>
      <c r="L24" s="6" t="s">
        <v>623</v>
      </c>
      <c r="M24" s="6" t="s">
        <v>151</v>
      </c>
      <c r="N24" s="6" t="s">
        <v>654</v>
      </c>
      <c r="O24" s="6" t="s">
        <v>98</v>
      </c>
      <c r="P24" s="6" t="s">
        <v>232</v>
      </c>
      <c r="U24" s="6">
        <v>-6.5280997220000003</v>
      </c>
      <c r="V24" s="6" t="s">
        <v>42</v>
      </c>
      <c r="W24" s="6" t="s">
        <v>42</v>
      </c>
      <c r="X24" s="6" t="s">
        <v>664</v>
      </c>
    </row>
    <row r="25" spans="1:24" s="6" customFormat="1" hidden="1">
      <c r="A25" s="6">
        <v>375</v>
      </c>
      <c r="B25" s="6" t="s">
        <v>650</v>
      </c>
      <c r="C25" s="6" t="s">
        <v>662</v>
      </c>
      <c r="D25" s="6">
        <v>2004</v>
      </c>
      <c r="E25" s="6" t="s">
        <v>62</v>
      </c>
      <c r="F25" s="6" t="s">
        <v>147</v>
      </c>
      <c r="G25" s="16">
        <v>55</v>
      </c>
      <c r="H25" s="16">
        <v>5</v>
      </c>
      <c r="I25" s="16">
        <v>1958</v>
      </c>
      <c r="J25" s="16">
        <v>2002</v>
      </c>
      <c r="K25" s="16">
        <v>45</v>
      </c>
      <c r="L25" s="6" t="s">
        <v>623</v>
      </c>
      <c r="M25" s="6" t="s">
        <v>151</v>
      </c>
      <c r="N25" s="6" t="s">
        <v>36</v>
      </c>
      <c r="O25" s="6" t="s">
        <v>36</v>
      </c>
      <c r="P25" s="6" t="s">
        <v>65</v>
      </c>
      <c r="U25" s="6">
        <v>-2.2707132560000001</v>
      </c>
      <c r="V25" s="6" t="s">
        <v>42</v>
      </c>
      <c r="W25" s="6" t="s">
        <v>42</v>
      </c>
      <c r="X25" s="6" t="s">
        <v>664</v>
      </c>
    </row>
    <row r="26" spans="1:24" s="6" customFormat="1" hidden="1">
      <c r="A26" s="6">
        <v>377</v>
      </c>
      <c r="B26" s="6" t="s">
        <v>650</v>
      </c>
      <c r="C26" s="6" t="s">
        <v>662</v>
      </c>
      <c r="D26" s="6">
        <v>2004</v>
      </c>
      <c r="E26" s="6" t="s">
        <v>62</v>
      </c>
      <c r="F26" s="6" t="s">
        <v>147</v>
      </c>
      <c r="G26" s="16">
        <v>55</v>
      </c>
      <c r="H26" s="16">
        <v>5</v>
      </c>
      <c r="I26" s="16">
        <v>1958</v>
      </c>
      <c r="J26" s="16">
        <v>2002</v>
      </c>
      <c r="K26" s="16">
        <v>45</v>
      </c>
      <c r="L26" s="6" t="s">
        <v>623</v>
      </c>
      <c r="M26" s="6" t="s">
        <v>151</v>
      </c>
      <c r="N26" s="6" t="s">
        <v>36</v>
      </c>
      <c r="O26" s="6" t="s">
        <v>36</v>
      </c>
      <c r="P26" s="6" t="s">
        <v>669</v>
      </c>
      <c r="U26" s="6">
        <v>-1.698645178</v>
      </c>
      <c r="V26" s="6" t="s">
        <v>42</v>
      </c>
      <c r="W26" s="6" t="s">
        <v>42</v>
      </c>
      <c r="X26" s="6" t="s">
        <v>664</v>
      </c>
    </row>
    <row r="27" spans="1:24" s="6" customFormat="1" hidden="1">
      <c r="A27" s="6">
        <v>379</v>
      </c>
      <c r="B27" s="6" t="s">
        <v>650</v>
      </c>
      <c r="C27" s="6" t="s">
        <v>662</v>
      </c>
      <c r="D27" s="6">
        <v>2004</v>
      </c>
      <c r="E27" s="6" t="s">
        <v>62</v>
      </c>
      <c r="F27" s="6" t="s">
        <v>147</v>
      </c>
      <c r="G27" s="16">
        <v>55</v>
      </c>
      <c r="H27" s="16">
        <v>5</v>
      </c>
      <c r="I27" s="16">
        <v>1958</v>
      </c>
      <c r="J27" s="16">
        <v>2002</v>
      </c>
      <c r="K27" s="16">
        <v>45</v>
      </c>
      <c r="L27" s="6" t="s">
        <v>623</v>
      </c>
      <c r="M27" s="6" t="s">
        <v>151</v>
      </c>
      <c r="N27" s="6" t="s">
        <v>36</v>
      </c>
      <c r="O27" s="6" t="s">
        <v>36</v>
      </c>
      <c r="P27" s="6" t="s">
        <v>109</v>
      </c>
      <c r="U27" s="6">
        <v>-0.80795464400000006</v>
      </c>
      <c r="V27" s="6" t="s">
        <v>42</v>
      </c>
      <c r="W27" s="6" t="s">
        <v>42</v>
      </c>
      <c r="X27" s="6" t="s">
        <v>664</v>
      </c>
    </row>
    <row r="28" spans="1:24" s="6" customFormat="1" hidden="1">
      <c r="A28" s="6">
        <v>380</v>
      </c>
      <c r="B28" s="6" t="s">
        <v>650</v>
      </c>
      <c r="C28" s="6" t="s">
        <v>662</v>
      </c>
      <c r="D28" s="6">
        <v>2004</v>
      </c>
      <c r="E28" s="6" t="s">
        <v>62</v>
      </c>
      <c r="F28" s="6" t="s">
        <v>147</v>
      </c>
      <c r="G28" s="16">
        <v>55</v>
      </c>
      <c r="H28" s="16">
        <v>5</v>
      </c>
      <c r="I28" s="16">
        <v>1958</v>
      </c>
      <c r="J28" s="16">
        <v>2002</v>
      </c>
      <c r="K28" s="16">
        <v>45</v>
      </c>
      <c r="L28" s="6" t="s">
        <v>623</v>
      </c>
      <c r="M28" s="6" t="s">
        <v>151</v>
      </c>
      <c r="N28" s="6" t="s">
        <v>36</v>
      </c>
      <c r="O28" s="6" t="s">
        <v>36</v>
      </c>
      <c r="P28" s="6" t="s">
        <v>64</v>
      </c>
      <c r="U28" s="6">
        <v>1.3625827109999999</v>
      </c>
      <c r="V28" s="6" t="s">
        <v>642</v>
      </c>
      <c r="W28" s="6" t="s">
        <v>42</v>
      </c>
      <c r="X28" s="6" t="s">
        <v>664</v>
      </c>
    </row>
    <row r="29" spans="1:24" s="6" customFormat="1" hidden="1">
      <c r="A29" s="6">
        <v>382</v>
      </c>
      <c r="B29" s="6" t="s">
        <v>650</v>
      </c>
      <c r="C29" s="6" t="s">
        <v>662</v>
      </c>
      <c r="D29" s="6">
        <v>2004</v>
      </c>
      <c r="E29" s="6" t="s">
        <v>62</v>
      </c>
      <c r="F29" s="6" t="s">
        <v>147</v>
      </c>
      <c r="G29" s="16">
        <v>55</v>
      </c>
      <c r="H29" s="16">
        <v>5</v>
      </c>
      <c r="I29" s="16">
        <v>1958</v>
      </c>
      <c r="J29" s="16">
        <v>2002</v>
      </c>
      <c r="K29" s="16">
        <v>45</v>
      </c>
      <c r="L29" s="6" t="s">
        <v>623</v>
      </c>
      <c r="M29" s="6" t="s">
        <v>151</v>
      </c>
      <c r="N29" s="6" t="s">
        <v>654</v>
      </c>
      <c r="O29" s="6" t="s">
        <v>670</v>
      </c>
      <c r="P29" s="6" t="s">
        <v>671</v>
      </c>
      <c r="U29" s="6">
        <v>-5.0671267780000004</v>
      </c>
      <c r="V29" s="6" t="s">
        <v>42</v>
      </c>
      <c r="W29" s="6" t="s">
        <v>42</v>
      </c>
      <c r="X29" s="6" t="s">
        <v>664</v>
      </c>
    </row>
    <row r="30" spans="1:24" s="6" customFormat="1" hidden="1">
      <c r="A30" s="6">
        <v>384</v>
      </c>
      <c r="B30" s="6" t="s">
        <v>650</v>
      </c>
      <c r="C30" s="6" t="s">
        <v>662</v>
      </c>
      <c r="D30" s="6">
        <v>2004</v>
      </c>
      <c r="E30" s="6" t="s">
        <v>62</v>
      </c>
      <c r="F30" s="6" t="s">
        <v>147</v>
      </c>
      <c r="G30" s="16">
        <v>55</v>
      </c>
      <c r="H30" s="16">
        <v>5</v>
      </c>
      <c r="I30" s="16">
        <v>1958</v>
      </c>
      <c r="J30" s="16">
        <v>2002</v>
      </c>
      <c r="K30" s="16">
        <v>45</v>
      </c>
      <c r="L30" s="6" t="s">
        <v>623</v>
      </c>
      <c r="M30" s="6" t="s">
        <v>151</v>
      </c>
      <c r="N30" s="6" t="s">
        <v>36</v>
      </c>
      <c r="O30" s="6" t="s">
        <v>36</v>
      </c>
      <c r="P30" s="6" t="s">
        <v>672</v>
      </c>
      <c r="U30" s="6">
        <v>5.5694943329999997</v>
      </c>
      <c r="V30" s="6" t="s">
        <v>642</v>
      </c>
      <c r="W30" s="6" t="s">
        <v>42</v>
      </c>
      <c r="X30" s="6" t="s">
        <v>664</v>
      </c>
    </row>
    <row r="31" spans="1:24" s="6" customFormat="1" hidden="1">
      <c r="A31" s="6">
        <v>385</v>
      </c>
      <c r="B31" s="6" t="s">
        <v>650</v>
      </c>
      <c r="C31" s="6" t="s">
        <v>662</v>
      </c>
      <c r="D31" s="6">
        <v>2004</v>
      </c>
      <c r="E31" s="6" t="s">
        <v>62</v>
      </c>
      <c r="F31" s="6" t="s">
        <v>147</v>
      </c>
      <c r="G31" s="16">
        <v>55</v>
      </c>
      <c r="H31" s="16">
        <v>5</v>
      </c>
      <c r="I31" s="16">
        <v>1958</v>
      </c>
      <c r="J31" s="16">
        <v>2002</v>
      </c>
      <c r="K31" s="16">
        <v>45</v>
      </c>
      <c r="L31" s="6" t="s">
        <v>623</v>
      </c>
      <c r="M31" s="6" t="s">
        <v>151</v>
      </c>
      <c r="N31" s="6" t="s">
        <v>654</v>
      </c>
      <c r="O31" s="6" t="s">
        <v>673</v>
      </c>
      <c r="P31" s="6" t="s">
        <v>674</v>
      </c>
      <c r="U31" s="6">
        <v>-4.1859002780000001</v>
      </c>
      <c r="V31" s="6" t="s">
        <v>42</v>
      </c>
      <c r="W31" s="6" t="s">
        <v>42</v>
      </c>
      <c r="X31" s="6" t="s">
        <v>664</v>
      </c>
    </row>
    <row r="32" spans="1:24" s="6" customFormat="1" hidden="1">
      <c r="A32" s="6">
        <v>388</v>
      </c>
      <c r="B32" s="6" t="s">
        <v>650</v>
      </c>
      <c r="C32" s="6" t="s">
        <v>662</v>
      </c>
      <c r="D32" s="6">
        <v>2004</v>
      </c>
      <c r="E32" s="6" t="s">
        <v>62</v>
      </c>
      <c r="F32" s="6" t="s">
        <v>147</v>
      </c>
      <c r="G32" s="16">
        <v>55</v>
      </c>
      <c r="H32" s="16">
        <v>5</v>
      </c>
      <c r="I32" s="16">
        <v>1958</v>
      </c>
      <c r="J32" s="16">
        <v>2002</v>
      </c>
      <c r="K32" s="16">
        <v>45</v>
      </c>
      <c r="L32" s="6" t="s">
        <v>623</v>
      </c>
      <c r="M32" s="6" t="s">
        <v>151</v>
      </c>
      <c r="N32" s="6" t="s">
        <v>654</v>
      </c>
      <c r="O32" s="6" t="s">
        <v>40</v>
      </c>
      <c r="P32" s="6" t="s">
        <v>675</v>
      </c>
      <c r="U32" s="6">
        <v>-2.7707892059999999</v>
      </c>
      <c r="V32" s="6" t="s">
        <v>42</v>
      </c>
      <c r="W32" s="6" t="s">
        <v>42</v>
      </c>
      <c r="X32" s="6" t="s">
        <v>664</v>
      </c>
    </row>
    <row r="33" spans="1:27" s="6" customFormat="1" hidden="1">
      <c r="A33" s="6">
        <v>392</v>
      </c>
      <c r="B33" s="6" t="s">
        <v>650</v>
      </c>
      <c r="C33" s="6" t="s">
        <v>662</v>
      </c>
      <c r="D33" s="6">
        <v>2004</v>
      </c>
      <c r="E33" s="6" t="s">
        <v>62</v>
      </c>
      <c r="F33" s="6" t="s">
        <v>147</v>
      </c>
      <c r="G33" s="16">
        <v>55</v>
      </c>
      <c r="H33" s="16">
        <v>5</v>
      </c>
      <c r="I33" s="16">
        <v>1958</v>
      </c>
      <c r="J33" s="16">
        <v>2002</v>
      </c>
      <c r="K33" s="16">
        <v>45</v>
      </c>
      <c r="L33" s="6" t="s">
        <v>623</v>
      </c>
      <c r="M33" s="6" t="s">
        <v>151</v>
      </c>
      <c r="N33" s="6" t="s">
        <v>654</v>
      </c>
      <c r="O33" s="6" t="s">
        <v>98</v>
      </c>
      <c r="P33" s="6" t="s">
        <v>254</v>
      </c>
      <c r="U33" s="6">
        <v>-2.2308928890000002</v>
      </c>
      <c r="V33" s="6" t="s">
        <v>42</v>
      </c>
      <c r="W33" s="6" t="s">
        <v>42</v>
      </c>
      <c r="X33" s="6" t="s">
        <v>664</v>
      </c>
    </row>
    <row r="34" spans="1:27" s="6" customFormat="1" hidden="1">
      <c r="A34" s="6">
        <v>395</v>
      </c>
      <c r="B34" s="6" t="s">
        <v>650</v>
      </c>
      <c r="C34" s="6" t="s">
        <v>662</v>
      </c>
      <c r="D34" s="6">
        <v>2004</v>
      </c>
      <c r="E34" s="6" t="s">
        <v>62</v>
      </c>
      <c r="F34" s="6" t="s">
        <v>147</v>
      </c>
      <c r="G34" s="16">
        <v>55</v>
      </c>
      <c r="H34" s="16">
        <v>5</v>
      </c>
      <c r="I34" s="16">
        <v>1958</v>
      </c>
      <c r="J34" s="16">
        <v>2002</v>
      </c>
      <c r="K34" s="16">
        <v>45</v>
      </c>
      <c r="L34" s="6" t="s">
        <v>623</v>
      </c>
      <c r="M34" s="6" t="s">
        <v>151</v>
      </c>
      <c r="N34" s="6" t="s">
        <v>654</v>
      </c>
      <c r="O34" s="6" t="s">
        <v>676</v>
      </c>
      <c r="P34" s="6" t="s">
        <v>677</v>
      </c>
      <c r="U34" s="6">
        <v>-0.33636007800000001</v>
      </c>
      <c r="V34" s="6" t="s">
        <v>42</v>
      </c>
      <c r="W34" s="6" t="s">
        <v>42</v>
      </c>
      <c r="X34" s="6" t="s">
        <v>664</v>
      </c>
    </row>
    <row r="35" spans="1:27" s="6" customFormat="1" hidden="1">
      <c r="A35" s="6">
        <v>396</v>
      </c>
      <c r="B35" s="6" t="s">
        <v>650</v>
      </c>
      <c r="C35" s="6" t="s">
        <v>662</v>
      </c>
      <c r="D35" s="6">
        <v>2004</v>
      </c>
      <c r="E35" s="6" t="s">
        <v>62</v>
      </c>
      <c r="F35" s="6" t="s">
        <v>147</v>
      </c>
      <c r="G35" s="16">
        <v>55</v>
      </c>
      <c r="H35" s="16">
        <v>5</v>
      </c>
      <c r="I35" s="16">
        <v>1958</v>
      </c>
      <c r="J35" s="16">
        <v>2002</v>
      </c>
      <c r="K35" s="16">
        <v>45</v>
      </c>
      <c r="L35" s="6" t="s">
        <v>623</v>
      </c>
      <c r="M35" s="6" t="s">
        <v>151</v>
      </c>
      <c r="N35" s="6" t="s">
        <v>654</v>
      </c>
      <c r="O35" s="6" t="s">
        <v>678</v>
      </c>
      <c r="P35" s="6" t="s">
        <v>679</v>
      </c>
      <c r="U35" s="6">
        <v>3.2082477780000001</v>
      </c>
      <c r="V35" s="6" t="s">
        <v>642</v>
      </c>
      <c r="W35" s="6" t="s">
        <v>42</v>
      </c>
      <c r="X35" s="6" t="s">
        <v>664</v>
      </c>
    </row>
    <row r="36" spans="1:27" s="6" customFormat="1" hidden="1">
      <c r="A36" s="6">
        <v>397</v>
      </c>
      <c r="B36" s="6" t="s">
        <v>650</v>
      </c>
      <c r="C36" s="6" t="s">
        <v>662</v>
      </c>
      <c r="D36" s="6">
        <v>2004</v>
      </c>
      <c r="E36" s="6" t="s">
        <v>62</v>
      </c>
      <c r="F36" s="6" t="s">
        <v>147</v>
      </c>
      <c r="G36" s="16">
        <v>55</v>
      </c>
      <c r="H36" s="16">
        <v>5</v>
      </c>
      <c r="I36" s="16">
        <v>1958</v>
      </c>
      <c r="J36" s="16">
        <v>2002</v>
      </c>
      <c r="K36" s="16">
        <v>45</v>
      </c>
      <c r="L36" s="6" t="s">
        <v>623</v>
      </c>
      <c r="M36" s="6" t="s">
        <v>151</v>
      </c>
      <c r="N36" s="6" t="s">
        <v>654</v>
      </c>
      <c r="O36" s="6" t="s">
        <v>678</v>
      </c>
      <c r="P36" s="6" t="s">
        <v>680</v>
      </c>
      <c r="U36" s="6">
        <v>8.3682292220000001</v>
      </c>
      <c r="V36" s="6" t="s">
        <v>642</v>
      </c>
      <c r="W36" s="6" t="s">
        <v>42</v>
      </c>
      <c r="X36" s="6" t="s">
        <v>664</v>
      </c>
    </row>
    <row r="37" spans="1:27" s="6" customFormat="1" hidden="1">
      <c r="A37" s="6">
        <v>402</v>
      </c>
      <c r="B37" s="6" t="s">
        <v>650</v>
      </c>
      <c r="C37" s="6" t="s">
        <v>681</v>
      </c>
      <c r="D37" s="6">
        <v>2004</v>
      </c>
      <c r="E37" s="6" t="s">
        <v>62</v>
      </c>
      <c r="F37" s="6" t="s">
        <v>147</v>
      </c>
      <c r="G37" s="16">
        <v>54.19</v>
      </c>
      <c r="H37" s="16">
        <v>7.9</v>
      </c>
      <c r="I37" s="16">
        <v>1974</v>
      </c>
      <c r="J37" s="16">
        <v>2004</v>
      </c>
      <c r="K37" s="16">
        <v>31</v>
      </c>
      <c r="L37" s="6" t="s">
        <v>623</v>
      </c>
      <c r="M37" s="6" t="s">
        <v>151</v>
      </c>
      <c r="N37" s="6" t="s">
        <v>654</v>
      </c>
      <c r="O37" s="6" t="s">
        <v>98</v>
      </c>
      <c r="P37" s="6" t="s">
        <v>232</v>
      </c>
      <c r="U37" s="6">
        <v>-14.7</v>
      </c>
      <c r="V37" s="6" t="s">
        <v>42</v>
      </c>
      <c r="W37" s="6" t="s">
        <v>42</v>
      </c>
      <c r="X37" s="6" t="s">
        <v>664</v>
      </c>
    </row>
    <row r="38" spans="1:27" s="6" customFormat="1" hidden="1">
      <c r="A38" s="6">
        <v>252</v>
      </c>
      <c r="B38" s="6" t="s">
        <v>650</v>
      </c>
      <c r="C38" s="6" t="s">
        <v>660</v>
      </c>
      <c r="D38" s="6">
        <v>2005</v>
      </c>
      <c r="E38" s="6" t="s">
        <v>661</v>
      </c>
      <c r="F38" s="6" t="s">
        <v>147</v>
      </c>
      <c r="G38" s="16">
        <v>56</v>
      </c>
      <c r="H38" s="16">
        <v>3</v>
      </c>
      <c r="I38" s="16">
        <v>1958</v>
      </c>
      <c r="J38" s="16">
        <v>2005</v>
      </c>
      <c r="K38" s="16">
        <v>48</v>
      </c>
      <c r="L38" s="6" t="s">
        <v>623</v>
      </c>
      <c r="M38" s="6" t="s">
        <v>151</v>
      </c>
      <c r="N38" s="6" t="s">
        <v>36</v>
      </c>
      <c r="O38" s="6" t="s">
        <v>181</v>
      </c>
      <c r="P38" s="6" t="s">
        <v>40</v>
      </c>
      <c r="U38" s="6" t="s">
        <v>40</v>
      </c>
      <c r="V38" s="6" t="s">
        <v>42</v>
      </c>
      <c r="W38" s="6" t="s">
        <v>42</v>
      </c>
      <c r="X38" s="6" t="s">
        <v>656</v>
      </c>
    </row>
    <row r="39" spans="1:27" s="6" customFormat="1" hidden="1">
      <c r="A39" s="6">
        <v>278</v>
      </c>
      <c r="B39" s="6" t="s">
        <v>650</v>
      </c>
      <c r="C39" s="6" t="s">
        <v>657</v>
      </c>
      <c r="D39" s="6">
        <v>2006</v>
      </c>
      <c r="E39" s="6" t="s">
        <v>658</v>
      </c>
      <c r="F39" s="6" t="s">
        <v>147</v>
      </c>
      <c r="G39" s="16">
        <v>41.5</v>
      </c>
      <c r="H39" s="16">
        <v>-71.349999999999994</v>
      </c>
      <c r="I39" s="16">
        <v>1951</v>
      </c>
      <c r="J39" s="16">
        <v>2003</v>
      </c>
      <c r="K39" s="16">
        <v>53</v>
      </c>
      <c r="L39" s="6" t="s">
        <v>659</v>
      </c>
      <c r="M39" s="6" t="s">
        <v>151</v>
      </c>
      <c r="N39" s="6" t="s">
        <v>36</v>
      </c>
      <c r="O39" s="6" t="s">
        <v>181</v>
      </c>
      <c r="P39" s="6" t="s">
        <v>33</v>
      </c>
      <c r="U39" s="6">
        <v>0</v>
      </c>
      <c r="V39" s="6" t="s">
        <v>42</v>
      </c>
      <c r="W39" s="6" t="s">
        <v>42</v>
      </c>
      <c r="X39" s="6" t="s">
        <v>656</v>
      </c>
    </row>
    <row r="40" spans="1:27" s="6" customFormat="1" hidden="1">
      <c r="A40" s="6">
        <v>279</v>
      </c>
      <c r="B40" s="6" t="s">
        <v>650</v>
      </c>
      <c r="C40" s="6" t="s">
        <v>657</v>
      </c>
      <c r="D40" s="6">
        <v>2006</v>
      </c>
      <c r="E40" s="6" t="s">
        <v>658</v>
      </c>
      <c r="F40" s="6" t="s">
        <v>147</v>
      </c>
      <c r="G40" s="16">
        <v>41.5</v>
      </c>
      <c r="H40" s="16">
        <v>-71.349999999999994</v>
      </c>
      <c r="I40" s="16">
        <v>1951</v>
      </c>
      <c r="J40" s="16">
        <v>2003</v>
      </c>
      <c r="K40" s="16">
        <v>53</v>
      </c>
      <c r="L40" s="6" t="s">
        <v>659</v>
      </c>
      <c r="M40" s="6" t="s">
        <v>151</v>
      </c>
      <c r="N40" s="6" t="s">
        <v>654</v>
      </c>
      <c r="O40" s="6" t="s">
        <v>40</v>
      </c>
      <c r="P40" s="6" t="s">
        <v>200</v>
      </c>
      <c r="U40" s="6">
        <v>-11.13</v>
      </c>
      <c r="V40" s="6" t="s">
        <v>42</v>
      </c>
      <c r="W40" s="6" t="s">
        <v>42</v>
      </c>
      <c r="X40" s="6" t="s">
        <v>656</v>
      </c>
    </row>
    <row r="41" spans="1:27" s="6" customFormat="1" hidden="1">
      <c r="A41" s="6">
        <v>247</v>
      </c>
      <c r="B41" s="6" t="s">
        <v>650</v>
      </c>
      <c r="C41" s="6" t="s">
        <v>651</v>
      </c>
      <c r="D41" s="6">
        <v>2010</v>
      </c>
      <c r="E41" s="6" t="s">
        <v>62</v>
      </c>
      <c r="F41" s="6" t="s">
        <v>147</v>
      </c>
      <c r="G41" s="16">
        <v>54.18</v>
      </c>
      <c r="H41" s="16">
        <v>7.9</v>
      </c>
      <c r="I41" s="16">
        <v>1975</v>
      </c>
      <c r="J41" s="16">
        <v>2004</v>
      </c>
      <c r="K41" s="16">
        <v>30</v>
      </c>
      <c r="L41" s="6" t="s">
        <v>623</v>
      </c>
      <c r="M41" s="6" t="s">
        <v>151</v>
      </c>
      <c r="N41" s="6" t="s">
        <v>36</v>
      </c>
      <c r="O41" s="6" t="s">
        <v>181</v>
      </c>
      <c r="P41" s="6" t="s">
        <v>652</v>
      </c>
      <c r="U41" s="6">
        <v>-2.3333333333333335</v>
      </c>
      <c r="V41" s="6" t="s">
        <v>41</v>
      </c>
      <c r="W41" s="23" t="s">
        <v>42</v>
      </c>
      <c r="X41" s="6" t="s">
        <v>73</v>
      </c>
      <c r="AA41" s="6" t="s">
        <v>653</v>
      </c>
    </row>
    <row r="42" spans="1:27" s="6" customFormat="1" hidden="1">
      <c r="A42" s="6">
        <v>248</v>
      </c>
      <c r="B42" s="6" t="s">
        <v>650</v>
      </c>
      <c r="C42" s="6" t="s">
        <v>651</v>
      </c>
      <c r="D42" s="6">
        <v>2010</v>
      </c>
      <c r="E42" s="6" t="s">
        <v>62</v>
      </c>
      <c r="F42" s="6" t="s">
        <v>147</v>
      </c>
      <c r="G42" s="16">
        <v>54.18</v>
      </c>
      <c r="H42" s="16">
        <v>7.9</v>
      </c>
      <c r="I42" s="16">
        <v>1975</v>
      </c>
      <c r="J42" s="16">
        <v>2004</v>
      </c>
      <c r="K42" s="16">
        <v>30</v>
      </c>
      <c r="L42" s="6" t="s">
        <v>623</v>
      </c>
      <c r="M42" s="6" t="s">
        <v>151</v>
      </c>
      <c r="N42" s="6" t="s">
        <v>654</v>
      </c>
      <c r="O42" s="6" t="s">
        <v>655</v>
      </c>
      <c r="P42" s="6" t="s">
        <v>219</v>
      </c>
      <c r="U42" s="6">
        <v>-9.33</v>
      </c>
      <c r="V42" s="6" t="s">
        <v>42</v>
      </c>
      <c r="W42" s="6" t="s">
        <v>42</v>
      </c>
      <c r="X42" s="6" t="s">
        <v>656</v>
      </c>
    </row>
    <row r="43" spans="1:27" s="6" customFormat="1" hidden="1">
      <c r="A43" s="6">
        <v>249</v>
      </c>
      <c r="B43" s="6" t="s">
        <v>650</v>
      </c>
      <c r="C43" s="6" t="s">
        <v>651</v>
      </c>
      <c r="D43" s="6">
        <v>2010</v>
      </c>
      <c r="E43" s="6" t="s">
        <v>62</v>
      </c>
      <c r="F43" s="6" t="s">
        <v>147</v>
      </c>
      <c r="G43" s="16">
        <v>54.18</v>
      </c>
      <c r="H43" s="16">
        <v>7.9</v>
      </c>
      <c r="I43" s="16">
        <v>1975</v>
      </c>
      <c r="J43" s="16">
        <v>2004</v>
      </c>
      <c r="K43" s="16">
        <v>30</v>
      </c>
      <c r="L43" s="6" t="s">
        <v>623</v>
      </c>
      <c r="M43" s="6" t="s">
        <v>151</v>
      </c>
      <c r="N43" s="6" t="s">
        <v>654</v>
      </c>
      <c r="O43" s="6" t="s">
        <v>655</v>
      </c>
      <c r="P43" s="6" t="s">
        <v>221</v>
      </c>
      <c r="U43" s="6">
        <v>-14</v>
      </c>
      <c r="V43" s="6" t="s">
        <v>42</v>
      </c>
      <c r="W43" s="6" t="s">
        <v>42</v>
      </c>
      <c r="X43" s="6" t="s">
        <v>656</v>
      </c>
    </row>
    <row r="44" spans="1:27" s="6" customFormat="1" hidden="1">
      <c r="A44" s="6">
        <v>250</v>
      </c>
      <c r="B44" s="6" t="s">
        <v>650</v>
      </c>
      <c r="C44" s="6" t="s">
        <v>651</v>
      </c>
      <c r="D44" s="6">
        <v>2010</v>
      </c>
      <c r="E44" s="6" t="s">
        <v>62</v>
      </c>
      <c r="F44" s="6" t="s">
        <v>147</v>
      </c>
      <c r="G44" s="16">
        <v>54.18</v>
      </c>
      <c r="H44" s="16">
        <v>7.9</v>
      </c>
      <c r="I44" s="16">
        <v>1975</v>
      </c>
      <c r="J44" s="16">
        <v>2004</v>
      </c>
      <c r="K44" s="16">
        <v>30</v>
      </c>
      <c r="L44" s="6" t="s">
        <v>623</v>
      </c>
      <c r="M44" s="6" t="s">
        <v>151</v>
      </c>
      <c r="N44" s="6" t="s">
        <v>654</v>
      </c>
      <c r="O44" s="6" t="s">
        <v>655</v>
      </c>
      <c r="P44" s="6" t="s">
        <v>221</v>
      </c>
      <c r="U44" s="6">
        <v>-14</v>
      </c>
      <c r="V44" s="6" t="s">
        <v>42</v>
      </c>
      <c r="W44" s="6" t="s">
        <v>42</v>
      </c>
      <c r="X44" s="6" t="s">
        <v>656</v>
      </c>
    </row>
    <row r="45" spans="1:27" s="6" customFormat="1" ht="16" hidden="1">
      <c r="A45" s="6">
        <v>175</v>
      </c>
      <c r="B45" s="6" t="s">
        <v>73</v>
      </c>
      <c r="C45" s="6" t="s">
        <v>118</v>
      </c>
      <c r="D45" s="6">
        <v>2011</v>
      </c>
      <c r="E45" s="6" t="s">
        <v>120</v>
      </c>
      <c r="F45" s="6" t="s">
        <v>147</v>
      </c>
      <c r="G45" s="16">
        <v>53</v>
      </c>
      <c r="H45" s="18">
        <v>-6</v>
      </c>
      <c r="I45" s="16">
        <v>1970</v>
      </c>
      <c r="J45" s="16">
        <v>2008</v>
      </c>
      <c r="K45" s="16">
        <v>39</v>
      </c>
      <c r="M45" s="6" t="s">
        <v>151</v>
      </c>
      <c r="N45" s="6" t="s">
        <v>36</v>
      </c>
      <c r="O45" s="6" t="s">
        <v>40</v>
      </c>
      <c r="P45" s="6" t="s">
        <v>66</v>
      </c>
      <c r="Q45" s="6" t="s">
        <v>29</v>
      </c>
      <c r="U45" s="6" t="s">
        <v>73</v>
      </c>
      <c r="V45" s="6" t="s">
        <v>42</v>
      </c>
      <c r="W45" s="23" t="s">
        <v>42</v>
      </c>
      <c r="X45" s="6" t="s">
        <v>73</v>
      </c>
      <c r="AA45" s="6" t="s">
        <v>643</v>
      </c>
    </row>
    <row r="46" spans="1:27" s="6" customFormat="1" ht="16" hidden="1">
      <c r="A46" s="6">
        <v>176</v>
      </c>
      <c r="B46" s="6" t="s">
        <v>73</v>
      </c>
      <c r="C46" s="6" t="s">
        <v>118</v>
      </c>
      <c r="D46" s="6">
        <v>2011</v>
      </c>
      <c r="E46" s="6" t="s">
        <v>644</v>
      </c>
      <c r="F46" s="6" t="s">
        <v>147</v>
      </c>
      <c r="G46" s="16">
        <v>48</v>
      </c>
      <c r="H46" s="18">
        <v>-6</v>
      </c>
      <c r="I46" s="16">
        <v>1958</v>
      </c>
      <c r="J46" s="16">
        <v>2008</v>
      </c>
      <c r="K46" s="16">
        <v>51</v>
      </c>
      <c r="M46" s="6" t="s">
        <v>151</v>
      </c>
      <c r="N46" s="6" t="s">
        <v>36</v>
      </c>
      <c r="O46" s="6" t="s">
        <v>40</v>
      </c>
      <c r="P46" s="6" t="s">
        <v>66</v>
      </c>
      <c r="Q46" s="6" t="s">
        <v>29</v>
      </c>
      <c r="U46" s="6">
        <v>-4.1519607843137267</v>
      </c>
      <c r="V46" s="6" t="s">
        <v>42</v>
      </c>
      <c r="W46" s="23" t="s">
        <v>42</v>
      </c>
      <c r="X46" s="6" t="s">
        <v>73</v>
      </c>
      <c r="AA46" s="6" t="s">
        <v>643</v>
      </c>
    </row>
    <row r="47" spans="1:27" s="6" customFormat="1" hidden="1">
      <c r="A47" s="6">
        <v>177</v>
      </c>
      <c r="B47" s="6" t="s">
        <v>73</v>
      </c>
      <c r="C47" s="6" t="s">
        <v>118</v>
      </c>
      <c r="D47" s="6">
        <v>2011</v>
      </c>
      <c r="E47" s="6" t="s">
        <v>645</v>
      </c>
      <c r="F47" s="6" t="s">
        <v>147</v>
      </c>
      <c r="G47" s="16">
        <v>49.5</v>
      </c>
      <c r="H47" s="16">
        <v>-9</v>
      </c>
      <c r="I47" s="16">
        <v>1958</v>
      </c>
      <c r="J47" s="16">
        <v>2008</v>
      </c>
      <c r="K47" s="16">
        <v>51</v>
      </c>
      <c r="M47" s="6" t="s">
        <v>151</v>
      </c>
      <c r="N47" s="6" t="s">
        <v>36</v>
      </c>
      <c r="O47" s="6" t="s">
        <v>40</v>
      </c>
      <c r="P47" s="6" t="s">
        <v>66</v>
      </c>
      <c r="Q47" s="6" t="s">
        <v>29</v>
      </c>
      <c r="U47" s="6">
        <v>-0.59313725490195868</v>
      </c>
      <c r="V47" s="6" t="s">
        <v>42</v>
      </c>
      <c r="W47" s="23" t="s">
        <v>42</v>
      </c>
      <c r="X47" s="6" t="s">
        <v>73</v>
      </c>
      <c r="AA47" s="6" t="s">
        <v>643</v>
      </c>
    </row>
    <row r="48" spans="1:27" s="6" customFormat="1" hidden="1">
      <c r="A48" s="6">
        <v>178</v>
      </c>
      <c r="B48" s="6" t="s">
        <v>73</v>
      </c>
      <c r="C48" s="6" t="s">
        <v>118</v>
      </c>
      <c r="D48" s="6">
        <v>2011</v>
      </c>
      <c r="E48" s="6" t="s">
        <v>646</v>
      </c>
      <c r="F48" s="6" t="s">
        <v>147</v>
      </c>
      <c r="G48" s="16">
        <v>51</v>
      </c>
      <c r="H48" s="16">
        <v>-13.5</v>
      </c>
      <c r="I48" s="16">
        <v>1958</v>
      </c>
      <c r="J48" s="16">
        <v>2008</v>
      </c>
      <c r="K48" s="16">
        <v>51</v>
      </c>
      <c r="M48" s="6" t="s">
        <v>151</v>
      </c>
      <c r="N48" s="6" t="s">
        <v>36</v>
      </c>
      <c r="O48" s="6" t="s">
        <v>40</v>
      </c>
      <c r="P48" s="6" t="s">
        <v>66</v>
      </c>
      <c r="Q48" s="6" t="s">
        <v>29</v>
      </c>
      <c r="U48" s="6">
        <v>-2.0759803921568607</v>
      </c>
      <c r="V48" s="6" t="s">
        <v>42</v>
      </c>
      <c r="W48" s="23" t="s">
        <v>42</v>
      </c>
      <c r="X48" s="6" t="s">
        <v>73</v>
      </c>
      <c r="AA48" s="6" t="s">
        <v>643</v>
      </c>
    </row>
    <row r="49" spans="1:27" s="6" customFormat="1" hidden="1">
      <c r="A49" s="6">
        <v>179</v>
      </c>
      <c r="B49" s="6" t="s">
        <v>73</v>
      </c>
      <c r="C49" s="6" t="s">
        <v>118</v>
      </c>
      <c r="D49" s="6">
        <v>2011</v>
      </c>
      <c r="E49" s="6" t="s">
        <v>647</v>
      </c>
      <c r="F49" s="6" t="s">
        <v>147</v>
      </c>
      <c r="G49" s="16">
        <v>41</v>
      </c>
      <c r="H49" s="16">
        <v>-15</v>
      </c>
      <c r="I49" s="16">
        <v>1958</v>
      </c>
      <c r="J49" s="16">
        <v>2008</v>
      </c>
      <c r="K49" s="16">
        <v>51</v>
      </c>
      <c r="M49" s="6" t="s">
        <v>151</v>
      </c>
      <c r="N49" s="6" t="s">
        <v>36</v>
      </c>
      <c r="O49" s="6" t="s">
        <v>40</v>
      </c>
      <c r="P49" s="6" t="s">
        <v>66</v>
      </c>
      <c r="Q49" s="6" t="s">
        <v>29</v>
      </c>
      <c r="U49" s="6">
        <v>-1.482843137254902</v>
      </c>
      <c r="V49" s="6" t="s">
        <v>42</v>
      </c>
      <c r="W49" s="23" t="s">
        <v>42</v>
      </c>
      <c r="X49" s="6" t="s">
        <v>73</v>
      </c>
      <c r="AA49" s="6" t="s">
        <v>643</v>
      </c>
    </row>
    <row r="50" spans="1:27" s="6" customFormat="1" hidden="1">
      <c r="A50" s="6">
        <v>180</v>
      </c>
      <c r="B50" s="6" t="s">
        <v>73</v>
      </c>
      <c r="C50" s="6" t="s">
        <v>118</v>
      </c>
      <c r="D50" s="6">
        <v>2011</v>
      </c>
      <c r="E50" s="6" t="s">
        <v>648</v>
      </c>
      <c r="F50" s="6" t="s">
        <v>147</v>
      </c>
      <c r="G50" s="16">
        <v>45</v>
      </c>
      <c r="H50" s="16">
        <v>-20</v>
      </c>
      <c r="I50" s="16">
        <v>1958</v>
      </c>
      <c r="J50" s="16">
        <v>2008</v>
      </c>
      <c r="K50" s="16">
        <v>51</v>
      </c>
      <c r="M50" s="6" t="s">
        <v>151</v>
      </c>
      <c r="N50" s="6" t="s">
        <v>36</v>
      </c>
      <c r="O50" s="6" t="s">
        <v>40</v>
      </c>
      <c r="P50" s="6" t="s">
        <v>66</v>
      </c>
      <c r="Q50" s="6" t="s">
        <v>29</v>
      </c>
      <c r="U50" s="6">
        <v>-1.1862745098039227</v>
      </c>
      <c r="V50" s="6" t="s">
        <v>42</v>
      </c>
      <c r="W50" s="23" t="s">
        <v>42</v>
      </c>
      <c r="X50" s="6" t="s">
        <v>73</v>
      </c>
      <c r="AA50" s="6" t="s">
        <v>643</v>
      </c>
    </row>
    <row r="51" spans="1:27" s="6" customFormat="1" hidden="1">
      <c r="A51" s="6">
        <v>181</v>
      </c>
      <c r="B51" s="6" t="s">
        <v>73</v>
      </c>
      <c r="C51" s="6" t="s">
        <v>118</v>
      </c>
      <c r="D51" s="6">
        <v>2011</v>
      </c>
      <c r="E51" s="6" t="s">
        <v>126</v>
      </c>
      <c r="F51" s="6" t="s">
        <v>147</v>
      </c>
      <c r="G51" s="16">
        <v>55</v>
      </c>
      <c r="H51" s="16">
        <v>-18.5</v>
      </c>
      <c r="I51" s="16">
        <v>1958</v>
      </c>
      <c r="J51" s="16">
        <v>2008</v>
      </c>
      <c r="K51" s="16">
        <v>51</v>
      </c>
      <c r="M51" s="6" t="s">
        <v>151</v>
      </c>
      <c r="N51" s="6" t="s">
        <v>36</v>
      </c>
      <c r="O51" s="6" t="s">
        <v>40</v>
      </c>
      <c r="P51" s="6" t="s">
        <v>66</v>
      </c>
      <c r="Q51" s="6" t="s">
        <v>29</v>
      </c>
      <c r="U51" s="6">
        <v>-5.3382352941176441</v>
      </c>
      <c r="V51" s="6" t="s">
        <v>42</v>
      </c>
      <c r="W51" s="23" t="s">
        <v>42</v>
      </c>
      <c r="X51" s="6" t="s">
        <v>73</v>
      </c>
      <c r="AA51" s="6" t="s">
        <v>643</v>
      </c>
    </row>
    <row r="52" spans="1:27" s="6" customFormat="1" hidden="1">
      <c r="A52" s="6">
        <v>182</v>
      </c>
      <c r="B52" s="6" t="s">
        <v>73</v>
      </c>
      <c r="C52" s="6" t="s">
        <v>118</v>
      </c>
      <c r="D52" s="6">
        <v>2011</v>
      </c>
      <c r="E52" s="6" t="s">
        <v>127</v>
      </c>
      <c r="F52" s="6" t="s">
        <v>147</v>
      </c>
      <c r="G52" s="16">
        <v>60</v>
      </c>
      <c r="H52" s="16">
        <v>-10</v>
      </c>
      <c r="I52" s="16">
        <v>1958</v>
      </c>
      <c r="J52" s="16">
        <v>2008</v>
      </c>
      <c r="K52" s="16">
        <v>51</v>
      </c>
      <c r="M52" s="6" t="s">
        <v>151</v>
      </c>
      <c r="N52" s="6" t="s">
        <v>36</v>
      </c>
      <c r="O52" s="6" t="s">
        <v>40</v>
      </c>
      <c r="P52" s="6" t="s">
        <v>66</v>
      </c>
      <c r="Q52" s="6" t="s">
        <v>29</v>
      </c>
      <c r="U52" s="6">
        <v>-2.0759803921568607</v>
      </c>
      <c r="V52" s="6" t="s">
        <v>42</v>
      </c>
      <c r="W52" s="23" t="s">
        <v>42</v>
      </c>
      <c r="X52" s="6" t="s">
        <v>73</v>
      </c>
      <c r="AA52" s="6" t="s">
        <v>643</v>
      </c>
    </row>
    <row r="53" spans="1:27" s="6" customFormat="1" hidden="1">
      <c r="A53" s="6">
        <v>183</v>
      </c>
      <c r="B53" s="6" t="s">
        <v>73</v>
      </c>
      <c r="C53" s="6" t="s">
        <v>118</v>
      </c>
      <c r="D53" s="6">
        <v>2011</v>
      </c>
      <c r="E53" s="6" t="s">
        <v>649</v>
      </c>
      <c r="F53" s="6" t="s">
        <v>147</v>
      </c>
      <c r="G53" s="16">
        <v>56.388946666666669</v>
      </c>
      <c r="H53" s="16">
        <v>-8.3386316666666662</v>
      </c>
      <c r="I53" s="16">
        <v>1958</v>
      </c>
      <c r="J53" s="16">
        <v>2008</v>
      </c>
      <c r="K53" s="16">
        <v>51</v>
      </c>
      <c r="M53" s="6" t="s">
        <v>151</v>
      </c>
      <c r="N53" s="6" t="s">
        <v>36</v>
      </c>
      <c r="O53" s="6" t="s">
        <v>40</v>
      </c>
      <c r="P53" s="6" t="s">
        <v>66</v>
      </c>
      <c r="Q53" s="6" t="s">
        <v>29</v>
      </c>
      <c r="U53" s="6">
        <v>0</v>
      </c>
      <c r="V53" s="6" t="s">
        <v>642</v>
      </c>
      <c r="W53" s="23" t="s">
        <v>42</v>
      </c>
      <c r="X53" s="6" t="s">
        <v>73</v>
      </c>
      <c r="AA53" s="6" t="s">
        <v>643</v>
      </c>
    </row>
    <row r="54" spans="1:27" s="6" customFormat="1" ht="16" hidden="1">
      <c r="A54" s="6">
        <v>184</v>
      </c>
      <c r="B54" s="6" t="s">
        <v>73</v>
      </c>
      <c r="C54" s="6" t="s">
        <v>118</v>
      </c>
      <c r="D54" s="6">
        <v>2011</v>
      </c>
      <c r="E54" s="6" t="s">
        <v>120</v>
      </c>
      <c r="F54" s="6" t="s">
        <v>147</v>
      </c>
      <c r="G54" s="16">
        <v>53</v>
      </c>
      <c r="H54" s="18">
        <v>-6</v>
      </c>
      <c r="I54" s="16">
        <v>1958</v>
      </c>
      <c r="J54" s="16">
        <v>2008</v>
      </c>
      <c r="K54" s="16">
        <v>51</v>
      </c>
      <c r="M54" s="6" t="s">
        <v>151</v>
      </c>
      <c r="N54" s="6" t="s">
        <v>36</v>
      </c>
      <c r="O54" s="6" t="s">
        <v>40</v>
      </c>
      <c r="P54" s="6" t="s">
        <v>65</v>
      </c>
      <c r="Q54" s="6" t="s">
        <v>29</v>
      </c>
      <c r="U54" s="6">
        <v>-3.5588235294117627</v>
      </c>
      <c r="V54" s="6" t="s">
        <v>42</v>
      </c>
      <c r="W54" s="23" t="s">
        <v>42</v>
      </c>
      <c r="X54" s="6" t="s">
        <v>73</v>
      </c>
      <c r="AA54" s="6" t="s">
        <v>643</v>
      </c>
    </row>
    <row r="55" spans="1:27" s="6" customFormat="1" ht="16" hidden="1">
      <c r="A55" s="6">
        <v>185</v>
      </c>
      <c r="B55" s="6" t="s">
        <v>73</v>
      </c>
      <c r="C55" s="6" t="s">
        <v>118</v>
      </c>
      <c r="D55" s="6">
        <v>2011</v>
      </c>
      <c r="E55" s="6" t="s">
        <v>644</v>
      </c>
      <c r="F55" s="6" t="s">
        <v>147</v>
      </c>
      <c r="G55" s="16">
        <v>48</v>
      </c>
      <c r="H55" s="18">
        <v>-6</v>
      </c>
      <c r="I55" s="16">
        <v>1958</v>
      </c>
      <c r="J55" s="16">
        <v>2008</v>
      </c>
      <c r="K55" s="16">
        <v>51</v>
      </c>
      <c r="M55" s="6" t="s">
        <v>151</v>
      </c>
      <c r="N55" s="6" t="s">
        <v>36</v>
      </c>
      <c r="O55" s="6" t="s">
        <v>40</v>
      </c>
      <c r="P55" s="6" t="s">
        <v>65</v>
      </c>
      <c r="Q55" s="6" t="s">
        <v>29</v>
      </c>
      <c r="U55" s="6">
        <v>-1.1862745098039227</v>
      </c>
      <c r="V55" s="6" t="s">
        <v>42</v>
      </c>
      <c r="W55" s="23" t="s">
        <v>42</v>
      </c>
      <c r="X55" s="6" t="s">
        <v>73</v>
      </c>
      <c r="AA55" s="6" t="s">
        <v>643</v>
      </c>
    </row>
    <row r="56" spans="1:27" s="6" customFormat="1" hidden="1">
      <c r="A56" s="6">
        <v>186</v>
      </c>
      <c r="B56" s="6" t="s">
        <v>73</v>
      </c>
      <c r="C56" s="6" t="s">
        <v>118</v>
      </c>
      <c r="D56" s="6">
        <v>2011</v>
      </c>
      <c r="E56" s="6" t="s">
        <v>645</v>
      </c>
      <c r="F56" s="6" t="s">
        <v>147</v>
      </c>
      <c r="G56" s="16">
        <v>49.5</v>
      </c>
      <c r="H56" s="16">
        <v>-9</v>
      </c>
      <c r="I56" s="16">
        <v>1958</v>
      </c>
      <c r="J56" s="16">
        <v>2008</v>
      </c>
      <c r="K56" s="16">
        <v>51</v>
      </c>
      <c r="M56" s="6" t="s">
        <v>151</v>
      </c>
      <c r="N56" s="6" t="s">
        <v>36</v>
      </c>
      <c r="O56" s="6" t="s">
        <v>40</v>
      </c>
      <c r="P56" s="6" t="s">
        <v>65</v>
      </c>
      <c r="Q56" s="6" t="s">
        <v>29</v>
      </c>
      <c r="U56" s="6">
        <v>-3.5588235294117627</v>
      </c>
      <c r="V56" s="6" t="s">
        <v>42</v>
      </c>
      <c r="W56" s="23" t="s">
        <v>42</v>
      </c>
      <c r="X56" s="6" t="s">
        <v>73</v>
      </c>
      <c r="AA56" s="6" t="s">
        <v>643</v>
      </c>
    </row>
    <row r="57" spans="1:27" s="6" customFormat="1" hidden="1">
      <c r="A57" s="6">
        <v>187</v>
      </c>
      <c r="B57" s="6" t="s">
        <v>73</v>
      </c>
      <c r="C57" s="6" t="s">
        <v>118</v>
      </c>
      <c r="D57" s="6">
        <v>2011</v>
      </c>
      <c r="E57" s="6" t="s">
        <v>646</v>
      </c>
      <c r="F57" s="6" t="s">
        <v>147</v>
      </c>
      <c r="G57" s="16">
        <v>51</v>
      </c>
      <c r="H57" s="16">
        <v>-13.5</v>
      </c>
      <c r="I57" s="16">
        <v>1958</v>
      </c>
      <c r="J57" s="16">
        <v>2008</v>
      </c>
      <c r="K57" s="16">
        <v>51</v>
      </c>
      <c r="M57" s="6" t="s">
        <v>151</v>
      </c>
      <c r="N57" s="6" t="s">
        <v>36</v>
      </c>
      <c r="O57" s="6" t="s">
        <v>40</v>
      </c>
      <c r="P57" s="6" t="s">
        <v>65</v>
      </c>
      <c r="Q57" s="6" t="s">
        <v>29</v>
      </c>
      <c r="U57" s="6">
        <v>-2.965686274509804</v>
      </c>
      <c r="V57" s="6" t="s">
        <v>42</v>
      </c>
      <c r="W57" s="23" t="s">
        <v>42</v>
      </c>
      <c r="X57" s="6" t="s">
        <v>73</v>
      </c>
      <c r="AA57" s="6" t="s">
        <v>643</v>
      </c>
    </row>
    <row r="58" spans="1:27" s="6" customFormat="1" hidden="1">
      <c r="A58" s="6">
        <v>188</v>
      </c>
      <c r="B58" s="6" t="s">
        <v>73</v>
      </c>
      <c r="C58" s="6" t="s">
        <v>118</v>
      </c>
      <c r="D58" s="6">
        <v>2011</v>
      </c>
      <c r="E58" s="6" t="s">
        <v>647</v>
      </c>
      <c r="F58" s="6" t="s">
        <v>147</v>
      </c>
      <c r="G58" s="16">
        <v>41</v>
      </c>
      <c r="H58" s="16">
        <v>-15</v>
      </c>
      <c r="I58" s="16">
        <v>1958</v>
      </c>
      <c r="J58" s="16">
        <v>2008</v>
      </c>
      <c r="K58" s="16">
        <v>51</v>
      </c>
      <c r="M58" s="6" t="s">
        <v>151</v>
      </c>
      <c r="N58" s="6" t="s">
        <v>36</v>
      </c>
      <c r="O58" s="6" t="s">
        <v>40</v>
      </c>
      <c r="P58" s="6" t="s">
        <v>65</v>
      </c>
      <c r="Q58" s="6" t="s">
        <v>29</v>
      </c>
      <c r="U58" s="6">
        <v>-0.59313725490196401</v>
      </c>
      <c r="V58" s="6" t="s">
        <v>42</v>
      </c>
      <c r="W58" s="23" t="s">
        <v>42</v>
      </c>
      <c r="X58" s="6" t="s">
        <v>73</v>
      </c>
      <c r="AA58" s="6" t="s">
        <v>643</v>
      </c>
    </row>
    <row r="59" spans="1:27" s="6" customFormat="1" hidden="1">
      <c r="A59" s="6">
        <v>189</v>
      </c>
      <c r="B59" s="6" t="s">
        <v>73</v>
      </c>
      <c r="C59" s="6" t="s">
        <v>118</v>
      </c>
      <c r="D59" s="6">
        <v>2011</v>
      </c>
      <c r="E59" s="6" t="s">
        <v>648</v>
      </c>
      <c r="F59" s="6" t="s">
        <v>147</v>
      </c>
      <c r="G59" s="16">
        <v>45</v>
      </c>
      <c r="H59" s="16">
        <v>-20</v>
      </c>
      <c r="I59" s="16">
        <v>1958</v>
      </c>
      <c r="J59" s="16">
        <v>2008</v>
      </c>
      <c r="K59" s="16">
        <v>51</v>
      </c>
      <c r="M59" s="6" t="s">
        <v>151</v>
      </c>
      <c r="N59" s="6" t="s">
        <v>36</v>
      </c>
      <c r="O59" s="6" t="s">
        <v>40</v>
      </c>
      <c r="P59" s="6" t="s">
        <v>65</v>
      </c>
      <c r="Q59" s="6" t="s">
        <v>29</v>
      </c>
      <c r="U59" s="6">
        <v>-0.29656862745097934</v>
      </c>
      <c r="V59" s="6" t="s">
        <v>42</v>
      </c>
      <c r="W59" s="23" t="s">
        <v>42</v>
      </c>
      <c r="X59" s="6" t="s">
        <v>73</v>
      </c>
      <c r="AA59" s="6" t="s">
        <v>643</v>
      </c>
    </row>
    <row r="60" spans="1:27" s="6" customFormat="1" hidden="1">
      <c r="A60" s="6">
        <v>190</v>
      </c>
      <c r="B60" s="6" t="s">
        <v>73</v>
      </c>
      <c r="C60" s="6" t="s">
        <v>118</v>
      </c>
      <c r="D60" s="6">
        <v>2011</v>
      </c>
      <c r="E60" s="6" t="s">
        <v>126</v>
      </c>
      <c r="F60" s="6" t="s">
        <v>147</v>
      </c>
      <c r="G60" s="16">
        <v>55</v>
      </c>
      <c r="H60" s="16">
        <v>-18.5</v>
      </c>
      <c r="I60" s="16">
        <v>1958</v>
      </c>
      <c r="J60" s="16">
        <v>2008</v>
      </c>
      <c r="K60" s="16">
        <v>51</v>
      </c>
      <c r="M60" s="6" t="s">
        <v>151</v>
      </c>
      <c r="N60" s="6" t="s">
        <v>36</v>
      </c>
      <c r="O60" s="6" t="s">
        <v>40</v>
      </c>
      <c r="P60" s="6" t="s">
        <v>65</v>
      </c>
      <c r="Q60" s="6" t="s">
        <v>29</v>
      </c>
      <c r="U60" s="6">
        <v>0.59313725490196401</v>
      </c>
      <c r="V60" s="6" t="s">
        <v>642</v>
      </c>
      <c r="W60" s="23" t="s">
        <v>42</v>
      </c>
      <c r="X60" s="6" t="s">
        <v>73</v>
      </c>
      <c r="AA60" s="6" t="s">
        <v>643</v>
      </c>
    </row>
    <row r="61" spans="1:27" s="6" customFormat="1" hidden="1">
      <c r="A61" s="6">
        <v>191</v>
      </c>
      <c r="B61" s="6" t="s">
        <v>73</v>
      </c>
      <c r="C61" s="6" t="s">
        <v>118</v>
      </c>
      <c r="D61" s="6">
        <v>2011</v>
      </c>
      <c r="E61" s="6" t="s">
        <v>127</v>
      </c>
      <c r="F61" s="6" t="s">
        <v>147</v>
      </c>
      <c r="G61" s="16">
        <v>60</v>
      </c>
      <c r="H61" s="16">
        <v>-10</v>
      </c>
      <c r="I61" s="16">
        <v>1958</v>
      </c>
      <c r="J61" s="16">
        <v>2008</v>
      </c>
      <c r="K61" s="16">
        <v>51</v>
      </c>
      <c r="M61" s="6" t="s">
        <v>151</v>
      </c>
      <c r="N61" s="6" t="s">
        <v>36</v>
      </c>
      <c r="O61" s="6" t="s">
        <v>40</v>
      </c>
      <c r="P61" s="6" t="s">
        <v>65</v>
      </c>
      <c r="Q61" s="6" t="s">
        <v>29</v>
      </c>
      <c r="U61" s="6">
        <v>-2.965686274509804</v>
      </c>
      <c r="V61" s="6" t="s">
        <v>42</v>
      </c>
      <c r="W61" s="23" t="s">
        <v>42</v>
      </c>
      <c r="X61" s="6" t="s">
        <v>73</v>
      </c>
      <c r="AA61" s="6" t="s">
        <v>643</v>
      </c>
    </row>
    <row r="62" spans="1:27" s="6" customFormat="1" hidden="1">
      <c r="A62" s="6">
        <v>192</v>
      </c>
      <c r="B62" s="6" t="s">
        <v>73</v>
      </c>
      <c r="C62" s="6" t="s">
        <v>118</v>
      </c>
      <c r="D62" s="6">
        <v>2011</v>
      </c>
      <c r="E62" s="6" t="s">
        <v>649</v>
      </c>
      <c r="F62" s="6" t="s">
        <v>147</v>
      </c>
      <c r="G62" s="16">
        <v>56.388946666666669</v>
      </c>
      <c r="H62" s="16">
        <v>-8.3386316666666662</v>
      </c>
      <c r="I62" s="16">
        <v>1958</v>
      </c>
      <c r="J62" s="16">
        <v>2008</v>
      </c>
      <c r="K62" s="16">
        <v>51</v>
      </c>
      <c r="M62" s="6" t="s">
        <v>151</v>
      </c>
      <c r="N62" s="6" t="s">
        <v>36</v>
      </c>
      <c r="O62" s="6" t="s">
        <v>40</v>
      </c>
      <c r="P62" s="6" t="s">
        <v>65</v>
      </c>
      <c r="Q62" s="6" t="s">
        <v>29</v>
      </c>
      <c r="U62" s="6">
        <v>-1.1862745098039227</v>
      </c>
      <c r="V62" s="6" t="s">
        <v>42</v>
      </c>
      <c r="W62" s="23" t="s">
        <v>42</v>
      </c>
      <c r="X62" s="6" t="s">
        <v>73</v>
      </c>
      <c r="AA62" s="6" t="s">
        <v>643</v>
      </c>
    </row>
    <row r="63" spans="1:27" s="6" customFormat="1" ht="16" hidden="1">
      <c r="A63" s="6">
        <v>171</v>
      </c>
      <c r="B63" s="6" t="s">
        <v>73</v>
      </c>
      <c r="C63" s="6" t="s">
        <v>634</v>
      </c>
      <c r="D63" s="6">
        <v>2012</v>
      </c>
      <c r="E63" s="6" t="s">
        <v>635</v>
      </c>
      <c r="F63" s="6" t="s">
        <v>147</v>
      </c>
      <c r="G63" s="16">
        <v>66.332499999999996</v>
      </c>
      <c r="H63" s="16">
        <v>33.668333333333337</v>
      </c>
      <c r="I63" s="16">
        <v>1964</v>
      </c>
      <c r="J63" s="16">
        <v>2010</v>
      </c>
      <c r="K63" s="16">
        <v>47</v>
      </c>
      <c r="M63" s="6" t="s">
        <v>151</v>
      </c>
      <c r="N63" s="6" t="s">
        <v>36</v>
      </c>
      <c r="O63" s="6" t="s">
        <v>40</v>
      </c>
      <c r="P63" s="34" t="s">
        <v>278</v>
      </c>
      <c r="Q63" s="34" t="s">
        <v>636</v>
      </c>
      <c r="R63" s="34"/>
      <c r="S63" s="34"/>
      <c r="T63" s="34"/>
      <c r="U63" s="6" t="s">
        <v>40</v>
      </c>
      <c r="V63" s="6" t="s">
        <v>42</v>
      </c>
      <c r="W63" s="23" t="s">
        <v>42</v>
      </c>
      <c r="X63" s="6" t="s">
        <v>73</v>
      </c>
      <c r="AA63" s="6" t="s">
        <v>637</v>
      </c>
    </row>
    <row r="64" spans="1:27" s="6" customFormat="1" ht="16" hidden="1">
      <c r="A64" s="6">
        <v>172</v>
      </c>
      <c r="B64" s="6" t="s">
        <v>73</v>
      </c>
      <c r="C64" s="6" t="s">
        <v>634</v>
      </c>
      <c r="D64" s="6">
        <v>2012</v>
      </c>
      <c r="E64" s="6" t="s">
        <v>635</v>
      </c>
      <c r="F64" s="6" t="s">
        <v>147</v>
      </c>
      <c r="G64" s="16">
        <v>66.332499999999996</v>
      </c>
      <c r="H64" s="16">
        <v>33.668333333333337</v>
      </c>
      <c r="I64" s="16">
        <v>1964</v>
      </c>
      <c r="J64" s="16">
        <v>2010</v>
      </c>
      <c r="K64" s="16">
        <v>47</v>
      </c>
      <c r="M64" s="6" t="s">
        <v>151</v>
      </c>
      <c r="N64" s="6" t="s">
        <v>36</v>
      </c>
      <c r="O64" s="6" t="s">
        <v>40</v>
      </c>
      <c r="P64" s="34" t="s">
        <v>638</v>
      </c>
      <c r="Q64" s="34" t="s">
        <v>636</v>
      </c>
      <c r="R64" s="34"/>
      <c r="S64" s="34"/>
      <c r="T64" s="34"/>
      <c r="U64" s="6" t="s">
        <v>40</v>
      </c>
      <c r="V64" s="6" t="s">
        <v>42</v>
      </c>
      <c r="W64" s="23" t="s">
        <v>42</v>
      </c>
      <c r="X64" s="6" t="s">
        <v>73</v>
      </c>
      <c r="AA64" s="6" t="s">
        <v>639</v>
      </c>
    </row>
    <row r="65" spans="1:31" s="6" customFormat="1" hidden="1">
      <c r="B65" s="6" t="s">
        <v>73</v>
      </c>
      <c r="C65" s="6" t="s">
        <v>61</v>
      </c>
      <c r="D65" s="6">
        <v>2012</v>
      </c>
      <c r="E65" s="6" t="s">
        <v>62</v>
      </c>
      <c r="F65" s="6" t="s">
        <v>147</v>
      </c>
      <c r="G65" s="16">
        <v>56.5</v>
      </c>
      <c r="H65" s="16">
        <v>-1.5</v>
      </c>
      <c r="I65" s="16">
        <v>1983</v>
      </c>
      <c r="J65" s="16">
        <v>2006</v>
      </c>
      <c r="K65" s="16">
        <v>24</v>
      </c>
      <c r="L65" s="6" t="s">
        <v>623</v>
      </c>
      <c r="M65" s="6" t="s">
        <v>151</v>
      </c>
      <c r="N65" s="6" t="s">
        <v>36</v>
      </c>
      <c r="O65" s="6" t="s">
        <v>151</v>
      </c>
      <c r="P65" s="6" t="s">
        <v>640</v>
      </c>
      <c r="Q65" s="6" t="s">
        <v>29</v>
      </c>
      <c r="U65" s="6">
        <v>-6.3259514179087803</v>
      </c>
      <c r="V65" s="6" t="s">
        <v>42</v>
      </c>
      <c r="W65" s="6" t="s">
        <v>42</v>
      </c>
      <c r="X65" s="6" t="s">
        <v>73</v>
      </c>
      <c r="AA65" s="6" t="s">
        <v>641</v>
      </c>
    </row>
    <row r="66" spans="1:31" s="6" customFormat="1" hidden="1">
      <c r="B66" s="6" t="s">
        <v>73</v>
      </c>
      <c r="C66" s="6" t="s">
        <v>61</v>
      </c>
      <c r="D66" s="6">
        <v>2012</v>
      </c>
      <c r="E66" s="6" t="s">
        <v>62</v>
      </c>
      <c r="F66" s="6" t="s">
        <v>147</v>
      </c>
      <c r="G66" s="16">
        <v>56.5</v>
      </c>
      <c r="H66" s="16">
        <v>-1.5</v>
      </c>
      <c r="I66" s="16">
        <v>1983</v>
      </c>
      <c r="J66" s="16">
        <v>2006</v>
      </c>
      <c r="K66" s="16">
        <v>24</v>
      </c>
      <c r="L66" s="6" t="s">
        <v>623</v>
      </c>
      <c r="M66" s="6" t="s">
        <v>151</v>
      </c>
      <c r="N66" s="6" t="s">
        <v>36</v>
      </c>
      <c r="O66" s="6" t="s">
        <v>151</v>
      </c>
      <c r="P66" s="6" t="s">
        <v>64</v>
      </c>
      <c r="Q66" s="6" t="s">
        <v>29</v>
      </c>
      <c r="U66" s="6">
        <v>-11.267290889181799</v>
      </c>
      <c r="V66" s="6" t="s">
        <v>42</v>
      </c>
      <c r="W66" s="6" t="s">
        <v>42</v>
      </c>
      <c r="X66" s="6" t="s">
        <v>73</v>
      </c>
      <c r="AA66" s="6" t="s">
        <v>641</v>
      </c>
    </row>
    <row r="67" spans="1:31" s="6" customFormat="1" hidden="1">
      <c r="B67" s="6" t="s">
        <v>73</v>
      </c>
      <c r="C67" s="6" t="s">
        <v>61</v>
      </c>
      <c r="D67" s="6">
        <v>2012</v>
      </c>
      <c r="E67" s="6" t="s">
        <v>62</v>
      </c>
      <c r="F67" s="6" t="s">
        <v>147</v>
      </c>
      <c r="G67" s="16">
        <v>56.5</v>
      </c>
      <c r="H67" s="16">
        <v>-1.5</v>
      </c>
      <c r="I67" s="16">
        <v>1983</v>
      </c>
      <c r="J67" s="16">
        <v>2006</v>
      </c>
      <c r="K67" s="16">
        <v>24</v>
      </c>
      <c r="L67" s="6" t="s">
        <v>623</v>
      </c>
      <c r="M67" s="6" t="s">
        <v>151</v>
      </c>
      <c r="N67" s="6" t="s">
        <v>36</v>
      </c>
      <c r="O67" s="6" t="s">
        <v>151</v>
      </c>
      <c r="P67" s="6" t="s">
        <v>65</v>
      </c>
      <c r="Q67" s="6" t="s">
        <v>29</v>
      </c>
      <c r="U67" s="6">
        <v>-1.00315090840018</v>
      </c>
      <c r="V67" s="6" t="s">
        <v>42</v>
      </c>
      <c r="W67" s="6" t="s">
        <v>42</v>
      </c>
      <c r="X67" s="6" t="s">
        <v>73</v>
      </c>
      <c r="AA67" s="6" t="s">
        <v>641</v>
      </c>
    </row>
    <row r="68" spans="1:31" s="6" customFormat="1" hidden="1">
      <c r="B68" s="6" t="s">
        <v>73</v>
      </c>
      <c r="C68" s="6" t="s">
        <v>61</v>
      </c>
      <c r="D68" s="6">
        <v>2012</v>
      </c>
      <c r="E68" s="6" t="s">
        <v>62</v>
      </c>
      <c r="F68" s="6" t="s">
        <v>147</v>
      </c>
      <c r="G68" s="16">
        <v>56.5</v>
      </c>
      <c r="H68" s="16">
        <v>-1.5</v>
      </c>
      <c r="I68" s="16">
        <v>1983</v>
      </c>
      <c r="J68" s="16">
        <v>2006</v>
      </c>
      <c r="K68" s="16">
        <v>24</v>
      </c>
      <c r="L68" s="6" t="s">
        <v>623</v>
      </c>
      <c r="M68" s="6" t="s">
        <v>151</v>
      </c>
      <c r="N68" s="6" t="s">
        <v>36</v>
      </c>
      <c r="O68" s="6" t="s">
        <v>151</v>
      </c>
      <c r="P68" s="6" t="s">
        <v>66</v>
      </c>
      <c r="Q68" s="6" t="s">
        <v>29</v>
      </c>
      <c r="U68" s="6">
        <v>12.411674003888301</v>
      </c>
      <c r="V68" s="6" t="s">
        <v>642</v>
      </c>
      <c r="W68" s="6" t="s">
        <v>42</v>
      </c>
      <c r="X68" s="6" t="s">
        <v>73</v>
      </c>
      <c r="AA68" s="6" t="s">
        <v>641</v>
      </c>
    </row>
    <row r="69" spans="1:31" s="6" customFormat="1" hidden="1">
      <c r="B69" s="6" t="s">
        <v>73</v>
      </c>
      <c r="C69" s="6" t="s">
        <v>61</v>
      </c>
      <c r="D69" s="6">
        <v>2012</v>
      </c>
      <c r="E69" s="6" t="s">
        <v>62</v>
      </c>
      <c r="F69" s="6" t="s">
        <v>147</v>
      </c>
      <c r="G69" s="16">
        <v>56.5</v>
      </c>
      <c r="H69" s="16">
        <v>-1.5</v>
      </c>
      <c r="I69" s="16">
        <v>1983</v>
      </c>
      <c r="J69" s="16">
        <v>2006</v>
      </c>
      <c r="K69" s="16">
        <v>24</v>
      </c>
      <c r="L69" s="6" t="s">
        <v>623</v>
      </c>
      <c r="M69" s="6" t="s">
        <v>151</v>
      </c>
      <c r="N69" s="6" t="s">
        <v>36</v>
      </c>
      <c r="O69" s="6" t="s">
        <v>151</v>
      </c>
      <c r="P69" s="6" t="s">
        <v>67</v>
      </c>
      <c r="Q69" s="6" t="s">
        <v>29</v>
      </c>
      <c r="U69" s="6">
        <v>-6.2285190730519098</v>
      </c>
      <c r="V69" s="6" t="s">
        <v>42</v>
      </c>
      <c r="W69" s="6" t="s">
        <v>42</v>
      </c>
      <c r="X69" s="6" t="s">
        <v>73</v>
      </c>
      <c r="AA69" s="6" t="s">
        <v>641</v>
      </c>
    </row>
    <row r="70" spans="1:31" s="6" customFormat="1" ht="16" hidden="1">
      <c r="A70" s="6">
        <v>42</v>
      </c>
      <c r="B70" s="6" t="s">
        <v>73</v>
      </c>
      <c r="C70" s="6" t="s">
        <v>25</v>
      </c>
      <c r="D70" s="6">
        <v>2017</v>
      </c>
      <c r="E70" s="6" t="s">
        <v>26</v>
      </c>
      <c r="F70" s="6" t="s">
        <v>147</v>
      </c>
      <c r="G70" s="18">
        <v>45.427700000000002</v>
      </c>
      <c r="H70" s="16">
        <v>-0.86129999999999995</v>
      </c>
      <c r="I70" s="16">
        <v>1985</v>
      </c>
      <c r="J70" s="16">
        <v>2010</v>
      </c>
      <c r="K70" s="16">
        <v>26</v>
      </c>
      <c r="L70" s="6" t="s">
        <v>623</v>
      </c>
      <c r="M70" s="6" t="s">
        <v>151</v>
      </c>
      <c r="N70" s="6" t="s">
        <v>36</v>
      </c>
      <c r="O70" s="6" t="s">
        <v>36</v>
      </c>
      <c r="P70" s="6" t="s">
        <v>628</v>
      </c>
      <c r="Q70" s="6" t="s">
        <v>29</v>
      </c>
      <c r="R70" s="19" t="s">
        <v>624</v>
      </c>
      <c r="S70" s="6">
        <v>135</v>
      </c>
      <c r="T70" s="6" t="s">
        <v>52</v>
      </c>
      <c r="U70" s="6" t="s">
        <v>40</v>
      </c>
      <c r="V70" s="6" t="s">
        <v>41</v>
      </c>
      <c r="W70" s="6" t="s">
        <v>42</v>
      </c>
      <c r="X70" s="6" t="s">
        <v>73</v>
      </c>
      <c r="Y70" s="6" t="s">
        <v>43</v>
      </c>
      <c r="Z70" s="6" t="s">
        <v>629</v>
      </c>
      <c r="AA70" s="6" t="s">
        <v>630</v>
      </c>
      <c r="AB70" s="20" t="s">
        <v>44</v>
      </c>
      <c r="AC70" s="20" t="s">
        <v>631</v>
      </c>
      <c r="AD70" s="20" t="s">
        <v>42</v>
      </c>
      <c r="AE70" s="6" t="s">
        <v>130</v>
      </c>
    </row>
    <row r="71" spans="1:31" s="6" customFormat="1" ht="16" hidden="1">
      <c r="A71" s="6">
        <v>43</v>
      </c>
      <c r="B71" s="6" t="s">
        <v>73</v>
      </c>
      <c r="C71" s="6" t="s">
        <v>25</v>
      </c>
      <c r="D71" s="6">
        <v>2017</v>
      </c>
      <c r="E71" s="6" t="s">
        <v>26</v>
      </c>
      <c r="F71" s="6" t="s">
        <v>147</v>
      </c>
      <c r="G71" s="18">
        <v>45.427700000000002</v>
      </c>
      <c r="H71" s="16">
        <v>-0.86129999999999995</v>
      </c>
      <c r="I71" s="16">
        <v>1985</v>
      </c>
      <c r="J71" s="16">
        <v>2010</v>
      </c>
      <c r="K71" s="16">
        <v>26</v>
      </c>
      <c r="L71" s="6" t="s">
        <v>623</v>
      </c>
      <c r="M71" s="6" t="s">
        <v>151</v>
      </c>
      <c r="N71" s="6" t="s">
        <v>36</v>
      </c>
      <c r="O71" s="6" t="s">
        <v>36</v>
      </c>
      <c r="P71" s="6" t="s">
        <v>632</v>
      </c>
      <c r="Q71" s="6" t="s">
        <v>29</v>
      </c>
      <c r="R71" s="19" t="s">
        <v>624</v>
      </c>
      <c r="S71" s="6">
        <v>227</v>
      </c>
      <c r="T71" s="6" t="s">
        <v>53</v>
      </c>
      <c r="U71" s="6" t="s">
        <v>40</v>
      </c>
      <c r="V71" s="6" t="s">
        <v>42</v>
      </c>
      <c r="W71" s="6" t="s">
        <v>42</v>
      </c>
      <c r="X71" s="6" t="s">
        <v>73</v>
      </c>
      <c r="Y71" s="6" t="s">
        <v>43</v>
      </c>
      <c r="Z71" s="6" t="s">
        <v>629</v>
      </c>
      <c r="AA71" s="6" t="s">
        <v>630</v>
      </c>
      <c r="AB71" s="20" t="s">
        <v>44</v>
      </c>
      <c r="AC71" s="20" t="s">
        <v>631</v>
      </c>
      <c r="AD71" s="20" t="s">
        <v>42</v>
      </c>
      <c r="AE71" s="6" t="s">
        <v>130</v>
      </c>
    </row>
    <row r="72" spans="1:31" s="6" customFormat="1" ht="16" hidden="1">
      <c r="A72" s="6">
        <v>44</v>
      </c>
      <c r="B72" s="6" t="s">
        <v>73</v>
      </c>
      <c r="C72" s="6" t="s">
        <v>25</v>
      </c>
      <c r="D72" s="6">
        <v>2017</v>
      </c>
      <c r="E72" s="6" t="s">
        <v>26</v>
      </c>
      <c r="F72" s="6" t="s">
        <v>147</v>
      </c>
      <c r="G72" s="18">
        <v>45.427700000000002</v>
      </c>
      <c r="H72" s="16">
        <v>-0.86129999999999995</v>
      </c>
      <c r="I72" s="16">
        <v>1985</v>
      </c>
      <c r="J72" s="16">
        <v>2010</v>
      </c>
      <c r="K72" s="16">
        <v>26</v>
      </c>
      <c r="L72" s="6" t="s">
        <v>623</v>
      </c>
      <c r="M72" s="6" t="s">
        <v>151</v>
      </c>
      <c r="N72" s="6" t="s">
        <v>36</v>
      </c>
      <c r="O72" s="6" t="s">
        <v>36</v>
      </c>
      <c r="P72" s="6" t="s">
        <v>633</v>
      </c>
      <c r="Q72" s="6" t="s">
        <v>29</v>
      </c>
      <c r="R72" s="19" t="s">
        <v>624</v>
      </c>
      <c r="S72" s="6">
        <v>258</v>
      </c>
      <c r="T72" s="6" t="s">
        <v>54</v>
      </c>
      <c r="U72" s="6" t="s">
        <v>40</v>
      </c>
      <c r="V72" s="6" t="s">
        <v>41</v>
      </c>
      <c r="W72" s="6" t="s">
        <v>42</v>
      </c>
      <c r="X72" s="6" t="s">
        <v>73</v>
      </c>
      <c r="Y72" s="6" t="s">
        <v>43</v>
      </c>
      <c r="Z72" s="6" t="s">
        <v>629</v>
      </c>
      <c r="AA72" s="6" t="s">
        <v>630</v>
      </c>
      <c r="AB72" s="20" t="s">
        <v>44</v>
      </c>
      <c r="AC72" s="20" t="s">
        <v>631</v>
      </c>
      <c r="AD72" s="20" t="s">
        <v>42</v>
      </c>
      <c r="AE72" s="6" t="s">
        <v>130</v>
      </c>
    </row>
    <row r="73" spans="1:31" s="6" customFormat="1" ht="16" hidden="1">
      <c r="B73" s="6" t="s">
        <v>73</v>
      </c>
      <c r="C73" s="6" t="s">
        <v>622</v>
      </c>
      <c r="D73" s="6">
        <v>2019</v>
      </c>
      <c r="E73" s="6" t="s">
        <v>28</v>
      </c>
      <c r="F73" s="6" t="s">
        <v>147</v>
      </c>
      <c r="G73" s="16">
        <v>45.557000000000002</v>
      </c>
      <c r="H73" s="16">
        <v>-3.1631999999999998</v>
      </c>
      <c r="I73" s="16">
        <v>1970</v>
      </c>
      <c r="J73" s="16">
        <v>2012</v>
      </c>
      <c r="K73" s="16">
        <v>43</v>
      </c>
      <c r="L73" s="6" t="s">
        <v>623</v>
      </c>
      <c r="M73" s="6" t="s">
        <v>151</v>
      </c>
      <c r="N73" s="17" t="s">
        <v>36</v>
      </c>
      <c r="O73" s="6" t="s">
        <v>181</v>
      </c>
      <c r="P73" s="6" t="s">
        <v>56</v>
      </c>
      <c r="Q73" s="6" t="s">
        <v>29</v>
      </c>
      <c r="R73" s="6" t="s">
        <v>624</v>
      </c>
      <c r="S73" s="6">
        <v>210</v>
      </c>
      <c r="T73" s="6" t="s">
        <v>53</v>
      </c>
      <c r="U73" s="6">
        <v>-16.666666666666668</v>
      </c>
      <c r="V73" s="6" t="s">
        <v>42</v>
      </c>
      <c r="W73" s="6" t="s">
        <v>42</v>
      </c>
      <c r="X73" s="6" t="s">
        <v>73</v>
      </c>
      <c r="Y73" s="6" t="s">
        <v>625</v>
      </c>
      <c r="Z73" s="6" t="s">
        <v>626</v>
      </c>
      <c r="AA73" s="6" t="s">
        <v>627</v>
      </c>
      <c r="AB73" s="6" t="s">
        <v>130</v>
      </c>
      <c r="AC73" s="6" t="s">
        <v>60</v>
      </c>
      <c r="AD73" s="6" t="s">
        <v>42</v>
      </c>
      <c r="AE73" s="6" t="s">
        <v>130</v>
      </c>
    </row>
    <row r="74" spans="1:31" ht="16" hidden="1">
      <c r="A74">
        <v>45</v>
      </c>
      <c r="B74" t="s">
        <v>73</v>
      </c>
      <c r="C74" t="s">
        <v>25</v>
      </c>
      <c r="D74">
        <v>2017</v>
      </c>
      <c r="E74" t="s">
        <v>26</v>
      </c>
      <c r="F74" t="s">
        <v>147</v>
      </c>
      <c r="G74" s="28">
        <v>45.427700000000002</v>
      </c>
      <c r="H74" s="21">
        <v>-0.86129999999999995</v>
      </c>
      <c r="I74" s="21">
        <v>1985</v>
      </c>
      <c r="J74" s="21">
        <v>2010</v>
      </c>
      <c r="K74" s="21">
        <v>26</v>
      </c>
      <c r="L74" t="s">
        <v>623</v>
      </c>
      <c r="M74" t="s">
        <v>396</v>
      </c>
      <c r="N74" t="s">
        <v>654</v>
      </c>
      <c r="O74" t="s">
        <v>37</v>
      </c>
      <c r="P74" t="s">
        <v>784</v>
      </c>
      <c r="Q74" t="s">
        <v>29</v>
      </c>
      <c r="R74" s="29" t="s">
        <v>624</v>
      </c>
      <c r="S74">
        <v>196</v>
      </c>
      <c r="T74" t="s">
        <v>53</v>
      </c>
      <c r="U74" t="s">
        <v>40</v>
      </c>
      <c r="V74" t="s">
        <v>42</v>
      </c>
      <c r="W74" t="s">
        <v>42</v>
      </c>
      <c r="X74" t="s">
        <v>73</v>
      </c>
      <c r="Y74" t="s">
        <v>43</v>
      </c>
      <c r="Z74" t="s">
        <v>629</v>
      </c>
      <c r="AA74" t="s">
        <v>630</v>
      </c>
      <c r="AB74" s="30" t="s">
        <v>44</v>
      </c>
      <c r="AC74" s="30" t="s">
        <v>631</v>
      </c>
      <c r="AD74" s="30" t="s">
        <v>42</v>
      </c>
      <c r="AE74" t="s">
        <v>130</v>
      </c>
    </row>
    <row r="75" spans="1:31" ht="16" hidden="1">
      <c r="A75">
        <v>46</v>
      </c>
      <c r="B75" t="s">
        <v>73</v>
      </c>
      <c r="C75" t="s">
        <v>25</v>
      </c>
      <c r="D75">
        <v>2017</v>
      </c>
      <c r="E75" t="s">
        <v>26</v>
      </c>
      <c r="F75" t="s">
        <v>147</v>
      </c>
      <c r="G75" s="28">
        <v>45.427700000000002</v>
      </c>
      <c r="H75" s="21">
        <v>-0.86129999999999995</v>
      </c>
      <c r="I75" s="21">
        <v>1985</v>
      </c>
      <c r="J75" s="21">
        <v>2010</v>
      </c>
      <c r="K75" s="21">
        <v>26</v>
      </c>
      <c r="L75" t="s">
        <v>623</v>
      </c>
      <c r="M75" t="s">
        <v>396</v>
      </c>
      <c r="N75" t="s">
        <v>654</v>
      </c>
      <c r="O75" t="s">
        <v>37</v>
      </c>
      <c r="P75" t="s">
        <v>785</v>
      </c>
      <c r="Q75" t="s">
        <v>29</v>
      </c>
      <c r="R75" s="29" t="s">
        <v>624</v>
      </c>
      <c r="S75">
        <v>227</v>
      </c>
      <c r="T75" t="s">
        <v>53</v>
      </c>
      <c r="U75" t="s">
        <v>40</v>
      </c>
      <c r="V75" t="s">
        <v>41</v>
      </c>
      <c r="W75" t="s">
        <v>42</v>
      </c>
      <c r="X75" t="s">
        <v>73</v>
      </c>
      <c r="Y75" t="s">
        <v>43</v>
      </c>
      <c r="Z75" t="s">
        <v>629</v>
      </c>
      <c r="AA75" t="s">
        <v>630</v>
      </c>
      <c r="AB75" s="30" t="s">
        <v>44</v>
      </c>
      <c r="AC75" s="30" t="s">
        <v>631</v>
      </c>
      <c r="AD75" s="30" t="s">
        <v>42</v>
      </c>
      <c r="AE75" t="s">
        <v>130</v>
      </c>
    </row>
    <row r="76" spans="1:31" ht="16" hidden="1">
      <c r="A76">
        <v>96</v>
      </c>
      <c r="B76" t="s">
        <v>73</v>
      </c>
      <c r="C76" t="s">
        <v>786</v>
      </c>
      <c r="D76">
        <v>2015</v>
      </c>
      <c r="E76" t="s">
        <v>787</v>
      </c>
      <c r="F76" t="s">
        <v>147</v>
      </c>
      <c r="G76" s="28">
        <v>34</v>
      </c>
      <c r="H76" s="21">
        <v>-122</v>
      </c>
      <c r="I76" s="21">
        <v>1951</v>
      </c>
      <c r="J76" s="21">
        <v>2008</v>
      </c>
      <c r="K76" s="21">
        <v>58</v>
      </c>
      <c r="L76" t="s">
        <v>623</v>
      </c>
      <c r="M76" t="s">
        <v>396</v>
      </c>
      <c r="N76" t="s">
        <v>788</v>
      </c>
      <c r="O76" t="s">
        <v>789</v>
      </c>
      <c r="P76" t="s">
        <v>284</v>
      </c>
      <c r="Q76" s="29" t="s">
        <v>636</v>
      </c>
      <c r="R76" s="29" t="s">
        <v>624</v>
      </c>
      <c r="S76">
        <v>74</v>
      </c>
      <c r="T76" s="31" t="s">
        <v>52</v>
      </c>
      <c r="U76">
        <v>-3</v>
      </c>
      <c r="V76" t="s">
        <v>42</v>
      </c>
      <c r="W76" t="s">
        <v>42</v>
      </c>
      <c r="X76" t="s">
        <v>73</v>
      </c>
      <c r="Y76" t="s">
        <v>790</v>
      </c>
      <c r="Z76" t="s">
        <v>791</v>
      </c>
      <c r="AA76" t="s">
        <v>792</v>
      </c>
      <c r="AB76" t="s">
        <v>130</v>
      </c>
      <c r="AC76" s="30" t="s">
        <v>60</v>
      </c>
      <c r="AD76" s="30" t="s">
        <v>42</v>
      </c>
      <c r="AE76" t="s">
        <v>130</v>
      </c>
    </row>
    <row r="77" spans="1:31" ht="16" hidden="1">
      <c r="A77">
        <v>97</v>
      </c>
      <c r="B77" t="s">
        <v>73</v>
      </c>
      <c r="C77" t="s">
        <v>793</v>
      </c>
      <c r="D77">
        <v>2015</v>
      </c>
      <c r="E77" t="s">
        <v>787</v>
      </c>
      <c r="F77" t="s">
        <v>147</v>
      </c>
      <c r="G77" s="28">
        <v>34</v>
      </c>
      <c r="H77" s="21">
        <v>-122</v>
      </c>
      <c r="I77" s="21">
        <v>1951</v>
      </c>
      <c r="J77" s="21">
        <v>2008</v>
      </c>
      <c r="K77" s="21">
        <v>58</v>
      </c>
      <c r="L77" t="s">
        <v>623</v>
      </c>
      <c r="M77" t="s">
        <v>396</v>
      </c>
      <c r="N77" t="s">
        <v>788</v>
      </c>
      <c r="O77" t="s">
        <v>789</v>
      </c>
      <c r="P77" t="s">
        <v>286</v>
      </c>
      <c r="Q77" s="29" t="s">
        <v>636</v>
      </c>
      <c r="R77" s="29" t="s">
        <v>624</v>
      </c>
      <c r="S77">
        <v>105</v>
      </c>
      <c r="T77" s="31" t="s">
        <v>52</v>
      </c>
      <c r="U77">
        <v>-11.1</v>
      </c>
      <c r="V77" t="s">
        <v>42</v>
      </c>
      <c r="W77" t="s">
        <v>42</v>
      </c>
      <c r="X77" t="s">
        <v>73</v>
      </c>
      <c r="Y77" t="s">
        <v>790</v>
      </c>
      <c r="Z77" t="s">
        <v>791</v>
      </c>
      <c r="AA77" t="s">
        <v>792</v>
      </c>
      <c r="AB77" t="s">
        <v>130</v>
      </c>
      <c r="AC77" s="30" t="s">
        <v>60</v>
      </c>
      <c r="AD77" s="30" t="s">
        <v>42</v>
      </c>
      <c r="AE77" t="s">
        <v>130</v>
      </c>
    </row>
    <row r="78" spans="1:31" ht="16" hidden="1">
      <c r="A78">
        <v>98</v>
      </c>
      <c r="B78" t="s">
        <v>73</v>
      </c>
      <c r="C78" t="s">
        <v>794</v>
      </c>
      <c r="D78">
        <v>2015</v>
      </c>
      <c r="E78" t="s">
        <v>787</v>
      </c>
      <c r="F78" t="s">
        <v>147</v>
      </c>
      <c r="G78" s="28">
        <v>34</v>
      </c>
      <c r="H78" s="21">
        <v>-122</v>
      </c>
      <c r="I78" s="21">
        <v>1951</v>
      </c>
      <c r="J78" s="21">
        <v>2008</v>
      </c>
      <c r="K78" s="21">
        <v>58</v>
      </c>
      <c r="L78" t="s">
        <v>623</v>
      </c>
      <c r="M78" t="s">
        <v>396</v>
      </c>
      <c r="N78" t="s">
        <v>788</v>
      </c>
      <c r="O78" t="s">
        <v>789</v>
      </c>
      <c r="P78" t="s">
        <v>287</v>
      </c>
      <c r="Q78" s="29" t="s">
        <v>636</v>
      </c>
      <c r="R78" s="29" t="s">
        <v>624</v>
      </c>
      <c r="S78">
        <v>74</v>
      </c>
      <c r="T78" s="31" t="s">
        <v>52</v>
      </c>
      <c r="U78">
        <v>2</v>
      </c>
      <c r="V78" s="24" t="s">
        <v>642</v>
      </c>
      <c r="W78" s="24" t="s">
        <v>42</v>
      </c>
      <c r="X78" t="s">
        <v>73</v>
      </c>
      <c r="Y78" t="s">
        <v>790</v>
      </c>
      <c r="Z78" t="s">
        <v>791</v>
      </c>
      <c r="AA78" s="24" t="s">
        <v>792</v>
      </c>
      <c r="AB78" t="s">
        <v>130</v>
      </c>
      <c r="AC78" s="30" t="s">
        <v>60</v>
      </c>
      <c r="AD78" s="30" t="s">
        <v>42</v>
      </c>
      <c r="AE78" t="s">
        <v>130</v>
      </c>
    </row>
    <row r="79" spans="1:31" ht="16" hidden="1">
      <c r="A79">
        <v>99</v>
      </c>
      <c r="B79" t="s">
        <v>73</v>
      </c>
      <c r="C79" t="s">
        <v>795</v>
      </c>
      <c r="D79">
        <v>2015</v>
      </c>
      <c r="E79" t="s">
        <v>787</v>
      </c>
      <c r="F79" t="s">
        <v>147</v>
      </c>
      <c r="G79" s="28">
        <v>34</v>
      </c>
      <c r="H79" s="21">
        <v>-122</v>
      </c>
      <c r="I79" s="21">
        <v>1951</v>
      </c>
      <c r="J79" s="21">
        <v>2008</v>
      </c>
      <c r="K79" s="21">
        <v>58</v>
      </c>
      <c r="L79" t="s">
        <v>623</v>
      </c>
      <c r="M79" t="s">
        <v>396</v>
      </c>
      <c r="N79" t="s">
        <v>788</v>
      </c>
      <c r="O79" t="s">
        <v>789</v>
      </c>
      <c r="P79" t="s">
        <v>288</v>
      </c>
      <c r="Q79" s="29" t="s">
        <v>636</v>
      </c>
      <c r="R79" s="29" t="s">
        <v>624</v>
      </c>
      <c r="S79">
        <v>74</v>
      </c>
      <c r="T79" s="31" t="s">
        <v>52</v>
      </c>
      <c r="U79">
        <v>4.5999999999999996</v>
      </c>
      <c r="V79" s="24" t="s">
        <v>642</v>
      </c>
      <c r="W79" t="s">
        <v>42</v>
      </c>
      <c r="X79" t="s">
        <v>73</v>
      </c>
      <c r="Y79" t="s">
        <v>790</v>
      </c>
      <c r="Z79" t="s">
        <v>791</v>
      </c>
      <c r="AA79" t="s">
        <v>792</v>
      </c>
      <c r="AB79" t="s">
        <v>130</v>
      </c>
      <c r="AC79" s="30" t="s">
        <v>60</v>
      </c>
      <c r="AD79" s="30" t="s">
        <v>42</v>
      </c>
      <c r="AE79" t="s">
        <v>130</v>
      </c>
    </row>
    <row r="80" spans="1:31" ht="16" hidden="1">
      <c r="A80">
        <v>100</v>
      </c>
      <c r="B80" t="s">
        <v>73</v>
      </c>
      <c r="C80" t="s">
        <v>796</v>
      </c>
      <c r="D80">
        <v>2015</v>
      </c>
      <c r="E80" t="s">
        <v>787</v>
      </c>
      <c r="F80" t="s">
        <v>147</v>
      </c>
      <c r="G80" s="28">
        <v>34</v>
      </c>
      <c r="H80" s="21">
        <v>-122</v>
      </c>
      <c r="I80" s="21">
        <v>1951</v>
      </c>
      <c r="J80" s="21">
        <v>2008</v>
      </c>
      <c r="K80" s="21">
        <v>58</v>
      </c>
      <c r="L80" t="s">
        <v>623</v>
      </c>
      <c r="M80" t="s">
        <v>396</v>
      </c>
      <c r="N80" t="s">
        <v>788</v>
      </c>
      <c r="O80" t="s">
        <v>789</v>
      </c>
      <c r="P80" t="s">
        <v>289</v>
      </c>
      <c r="Q80" s="29" t="s">
        <v>636</v>
      </c>
      <c r="R80" s="29" t="s">
        <v>624</v>
      </c>
      <c r="S80">
        <v>196</v>
      </c>
      <c r="T80" s="31" t="s">
        <v>53</v>
      </c>
      <c r="U80">
        <v>4.4000000000000004</v>
      </c>
      <c r="V80" s="24" t="s">
        <v>642</v>
      </c>
      <c r="W80" t="s">
        <v>42</v>
      </c>
      <c r="X80" t="s">
        <v>73</v>
      </c>
      <c r="Y80" t="s">
        <v>790</v>
      </c>
      <c r="Z80" t="s">
        <v>791</v>
      </c>
      <c r="AA80" t="s">
        <v>792</v>
      </c>
      <c r="AB80" t="s">
        <v>130</v>
      </c>
      <c r="AC80" s="30" t="s">
        <v>60</v>
      </c>
      <c r="AD80" s="30" t="s">
        <v>42</v>
      </c>
      <c r="AE80" t="s">
        <v>130</v>
      </c>
    </row>
    <row r="81" spans="1:31" ht="16" hidden="1">
      <c r="A81">
        <v>101</v>
      </c>
      <c r="B81" t="s">
        <v>73</v>
      </c>
      <c r="C81" t="s">
        <v>797</v>
      </c>
      <c r="D81">
        <v>2015</v>
      </c>
      <c r="E81" t="s">
        <v>787</v>
      </c>
      <c r="F81" t="s">
        <v>147</v>
      </c>
      <c r="G81" s="28">
        <v>34</v>
      </c>
      <c r="H81" s="21">
        <v>-122</v>
      </c>
      <c r="I81" s="21">
        <v>1951</v>
      </c>
      <c r="J81" s="21">
        <v>2008</v>
      </c>
      <c r="K81" s="21">
        <v>58</v>
      </c>
      <c r="L81" t="s">
        <v>623</v>
      </c>
      <c r="M81" t="s">
        <v>396</v>
      </c>
      <c r="N81" t="s">
        <v>788</v>
      </c>
      <c r="O81" t="s">
        <v>789</v>
      </c>
      <c r="P81" t="s">
        <v>290</v>
      </c>
      <c r="Q81" s="29" t="s">
        <v>636</v>
      </c>
      <c r="R81" s="29" t="s">
        <v>624</v>
      </c>
      <c r="S81">
        <v>74</v>
      </c>
      <c r="T81" s="31" t="s">
        <v>52</v>
      </c>
      <c r="U81">
        <v>1.2</v>
      </c>
      <c r="V81" s="24" t="s">
        <v>642</v>
      </c>
      <c r="W81" t="s">
        <v>42</v>
      </c>
      <c r="X81" t="s">
        <v>73</v>
      </c>
      <c r="Y81" t="s">
        <v>790</v>
      </c>
      <c r="Z81" t="s">
        <v>791</v>
      </c>
      <c r="AA81" t="s">
        <v>792</v>
      </c>
      <c r="AB81" t="s">
        <v>130</v>
      </c>
      <c r="AC81" s="30" t="s">
        <v>60</v>
      </c>
      <c r="AD81" s="30" t="s">
        <v>42</v>
      </c>
      <c r="AE81" t="s">
        <v>130</v>
      </c>
    </row>
    <row r="82" spans="1:31" ht="16" hidden="1">
      <c r="A82">
        <v>102</v>
      </c>
      <c r="B82" t="s">
        <v>73</v>
      </c>
      <c r="C82" t="s">
        <v>798</v>
      </c>
      <c r="D82">
        <v>2015</v>
      </c>
      <c r="E82" t="s">
        <v>787</v>
      </c>
      <c r="F82" t="s">
        <v>147</v>
      </c>
      <c r="G82" s="28">
        <v>34</v>
      </c>
      <c r="H82" s="21">
        <v>-122</v>
      </c>
      <c r="I82" s="21">
        <v>1951</v>
      </c>
      <c r="J82" s="21">
        <v>2008</v>
      </c>
      <c r="K82" s="21">
        <v>58</v>
      </c>
      <c r="L82" t="s">
        <v>623</v>
      </c>
      <c r="M82" t="s">
        <v>396</v>
      </c>
      <c r="N82" t="s">
        <v>788</v>
      </c>
      <c r="O82" t="s">
        <v>789</v>
      </c>
      <c r="P82" t="s">
        <v>799</v>
      </c>
      <c r="Q82" s="29" t="s">
        <v>636</v>
      </c>
      <c r="R82" s="29" t="s">
        <v>624</v>
      </c>
      <c r="S82">
        <v>74</v>
      </c>
      <c r="T82" s="31" t="s">
        <v>52</v>
      </c>
      <c r="U82">
        <v>-3.2</v>
      </c>
      <c r="V82" t="s">
        <v>42</v>
      </c>
      <c r="W82" t="s">
        <v>42</v>
      </c>
      <c r="X82" t="s">
        <v>73</v>
      </c>
      <c r="Y82" t="s">
        <v>790</v>
      </c>
      <c r="Z82" t="s">
        <v>791</v>
      </c>
      <c r="AA82" t="s">
        <v>792</v>
      </c>
      <c r="AB82" t="s">
        <v>130</v>
      </c>
      <c r="AC82" s="30" t="s">
        <v>60</v>
      </c>
      <c r="AD82" s="30" t="s">
        <v>42</v>
      </c>
      <c r="AE82" t="s">
        <v>130</v>
      </c>
    </row>
    <row r="83" spans="1:31" ht="16" hidden="1">
      <c r="A83">
        <v>103</v>
      </c>
      <c r="B83" t="s">
        <v>73</v>
      </c>
      <c r="C83" t="s">
        <v>800</v>
      </c>
      <c r="D83">
        <v>2015</v>
      </c>
      <c r="E83" t="s">
        <v>787</v>
      </c>
      <c r="F83" t="s">
        <v>147</v>
      </c>
      <c r="G83" s="28">
        <v>34</v>
      </c>
      <c r="H83" s="21">
        <v>-122</v>
      </c>
      <c r="I83" s="21">
        <v>1951</v>
      </c>
      <c r="J83" s="21">
        <v>2008</v>
      </c>
      <c r="K83" s="21">
        <v>58</v>
      </c>
      <c r="L83" t="s">
        <v>623</v>
      </c>
      <c r="M83" t="s">
        <v>396</v>
      </c>
      <c r="N83" t="s">
        <v>788</v>
      </c>
      <c r="O83" t="s">
        <v>789</v>
      </c>
      <c r="P83" t="s">
        <v>801</v>
      </c>
      <c r="Q83" s="29" t="s">
        <v>636</v>
      </c>
      <c r="R83" s="29" t="s">
        <v>624</v>
      </c>
      <c r="S83">
        <v>74</v>
      </c>
      <c r="T83" s="31" t="s">
        <v>52</v>
      </c>
      <c r="U83">
        <v>-1.7</v>
      </c>
      <c r="V83" t="s">
        <v>42</v>
      </c>
      <c r="W83" t="s">
        <v>42</v>
      </c>
      <c r="X83" t="s">
        <v>73</v>
      </c>
      <c r="Y83" t="s">
        <v>790</v>
      </c>
      <c r="Z83" t="s">
        <v>791</v>
      </c>
      <c r="AA83" t="s">
        <v>792</v>
      </c>
      <c r="AB83" t="s">
        <v>130</v>
      </c>
      <c r="AC83" s="30" t="s">
        <v>60</v>
      </c>
      <c r="AD83" s="30" t="s">
        <v>42</v>
      </c>
      <c r="AE83" t="s">
        <v>130</v>
      </c>
    </row>
    <row r="84" spans="1:31" ht="16" hidden="1">
      <c r="A84">
        <v>104</v>
      </c>
      <c r="B84" t="s">
        <v>73</v>
      </c>
      <c r="C84" t="s">
        <v>802</v>
      </c>
      <c r="D84">
        <v>2015</v>
      </c>
      <c r="E84" t="s">
        <v>787</v>
      </c>
      <c r="F84" t="s">
        <v>147</v>
      </c>
      <c r="G84" s="28">
        <v>34</v>
      </c>
      <c r="H84" s="21">
        <v>-122</v>
      </c>
      <c r="I84" s="21">
        <v>1951</v>
      </c>
      <c r="J84" s="21">
        <v>2008</v>
      </c>
      <c r="K84" s="21">
        <v>58</v>
      </c>
      <c r="L84" t="s">
        <v>623</v>
      </c>
      <c r="M84" t="s">
        <v>396</v>
      </c>
      <c r="N84" t="s">
        <v>788</v>
      </c>
      <c r="O84" t="s">
        <v>789</v>
      </c>
      <c r="P84" t="s">
        <v>803</v>
      </c>
      <c r="Q84" s="29" t="s">
        <v>636</v>
      </c>
      <c r="R84" s="29" t="s">
        <v>624</v>
      </c>
      <c r="S84">
        <v>74</v>
      </c>
      <c r="T84" s="31" t="s">
        <v>52</v>
      </c>
      <c r="U84">
        <v>-3.8</v>
      </c>
      <c r="V84" t="s">
        <v>42</v>
      </c>
      <c r="W84" t="s">
        <v>42</v>
      </c>
      <c r="X84" t="s">
        <v>73</v>
      </c>
      <c r="Y84" t="s">
        <v>790</v>
      </c>
      <c r="Z84" t="s">
        <v>791</v>
      </c>
      <c r="AA84" t="s">
        <v>792</v>
      </c>
      <c r="AB84" t="s">
        <v>130</v>
      </c>
      <c r="AC84" s="30" t="s">
        <v>60</v>
      </c>
      <c r="AD84" s="30" t="s">
        <v>42</v>
      </c>
      <c r="AE84" t="s">
        <v>130</v>
      </c>
    </row>
    <row r="85" spans="1:31" ht="16" hidden="1">
      <c r="A85">
        <v>105</v>
      </c>
      <c r="B85" t="s">
        <v>73</v>
      </c>
      <c r="C85" t="s">
        <v>804</v>
      </c>
      <c r="D85">
        <v>2015</v>
      </c>
      <c r="E85" t="s">
        <v>787</v>
      </c>
      <c r="F85" t="s">
        <v>147</v>
      </c>
      <c r="G85" s="28">
        <v>34</v>
      </c>
      <c r="H85" s="21">
        <v>-122</v>
      </c>
      <c r="I85" s="21">
        <v>1951</v>
      </c>
      <c r="J85" s="21">
        <v>2008</v>
      </c>
      <c r="K85" s="21">
        <v>58</v>
      </c>
      <c r="L85" t="s">
        <v>623</v>
      </c>
      <c r="M85" t="s">
        <v>396</v>
      </c>
      <c r="N85" t="s">
        <v>788</v>
      </c>
      <c r="O85" t="s">
        <v>789</v>
      </c>
      <c r="P85" t="s">
        <v>293</v>
      </c>
      <c r="Q85" s="29" t="s">
        <v>636</v>
      </c>
      <c r="R85" s="29" t="s">
        <v>624</v>
      </c>
      <c r="S85">
        <v>319</v>
      </c>
      <c r="T85" s="31" t="s">
        <v>54</v>
      </c>
      <c r="U85">
        <v>-9.3000000000000007</v>
      </c>
      <c r="V85" t="s">
        <v>42</v>
      </c>
      <c r="W85" t="s">
        <v>42</v>
      </c>
      <c r="X85" t="s">
        <v>73</v>
      </c>
      <c r="Y85" t="s">
        <v>790</v>
      </c>
      <c r="Z85" t="s">
        <v>791</v>
      </c>
      <c r="AA85" t="s">
        <v>792</v>
      </c>
      <c r="AB85" t="s">
        <v>130</v>
      </c>
      <c r="AC85" s="30" t="s">
        <v>60</v>
      </c>
      <c r="AD85" s="30" t="s">
        <v>42</v>
      </c>
      <c r="AE85" t="s">
        <v>130</v>
      </c>
    </row>
    <row r="86" spans="1:31" ht="16" hidden="1">
      <c r="A86">
        <v>106</v>
      </c>
      <c r="B86" t="s">
        <v>73</v>
      </c>
      <c r="C86" t="s">
        <v>805</v>
      </c>
      <c r="D86">
        <v>2015</v>
      </c>
      <c r="E86" t="s">
        <v>787</v>
      </c>
      <c r="F86" t="s">
        <v>147</v>
      </c>
      <c r="G86" s="28">
        <v>34</v>
      </c>
      <c r="H86" s="21">
        <v>-122</v>
      </c>
      <c r="I86" s="21">
        <v>1951</v>
      </c>
      <c r="J86" s="21">
        <v>2008</v>
      </c>
      <c r="K86" s="21">
        <v>58</v>
      </c>
      <c r="L86" t="s">
        <v>623</v>
      </c>
      <c r="M86" t="s">
        <v>396</v>
      </c>
      <c r="N86" t="s">
        <v>788</v>
      </c>
      <c r="O86" t="s">
        <v>789</v>
      </c>
      <c r="P86" t="s">
        <v>294</v>
      </c>
      <c r="Q86" s="29" t="s">
        <v>636</v>
      </c>
      <c r="R86" s="29" t="s">
        <v>624</v>
      </c>
      <c r="S86">
        <v>227</v>
      </c>
      <c r="T86" s="31" t="s">
        <v>53</v>
      </c>
      <c r="U86">
        <v>-5.6</v>
      </c>
      <c r="V86" t="s">
        <v>42</v>
      </c>
      <c r="W86" t="s">
        <v>42</v>
      </c>
      <c r="X86" t="s">
        <v>73</v>
      </c>
      <c r="Y86" t="s">
        <v>790</v>
      </c>
      <c r="Z86" t="s">
        <v>791</v>
      </c>
      <c r="AA86" t="s">
        <v>792</v>
      </c>
      <c r="AB86" t="s">
        <v>130</v>
      </c>
      <c r="AC86" s="30" t="s">
        <v>60</v>
      </c>
      <c r="AD86" s="30" t="s">
        <v>42</v>
      </c>
      <c r="AE86" t="s">
        <v>130</v>
      </c>
    </row>
    <row r="87" spans="1:31" ht="16" hidden="1">
      <c r="A87">
        <v>107</v>
      </c>
      <c r="B87" t="s">
        <v>73</v>
      </c>
      <c r="C87" t="s">
        <v>806</v>
      </c>
      <c r="D87">
        <v>2015</v>
      </c>
      <c r="E87" t="s">
        <v>787</v>
      </c>
      <c r="F87" t="s">
        <v>147</v>
      </c>
      <c r="G87" s="28">
        <v>34</v>
      </c>
      <c r="H87" s="21">
        <v>-122</v>
      </c>
      <c r="I87" s="21">
        <v>1951</v>
      </c>
      <c r="J87" s="21">
        <v>2008</v>
      </c>
      <c r="K87" s="21">
        <v>58</v>
      </c>
      <c r="L87" t="s">
        <v>623</v>
      </c>
      <c r="M87" t="s">
        <v>396</v>
      </c>
      <c r="N87" t="s">
        <v>788</v>
      </c>
      <c r="O87" t="s">
        <v>789</v>
      </c>
      <c r="P87" t="s">
        <v>295</v>
      </c>
      <c r="Q87" s="29" t="s">
        <v>636</v>
      </c>
      <c r="R87" s="29" t="s">
        <v>624</v>
      </c>
      <c r="S87">
        <v>227</v>
      </c>
      <c r="T87" s="31" t="s">
        <v>53</v>
      </c>
      <c r="U87">
        <v>-0.6</v>
      </c>
      <c r="V87" t="s">
        <v>42</v>
      </c>
      <c r="W87" t="s">
        <v>42</v>
      </c>
      <c r="X87" t="s">
        <v>73</v>
      </c>
      <c r="Y87" t="s">
        <v>790</v>
      </c>
      <c r="Z87" t="s">
        <v>791</v>
      </c>
      <c r="AA87" t="s">
        <v>792</v>
      </c>
      <c r="AB87" t="s">
        <v>130</v>
      </c>
      <c r="AC87" s="30" t="s">
        <v>60</v>
      </c>
      <c r="AD87" s="30" t="s">
        <v>42</v>
      </c>
      <c r="AE87" t="s">
        <v>130</v>
      </c>
    </row>
    <row r="88" spans="1:31" ht="16" hidden="1">
      <c r="A88">
        <v>108</v>
      </c>
      <c r="B88" t="s">
        <v>73</v>
      </c>
      <c r="C88" t="s">
        <v>807</v>
      </c>
      <c r="D88">
        <v>2015</v>
      </c>
      <c r="E88" t="s">
        <v>787</v>
      </c>
      <c r="F88" t="s">
        <v>147</v>
      </c>
      <c r="G88" s="28">
        <v>34</v>
      </c>
      <c r="H88" s="21">
        <v>-122</v>
      </c>
      <c r="I88" s="21">
        <v>1951</v>
      </c>
      <c r="J88" s="21">
        <v>2008</v>
      </c>
      <c r="K88" s="21">
        <v>58</v>
      </c>
      <c r="L88" t="s">
        <v>623</v>
      </c>
      <c r="M88" t="s">
        <v>396</v>
      </c>
      <c r="N88" t="s">
        <v>788</v>
      </c>
      <c r="O88" t="s">
        <v>789</v>
      </c>
      <c r="P88" t="s">
        <v>296</v>
      </c>
      <c r="Q88" s="29" t="s">
        <v>636</v>
      </c>
      <c r="R88" s="29" t="s">
        <v>624</v>
      </c>
      <c r="S88">
        <v>227</v>
      </c>
      <c r="T88" s="31" t="s">
        <v>53</v>
      </c>
      <c r="U88">
        <v>-3</v>
      </c>
      <c r="V88" t="s">
        <v>42</v>
      </c>
      <c r="W88" t="s">
        <v>42</v>
      </c>
      <c r="X88" t="s">
        <v>73</v>
      </c>
      <c r="Y88" t="s">
        <v>790</v>
      </c>
      <c r="Z88" t="s">
        <v>791</v>
      </c>
      <c r="AA88" t="s">
        <v>792</v>
      </c>
      <c r="AB88" t="s">
        <v>130</v>
      </c>
      <c r="AC88" s="30" t="s">
        <v>60</v>
      </c>
      <c r="AD88" s="30" t="s">
        <v>42</v>
      </c>
      <c r="AE88" t="s">
        <v>130</v>
      </c>
    </row>
    <row r="89" spans="1:31" ht="16" hidden="1">
      <c r="A89">
        <v>109</v>
      </c>
      <c r="B89" t="s">
        <v>73</v>
      </c>
      <c r="C89" t="s">
        <v>808</v>
      </c>
      <c r="D89">
        <v>2015</v>
      </c>
      <c r="E89" t="s">
        <v>787</v>
      </c>
      <c r="F89" t="s">
        <v>147</v>
      </c>
      <c r="G89" s="28">
        <v>34</v>
      </c>
      <c r="H89" s="21">
        <v>-122</v>
      </c>
      <c r="I89" s="21">
        <v>1951</v>
      </c>
      <c r="J89" s="21">
        <v>2008</v>
      </c>
      <c r="K89" s="21">
        <v>58</v>
      </c>
      <c r="L89" t="s">
        <v>623</v>
      </c>
      <c r="M89" t="s">
        <v>396</v>
      </c>
      <c r="N89" t="s">
        <v>788</v>
      </c>
      <c r="O89" t="s">
        <v>789</v>
      </c>
      <c r="P89" t="s">
        <v>297</v>
      </c>
      <c r="Q89" s="29" t="s">
        <v>636</v>
      </c>
      <c r="R89" s="29" t="s">
        <v>624</v>
      </c>
      <c r="S89">
        <v>74</v>
      </c>
      <c r="T89" s="31" t="s">
        <v>52</v>
      </c>
      <c r="U89">
        <v>1.2</v>
      </c>
      <c r="V89" s="24" t="s">
        <v>642</v>
      </c>
      <c r="W89" t="s">
        <v>42</v>
      </c>
      <c r="X89" t="s">
        <v>73</v>
      </c>
      <c r="Y89" t="s">
        <v>790</v>
      </c>
      <c r="Z89" t="s">
        <v>791</v>
      </c>
      <c r="AA89" t="s">
        <v>792</v>
      </c>
      <c r="AB89" t="s">
        <v>130</v>
      </c>
      <c r="AC89" s="30" t="s">
        <v>60</v>
      </c>
      <c r="AD89" s="30" t="s">
        <v>42</v>
      </c>
      <c r="AE89" t="s">
        <v>130</v>
      </c>
    </row>
    <row r="90" spans="1:31" ht="16" hidden="1">
      <c r="A90">
        <v>110</v>
      </c>
      <c r="B90" t="s">
        <v>73</v>
      </c>
      <c r="C90" t="s">
        <v>809</v>
      </c>
      <c r="D90">
        <v>2015</v>
      </c>
      <c r="E90" t="s">
        <v>787</v>
      </c>
      <c r="F90" t="s">
        <v>147</v>
      </c>
      <c r="G90" s="28">
        <v>34</v>
      </c>
      <c r="H90" s="21">
        <v>-122</v>
      </c>
      <c r="I90" s="21">
        <v>1951</v>
      </c>
      <c r="J90" s="21">
        <v>2008</v>
      </c>
      <c r="K90" s="21">
        <v>58</v>
      </c>
      <c r="L90" t="s">
        <v>623</v>
      </c>
      <c r="M90" t="s">
        <v>396</v>
      </c>
      <c r="N90" t="s">
        <v>788</v>
      </c>
      <c r="O90" t="s">
        <v>789</v>
      </c>
      <c r="P90" t="s">
        <v>298</v>
      </c>
      <c r="Q90" s="29" t="s">
        <v>636</v>
      </c>
      <c r="R90" s="29" t="s">
        <v>624</v>
      </c>
      <c r="S90">
        <v>227</v>
      </c>
      <c r="T90" s="31" t="s">
        <v>53</v>
      </c>
      <c r="U90">
        <v>-7.3</v>
      </c>
      <c r="V90" t="s">
        <v>42</v>
      </c>
      <c r="W90" t="s">
        <v>42</v>
      </c>
      <c r="X90" t="s">
        <v>73</v>
      </c>
      <c r="Y90" t="s">
        <v>790</v>
      </c>
      <c r="Z90" t="s">
        <v>791</v>
      </c>
      <c r="AA90" t="s">
        <v>792</v>
      </c>
      <c r="AB90" t="s">
        <v>130</v>
      </c>
      <c r="AC90" s="30" t="s">
        <v>60</v>
      </c>
      <c r="AD90" s="30" t="s">
        <v>42</v>
      </c>
      <c r="AE90" t="s">
        <v>130</v>
      </c>
    </row>
    <row r="91" spans="1:31" ht="16" hidden="1">
      <c r="A91">
        <v>111</v>
      </c>
      <c r="B91" t="s">
        <v>73</v>
      </c>
      <c r="C91" t="s">
        <v>810</v>
      </c>
      <c r="D91">
        <v>2015</v>
      </c>
      <c r="E91" t="s">
        <v>787</v>
      </c>
      <c r="F91" t="s">
        <v>147</v>
      </c>
      <c r="G91" s="28">
        <v>34</v>
      </c>
      <c r="H91" s="21">
        <v>-122</v>
      </c>
      <c r="I91" s="21">
        <v>1951</v>
      </c>
      <c r="J91" s="21">
        <v>2008</v>
      </c>
      <c r="K91" s="21">
        <v>58</v>
      </c>
      <c r="L91" t="s">
        <v>623</v>
      </c>
      <c r="M91" t="s">
        <v>396</v>
      </c>
      <c r="N91" t="s">
        <v>788</v>
      </c>
      <c r="O91" t="s">
        <v>789</v>
      </c>
      <c r="P91" t="s">
        <v>299</v>
      </c>
      <c r="Q91" s="29" t="s">
        <v>636</v>
      </c>
      <c r="R91" s="29" t="s">
        <v>624</v>
      </c>
      <c r="S91">
        <v>227</v>
      </c>
      <c r="T91" s="31" t="s">
        <v>53</v>
      </c>
      <c r="U91">
        <v>-0.7</v>
      </c>
      <c r="V91" t="s">
        <v>42</v>
      </c>
      <c r="W91" t="s">
        <v>42</v>
      </c>
      <c r="X91" t="s">
        <v>73</v>
      </c>
      <c r="Y91" t="s">
        <v>790</v>
      </c>
      <c r="Z91" t="s">
        <v>791</v>
      </c>
      <c r="AA91" t="s">
        <v>792</v>
      </c>
      <c r="AB91" t="s">
        <v>130</v>
      </c>
      <c r="AC91" s="30" t="s">
        <v>60</v>
      </c>
      <c r="AD91" s="30" t="s">
        <v>42</v>
      </c>
      <c r="AE91" t="s">
        <v>130</v>
      </c>
    </row>
    <row r="92" spans="1:31" ht="16" hidden="1">
      <c r="A92">
        <v>112</v>
      </c>
      <c r="B92" t="s">
        <v>73</v>
      </c>
      <c r="C92" t="s">
        <v>811</v>
      </c>
      <c r="D92">
        <v>2015</v>
      </c>
      <c r="E92" t="s">
        <v>787</v>
      </c>
      <c r="F92" t="s">
        <v>147</v>
      </c>
      <c r="G92" s="28">
        <v>34</v>
      </c>
      <c r="H92" s="21">
        <v>-122</v>
      </c>
      <c r="I92" s="21">
        <v>1951</v>
      </c>
      <c r="J92" s="21">
        <v>2008</v>
      </c>
      <c r="K92" s="21">
        <v>58</v>
      </c>
      <c r="L92" t="s">
        <v>623</v>
      </c>
      <c r="M92" t="s">
        <v>396</v>
      </c>
      <c r="N92" t="s">
        <v>788</v>
      </c>
      <c r="O92" t="s">
        <v>789</v>
      </c>
      <c r="P92" t="s">
        <v>812</v>
      </c>
      <c r="Q92" s="29" t="s">
        <v>636</v>
      </c>
      <c r="R92" s="29" t="s">
        <v>624</v>
      </c>
      <c r="S92">
        <v>105</v>
      </c>
      <c r="T92" s="31" t="s">
        <v>52</v>
      </c>
      <c r="U92">
        <v>-7.6</v>
      </c>
      <c r="V92" t="s">
        <v>42</v>
      </c>
      <c r="W92" t="s">
        <v>42</v>
      </c>
      <c r="X92" t="s">
        <v>73</v>
      </c>
      <c r="Y92" t="s">
        <v>790</v>
      </c>
      <c r="Z92" t="s">
        <v>791</v>
      </c>
      <c r="AA92" t="s">
        <v>792</v>
      </c>
      <c r="AB92" t="s">
        <v>130</v>
      </c>
      <c r="AC92" s="30" t="s">
        <v>60</v>
      </c>
      <c r="AD92" s="30" t="s">
        <v>42</v>
      </c>
      <c r="AE92" t="s">
        <v>130</v>
      </c>
    </row>
    <row r="93" spans="1:31" ht="16" hidden="1">
      <c r="A93">
        <v>113</v>
      </c>
      <c r="B93" t="s">
        <v>73</v>
      </c>
      <c r="C93" t="s">
        <v>813</v>
      </c>
      <c r="D93">
        <v>2015</v>
      </c>
      <c r="E93" t="s">
        <v>787</v>
      </c>
      <c r="F93" t="s">
        <v>147</v>
      </c>
      <c r="G93" s="28">
        <v>34</v>
      </c>
      <c r="H93" s="21">
        <v>-122</v>
      </c>
      <c r="I93" s="21">
        <v>1951</v>
      </c>
      <c r="J93" s="21">
        <v>2008</v>
      </c>
      <c r="K93" s="21">
        <v>58</v>
      </c>
      <c r="L93" t="s">
        <v>623</v>
      </c>
      <c r="M93" t="s">
        <v>396</v>
      </c>
      <c r="N93" t="s">
        <v>788</v>
      </c>
      <c r="O93" t="s">
        <v>789</v>
      </c>
      <c r="P93" t="s">
        <v>301</v>
      </c>
      <c r="Q93" s="29" t="s">
        <v>636</v>
      </c>
      <c r="R93" s="29" t="s">
        <v>624</v>
      </c>
      <c r="S93">
        <v>196</v>
      </c>
      <c r="T93" s="31" t="s">
        <v>53</v>
      </c>
      <c r="U93">
        <v>0.7</v>
      </c>
      <c r="V93" s="24" t="s">
        <v>642</v>
      </c>
      <c r="W93" t="s">
        <v>42</v>
      </c>
      <c r="X93" t="s">
        <v>73</v>
      </c>
      <c r="Y93" t="s">
        <v>790</v>
      </c>
      <c r="Z93" t="s">
        <v>791</v>
      </c>
      <c r="AA93" t="s">
        <v>792</v>
      </c>
      <c r="AB93" t="s">
        <v>130</v>
      </c>
      <c r="AC93" s="30" t="s">
        <v>60</v>
      </c>
      <c r="AD93" s="30" t="s">
        <v>42</v>
      </c>
      <c r="AE93" t="s">
        <v>130</v>
      </c>
    </row>
    <row r="94" spans="1:31" ht="16" hidden="1">
      <c r="A94">
        <v>114</v>
      </c>
      <c r="B94" t="s">
        <v>73</v>
      </c>
      <c r="C94" t="s">
        <v>814</v>
      </c>
      <c r="D94">
        <v>2015</v>
      </c>
      <c r="E94" t="s">
        <v>787</v>
      </c>
      <c r="F94" t="s">
        <v>147</v>
      </c>
      <c r="G94" s="28">
        <v>34</v>
      </c>
      <c r="H94" s="21">
        <v>-122</v>
      </c>
      <c r="I94" s="21">
        <v>1951</v>
      </c>
      <c r="J94" s="21">
        <v>2008</v>
      </c>
      <c r="K94" s="21">
        <v>58</v>
      </c>
      <c r="L94" t="s">
        <v>623</v>
      </c>
      <c r="M94" t="s">
        <v>396</v>
      </c>
      <c r="N94" t="s">
        <v>788</v>
      </c>
      <c r="O94" t="s">
        <v>789</v>
      </c>
      <c r="P94" t="s">
        <v>302</v>
      </c>
      <c r="Q94" s="29" t="s">
        <v>636</v>
      </c>
      <c r="R94" s="29" t="s">
        <v>624</v>
      </c>
      <c r="S94">
        <v>74</v>
      </c>
      <c r="T94" s="31" t="s">
        <v>52</v>
      </c>
      <c r="U94">
        <v>-4.8</v>
      </c>
      <c r="V94" t="s">
        <v>42</v>
      </c>
      <c r="W94" t="s">
        <v>42</v>
      </c>
      <c r="X94" t="s">
        <v>73</v>
      </c>
      <c r="Y94" t="s">
        <v>790</v>
      </c>
      <c r="Z94" t="s">
        <v>791</v>
      </c>
      <c r="AA94" t="s">
        <v>792</v>
      </c>
      <c r="AB94" t="s">
        <v>130</v>
      </c>
      <c r="AC94" s="30" t="s">
        <v>60</v>
      </c>
      <c r="AD94" s="30" t="s">
        <v>42</v>
      </c>
      <c r="AE94" t="s">
        <v>130</v>
      </c>
    </row>
    <row r="95" spans="1:31" ht="16" hidden="1">
      <c r="A95">
        <v>115</v>
      </c>
      <c r="B95" t="s">
        <v>73</v>
      </c>
      <c r="C95" t="s">
        <v>815</v>
      </c>
      <c r="D95">
        <v>2015</v>
      </c>
      <c r="E95" t="s">
        <v>787</v>
      </c>
      <c r="F95" t="s">
        <v>147</v>
      </c>
      <c r="G95" s="28">
        <v>34</v>
      </c>
      <c r="H95" s="21">
        <v>-122</v>
      </c>
      <c r="I95" s="21">
        <v>1951</v>
      </c>
      <c r="J95" s="21">
        <v>2008</v>
      </c>
      <c r="K95" s="21">
        <v>58</v>
      </c>
      <c r="L95" t="s">
        <v>623</v>
      </c>
      <c r="M95" t="s">
        <v>396</v>
      </c>
      <c r="N95" t="s">
        <v>788</v>
      </c>
      <c r="O95" t="s">
        <v>789</v>
      </c>
      <c r="P95" t="s">
        <v>303</v>
      </c>
      <c r="Q95" s="29" t="s">
        <v>636</v>
      </c>
      <c r="R95" s="29" t="s">
        <v>624</v>
      </c>
      <c r="S95">
        <v>15</v>
      </c>
      <c r="T95" s="31" t="s">
        <v>55</v>
      </c>
      <c r="U95">
        <v>-1.4</v>
      </c>
      <c r="V95" t="s">
        <v>42</v>
      </c>
      <c r="W95" t="s">
        <v>42</v>
      </c>
      <c r="X95" t="s">
        <v>73</v>
      </c>
      <c r="Y95" t="s">
        <v>790</v>
      </c>
      <c r="Z95" t="s">
        <v>791</v>
      </c>
      <c r="AA95" t="s">
        <v>792</v>
      </c>
      <c r="AB95" t="s">
        <v>130</v>
      </c>
      <c r="AC95" s="30" t="s">
        <v>60</v>
      </c>
      <c r="AD95" s="30" t="s">
        <v>42</v>
      </c>
      <c r="AE95" t="s">
        <v>130</v>
      </c>
    </row>
    <row r="96" spans="1:31" ht="16" hidden="1">
      <c r="A96">
        <v>116</v>
      </c>
      <c r="B96" t="s">
        <v>73</v>
      </c>
      <c r="C96" t="s">
        <v>816</v>
      </c>
      <c r="D96">
        <v>2015</v>
      </c>
      <c r="E96" t="s">
        <v>787</v>
      </c>
      <c r="F96" t="s">
        <v>147</v>
      </c>
      <c r="G96" s="28">
        <v>34</v>
      </c>
      <c r="H96" s="21">
        <v>-122</v>
      </c>
      <c r="I96" s="21">
        <v>1951</v>
      </c>
      <c r="J96" s="21">
        <v>2008</v>
      </c>
      <c r="K96" s="21">
        <v>58</v>
      </c>
      <c r="L96" t="s">
        <v>623</v>
      </c>
      <c r="M96" t="s">
        <v>396</v>
      </c>
      <c r="N96" t="s">
        <v>788</v>
      </c>
      <c r="O96" t="s">
        <v>789</v>
      </c>
      <c r="P96" t="s">
        <v>304</v>
      </c>
      <c r="Q96" s="29" t="s">
        <v>636</v>
      </c>
      <c r="R96" s="29" t="s">
        <v>624</v>
      </c>
      <c r="S96">
        <v>74</v>
      </c>
      <c r="T96" s="31" t="s">
        <v>52</v>
      </c>
      <c r="U96">
        <v>-1.7</v>
      </c>
      <c r="V96" t="s">
        <v>42</v>
      </c>
      <c r="W96" t="s">
        <v>42</v>
      </c>
      <c r="X96" t="s">
        <v>73</v>
      </c>
      <c r="Y96" t="s">
        <v>790</v>
      </c>
      <c r="Z96" t="s">
        <v>791</v>
      </c>
      <c r="AA96" t="s">
        <v>792</v>
      </c>
      <c r="AB96" t="s">
        <v>130</v>
      </c>
      <c r="AC96" s="30" t="s">
        <v>60</v>
      </c>
      <c r="AD96" s="30" t="s">
        <v>42</v>
      </c>
      <c r="AE96" t="s">
        <v>130</v>
      </c>
    </row>
    <row r="97" spans="1:31" ht="16" hidden="1">
      <c r="A97">
        <v>117</v>
      </c>
      <c r="B97" t="s">
        <v>73</v>
      </c>
      <c r="C97" t="s">
        <v>817</v>
      </c>
      <c r="D97">
        <v>2015</v>
      </c>
      <c r="E97" t="s">
        <v>787</v>
      </c>
      <c r="F97" t="s">
        <v>147</v>
      </c>
      <c r="G97" s="28">
        <v>34</v>
      </c>
      <c r="H97" s="21">
        <v>-122</v>
      </c>
      <c r="I97" s="21">
        <v>1951</v>
      </c>
      <c r="J97" s="21">
        <v>2008</v>
      </c>
      <c r="K97" s="21">
        <v>58</v>
      </c>
      <c r="L97" t="s">
        <v>623</v>
      </c>
      <c r="M97" t="s">
        <v>396</v>
      </c>
      <c r="N97" t="s">
        <v>788</v>
      </c>
      <c r="O97" t="s">
        <v>789</v>
      </c>
      <c r="P97" t="s">
        <v>818</v>
      </c>
      <c r="Q97" s="29" t="s">
        <v>636</v>
      </c>
      <c r="R97" s="29" t="s">
        <v>624</v>
      </c>
      <c r="S97">
        <v>105</v>
      </c>
      <c r="T97" s="31" t="s">
        <v>52</v>
      </c>
      <c r="U97">
        <v>-8.1999999999999993</v>
      </c>
      <c r="V97" t="s">
        <v>42</v>
      </c>
      <c r="W97" t="s">
        <v>42</v>
      </c>
      <c r="X97" t="s">
        <v>73</v>
      </c>
      <c r="Y97" t="s">
        <v>790</v>
      </c>
      <c r="Z97" t="s">
        <v>791</v>
      </c>
      <c r="AA97" t="s">
        <v>792</v>
      </c>
      <c r="AB97" t="s">
        <v>130</v>
      </c>
      <c r="AC97" s="30" t="s">
        <v>60</v>
      </c>
      <c r="AD97" s="30" t="s">
        <v>42</v>
      </c>
      <c r="AE97" t="s">
        <v>130</v>
      </c>
    </row>
    <row r="98" spans="1:31" ht="16" hidden="1">
      <c r="A98">
        <v>118</v>
      </c>
      <c r="B98" t="s">
        <v>73</v>
      </c>
      <c r="C98" t="s">
        <v>819</v>
      </c>
      <c r="D98">
        <v>2015</v>
      </c>
      <c r="E98" t="s">
        <v>787</v>
      </c>
      <c r="F98" t="s">
        <v>147</v>
      </c>
      <c r="G98" s="28">
        <v>34</v>
      </c>
      <c r="H98" s="21">
        <v>-122</v>
      </c>
      <c r="I98" s="21">
        <v>1951</v>
      </c>
      <c r="J98" s="21">
        <v>2008</v>
      </c>
      <c r="K98" s="21">
        <v>58</v>
      </c>
      <c r="L98" t="s">
        <v>623</v>
      </c>
      <c r="M98" t="s">
        <v>396</v>
      </c>
      <c r="N98" t="s">
        <v>788</v>
      </c>
      <c r="O98" t="s">
        <v>789</v>
      </c>
      <c r="P98" t="s">
        <v>820</v>
      </c>
      <c r="Q98" s="29" t="s">
        <v>636</v>
      </c>
      <c r="R98" s="29" t="s">
        <v>624</v>
      </c>
      <c r="S98">
        <v>74</v>
      </c>
      <c r="T98" s="31" t="s">
        <v>52</v>
      </c>
      <c r="U98">
        <v>-2.4</v>
      </c>
      <c r="V98" t="s">
        <v>42</v>
      </c>
      <c r="W98" t="s">
        <v>42</v>
      </c>
      <c r="X98" t="s">
        <v>73</v>
      </c>
      <c r="Y98" t="s">
        <v>790</v>
      </c>
      <c r="Z98" t="s">
        <v>791</v>
      </c>
      <c r="AA98" t="s">
        <v>792</v>
      </c>
      <c r="AB98" t="s">
        <v>130</v>
      </c>
      <c r="AC98" s="30" t="s">
        <v>60</v>
      </c>
      <c r="AD98" s="30" t="s">
        <v>42</v>
      </c>
      <c r="AE98" t="s">
        <v>130</v>
      </c>
    </row>
    <row r="99" spans="1:31" ht="16" hidden="1">
      <c r="A99">
        <v>119</v>
      </c>
      <c r="B99" t="s">
        <v>73</v>
      </c>
      <c r="C99" t="s">
        <v>821</v>
      </c>
      <c r="D99">
        <v>2015</v>
      </c>
      <c r="E99" t="s">
        <v>787</v>
      </c>
      <c r="F99" t="s">
        <v>147</v>
      </c>
      <c r="G99" s="28">
        <v>34</v>
      </c>
      <c r="H99" s="21">
        <v>-122</v>
      </c>
      <c r="I99" s="21">
        <v>1951</v>
      </c>
      <c r="J99" s="21">
        <v>2008</v>
      </c>
      <c r="K99" s="21">
        <v>58</v>
      </c>
      <c r="L99" t="s">
        <v>623</v>
      </c>
      <c r="M99" t="s">
        <v>396</v>
      </c>
      <c r="N99" t="s">
        <v>788</v>
      </c>
      <c r="O99" t="s">
        <v>789</v>
      </c>
      <c r="P99" t="s">
        <v>307</v>
      </c>
      <c r="Q99" s="29" t="s">
        <v>636</v>
      </c>
      <c r="R99" s="29" t="s">
        <v>624</v>
      </c>
      <c r="S99">
        <v>258</v>
      </c>
      <c r="T99" s="31" t="s">
        <v>54</v>
      </c>
      <c r="U99">
        <v>-6.2</v>
      </c>
      <c r="V99" t="s">
        <v>42</v>
      </c>
      <c r="W99" t="s">
        <v>42</v>
      </c>
      <c r="X99" t="s">
        <v>73</v>
      </c>
      <c r="Y99" t="s">
        <v>790</v>
      </c>
      <c r="Z99" t="s">
        <v>791</v>
      </c>
      <c r="AA99" t="s">
        <v>792</v>
      </c>
      <c r="AB99" t="s">
        <v>130</v>
      </c>
      <c r="AC99" s="30" t="s">
        <v>60</v>
      </c>
      <c r="AD99" s="30" t="s">
        <v>42</v>
      </c>
      <c r="AE99" t="s">
        <v>130</v>
      </c>
    </row>
    <row r="100" spans="1:31" ht="16" hidden="1">
      <c r="A100">
        <v>120</v>
      </c>
      <c r="B100" t="s">
        <v>73</v>
      </c>
      <c r="C100" t="s">
        <v>822</v>
      </c>
      <c r="D100">
        <v>2015</v>
      </c>
      <c r="E100" t="s">
        <v>787</v>
      </c>
      <c r="F100" t="s">
        <v>147</v>
      </c>
      <c r="G100" s="28">
        <v>34</v>
      </c>
      <c r="H100" s="21">
        <v>-122</v>
      </c>
      <c r="I100" s="21">
        <v>1951</v>
      </c>
      <c r="J100" s="21">
        <v>2008</v>
      </c>
      <c r="K100" s="21">
        <v>58</v>
      </c>
      <c r="L100" t="s">
        <v>623</v>
      </c>
      <c r="M100" t="s">
        <v>396</v>
      </c>
      <c r="N100" t="s">
        <v>788</v>
      </c>
      <c r="O100" t="s">
        <v>789</v>
      </c>
      <c r="P100" t="s">
        <v>308</v>
      </c>
      <c r="Q100" s="29" t="s">
        <v>636</v>
      </c>
      <c r="R100" s="29" t="s">
        <v>624</v>
      </c>
      <c r="S100">
        <v>46</v>
      </c>
      <c r="T100" s="31" t="s">
        <v>55</v>
      </c>
      <c r="U100">
        <v>-3</v>
      </c>
      <c r="V100" t="s">
        <v>42</v>
      </c>
      <c r="W100" t="s">
        <v>42</v>
      </c>
      <c r="X100" t="s">
        <v>73</v>
      </c>
      <c r="Y100" t="s">
        <v>790</v>
      </c>
      <c r="Z100" t="s">
        <v>791</v>
      </c>
      <c r="AA100" t="s">
        <v>792</v>
      </c>
      <c r="AB100" t="s">
        <v>130</v>
      </c>
      <c r="AC100" s="30" t="s">
        <v>60</v>
      </c>
      <c r="AD100" s="30" t="s">
        <v>42</v>
      </c>
      <c r="AE100" t="s">
        <v>130</v>
      </c>
    </row>
    <row r="101" spans="1:31" ht="16" hidden="1">
      <c r="A101">
        <v>121</v>
      </c>
      <c r="B101" t="s">
        <v>73</v>
      </c>
      <c r="C101" t="s">
        <v>823</v>
      </c>
      <c r="D101">
        <v>2015</v>
      </c>
      <c r="E101" t="s">
        <v>787</v>
      </c>
      <c r="F101" t="s">
        <v>147</v>
      </c>
      <c r="G101" s="28">
        <v>34</v>
      </c>
      <c r="H101" s="21">
        <v>-122</v>
      </c>
      <c r="I101" s="21">
        <v>1951</v>
      </c>
      <c r="J101" s="21">
        <v>2008</v>
      </c>
      <c r="K101" s="21">
        <v>58</v>
      </c>
      <c r="L101" t="s">
        <v>623</v>
      </c>
      <c r="M101" t="s">
        <v>396</v>
      </c>
      <c r="N101" t="s">
        <v>788</v>
      </c>
      <c r="O101" t="s">
        <v>789</v>
      </c>
      <c r="P101" t="s">
        <v>824</v>
      </c>
      <c r="Q101" s="29" t="s">
        <v>636</v>
      </c>
      <c r="R101" s="29" t="s">
        <v>624</v>
      </c>
      <c r="S101">
        <v>74</v>
      </c>
      <c r="T101" s="31" t="s">
        <v>52</v>
      </c>
      <c r="U101">
        <v>0.4</v>
      </c>
      <c r="V101" s="24" t="s">
        <v>642</v>
      </c>
      <c r="W101" t="s">
        <v>42</v>
      </c>
      <c r="X101" t="s">
        <v>73</v>
      </c>
      <c r="Y101" t="s">
        <v>790</v>
      </c>
      <c r="Z101" t="s">
        <v>791</v>
      </c>
      <c r="AA101" t="s">
        <v>792</v>
      </c>
      <c r="AB101" t="s">
        <v>130</v>
      </c>
      <c r="AC101" s="30" t="s">
        <v>60</v>
      </c>
      <c r="AD101" s="30" t="s">
        <v>42</v>
      </c>
      <c r="AE101" t="s">
        <v>130</v>
      </c>
    </row>
    <row r="102" spans="1:31" ht="16" hidden="1">
      <c r="A102">
        <v>122</v>
      </c>
      <c r="B102" t="s">
        <v>73</v>
      </c>
      <c r="C102" t="s">
        <v>825</v>
      </c>
      <c r="D102">
        <v>2015</v>
      </c>
      <c r="E102" t="s">
        <v>787</v>
      </c>
      <c r="F102" t="s">
        <v>147</v>
      </c>
      <c r="G102" s="28">
        <v>34</v>
      </c>
      <c r="H102" s="21">
        <v>-122</v>
      </c>
      <c r="I102" s="21">
        <v>1951</v>
      </c>
      <c r="J102" s="21">
        <v>2008</v>
      </c>
      <c r="K102" s="21">
        <v>58</v>
      </c>
      <c r="L102" t="s">
        <v>623</v>
      </c>
      <c r="M102" t="s">
        <v>396</v>
      </c>
      <c r="N102" t="s">
        <v>788</v>
      </c>
      <c r="O102" t="s">
        <v>789</v>
      </c>
      <c r="P102" t="s">
        <v>310</v>
      </c>
      <c r="Q102" s="29" t="s">
        <v>636</v>
      </c>
      <c r="R102" s="29" t="s">
        <v>624</v>
      </c>
      <c r="S102">
        <v>135</v>
      </c>
      <c r="T102" s="31" t="s">
        <v>52</v>
      </c>
      <c r="U102">
        <v>-5.4</v>
      </c>
      <c r="V102" t="s">
        <v>42</v>
      </c>
      <c r="W102" t="s">
        <v>42</v>
      </c>
      <c r="X102" t="s">
        <v>73</v>
      </c>
      <c r="Y102" t="s">
        <v>790</v>
      </c>
      <c r="Z102" t="s">
        <v>791</v>
      </c>
      <c r="AA102" t="s">
        <v>792</v>
      </c>
      <c r="AB102" t="s">
        <v>130</v>
      </c>
      <c r="AC102" s="30" t="s">
        <v>60</v>
      </c>
      <c r="AD102" s="30" t="s">
        <v>42</v>
      </c>
      <c r="AE102" t="s">
        <v>130</v>
      </c>
    </row>
    <row r="103" spans="1:31" ht="16" hidden="1">
      <c r="A103">
        <v>123</v>
      </c>
      <c r="B103" t="s">
        <v>73</v>
      </c>
      <c r="C103" t="s">
        <v>826</v>
      </c>
      <c r="D103">
        <v>2015</v>
      </c>
      <c r="E103" t="s">
        <v>787</v>
      </c>
      <c r="F103" t="s">
        <v>147</v>
      </c>
      <c r="G103" s="28">
        <v>34</v>
      </c>
      <c r="H103" s="21">
        <v>-122</v>
      </c>
      <c r="I103" s="21">
        <v>1951</v>
      </c>
      <c r="J103" s="21">
        <v>2008</v>
      </c>
      <c r="K103" s="21">
        <v>58</v>
      </c>
      <c r="L103" t="s">
        <v>623</v>
      </c>
      <c r="M103" t="s">
        <v>396</v>
      </c>
      <c r="N103" t="s">
        <v>788</v>
      </c>
      <c r="O103" t="s">
        <v>789</v>
      </c>
      <c r="P103" t="s">
        <v>311</v>
      </c>
      <c r="Q103" s="29" t="s">
        <v>636</v>
      </c>
      <c r="R103" s="29" t="s">
        <v>624</v>
      </c>
      <c r="S103">
        <v>288</v>
      </c>
      <c r="T103" s="31" t="s">
        <v>54</v>
      </c>
      <c r="U103">
        <v>-12.3</v>
      </c>
      <c r="V103" t="s">
        <v>42</v>
      </c>
      <c r="W103" t="s">
        <v>42</v>
      </c>
      <c r="X103" t="s">
        <v>73</v>
      </c>
      <c r="Y103" t="s">
        <v>790</v>
      </c>
      <c r="Z103" t="s">
        <v>791</v>
      </c>
      <c r="AA103" t="s">
        <v>792</v>
      </c>
      <c r="AB103" t="s">
        <v>130</v>
      </c>
      <c r="AC103" s="30" t="s">
        <v>60</v>
      </c>
      <c r="AD103" s="30" t="s">
        <v>42</v>
      </c>
      <c r="AE103" t="s">
        <v>130</v>
      </c>
    </row>
    <row r="104" spans="1:31" ht="16" hidden="1">
      <c r="A104">
        <v>124</v>
      </c>
      <c r="B104" t="s">
        <v>73</v>
      </c>
      <c r="C104" t="s">
        <v>827</v>
      </c>
      <c r="D104">
        <v>2015</v>
      </c>
      <c r="E104" t="s">
        <v>787</v>
      </c>
      <c r="F104" t="s">
        <v>147</v>
      </c>
      <c r="G104" s="28">
        <v>34</v>
      </c>
      <c r="H104" s="21">
        <v>-122</v>
      </c>
      <c r="I104" s="21">
        <v>1951</v>
      </c>
      <c r="J104" s="21">
        <v>2008</v>
      </c>
      <c r="K104" s="21">
        <v>58</v>
      </c>
      <c r="L104" t="s">
        <v>623</v>
      </c>
      <c r="M104" t="s">
        <v>396</v>
      </c>
      <c r="N104" t="s">
        <v>788</v>
      </c>
      <c r="O104" t="s">
        <v>789</v>
      </c>
      <c r="P104" t="s">
        <v>312</v>
      </c>
      <c r="Q104" s="29" t="s">
        <v>636</v>
      </c>
      <c r="R104" s="29" t="s">
        <v>624</v>
      </c>
      <c r="S104">
        <v>46</v>
      </c>
      <c r="T104" s="31" t="s">
        <v>55</v>
      </c>
      <c r="U104">
        <v>6.7</v>
      </c>
      <c r="V104" s="24" t="s">
        <v>642</v>
      </c>
      <c r="W104" t="s">
        <v>42</v>
      </c>
      <c r="X104" t="s">
        <v>73</v>
      </c>
      <c r="Y104" t="s">
        <v>790</v>
      </c>
      <c r="Z104" t="s">
        <v>791</v>
      </c>
      <c r="AA104" t="s">
        <v>792</v>
      </c>
      <c r="AB104" t="s">
        <v>130</v>
      </c>
      <c r="AC104" s="30" t="s">
        <v>60</v>
      </c>
      <c r="AD104" s="30" t="s">
        <v>42</v>
      </c>
      <c r="AE104" t="s">
        <v>130</v>
      </c>
    </row>
    <row r="105" spans="1:31" ht="16" hidden="1">
      <c r="A105">
        <v>125</v>
      </c>
      <c r="B105" t="s">
        <v>73</v>
      </c>
      <c r="C105" t="s">
        <v>828</v>
      </c>
      <c r="D105">
        <v>2015</v>
      </c>
      <c r="E105" t="s">
        <v>787</v>
      </c>
      <c r="F105" t="s">
        <v>147</v>
      </c>
      <c r="G105" s="28">
        <v>34</v>
      </c>
      <c r="H105" s="21">
        <v>-122</v>
      </c>
      <c r="I105" s="21">
        <v>1951</v>
      </c>
      <c r="J105" s="21">
        <v>2008</v>
      </c>
      <c r="K105" s="21">
        <v>58</v>
      </c>
      <c r="L105" t="s">
        <v>623</v>
      </c>
      <c r="M105" t="s">
        <v>396</v>
      </c>
      <c r="N105" t="s">
        <v>788</v>
      </c>
      <c r="O105" t="s">
        <v>789</v>
      </c>
      <c r="P105" t="s">
        <v>313</v>
      </c>
      <c r="Q105" s="29" t="s">
        <v>636</v>
      </c>
      <c r="R105" s="29" t="s">
        <v>624</v>
      </c>
      <c r="S105">
        <v>46</v>
      </c>
      <c r="T105" s="31" t="s">
        <v>55</v>
      </c>
      <c r="U105">
        <v>-2.8</v>
      </c>
      <c r="V105" t="s">
        <v>42</v>
      </c>
      <c r="W105" t="s">
        <v>42</v>
      </c>
      <c r="X105" t="s">
        <v>73</v>
      </c>
      <c r="Y105" t="s">
        <v>790</v>
      </c>
      <c r="Z105" t="s">
        <v>791</v>
      </c>
      <c r="AA105" t="s">
        <v>792</v>
      </c>
      <c r="AB105" t="s">
        <v>130</v>
      </c>
      <c r="AC105" s="30" t="s">
        <v>60</v>
      </c>
      <c r="AD105" s="30" t="s">
        <v>42</v>
      </c>
      <c r="AE105" t="s">
        <v>130</v>
      </c>
    </row>
    <row r="106" spans="1:31" ht="16" hidden="1">
      <c r="A106">
        <v>126</v>
      </c>
      <c r="B106" t="s">
        <v>73</v>
      </c>
      <c r="C106" t="s">
        <v>829</v>
      </c>
      <c r="D106">
        <v>2015</v>
      </c>
      <c r="E106" t="s">
        <v>787</v>
      </c>
      <c r="F106" t="s">
        <v>147</v>
      </c>
      <c r="G106" s="28">
        <v>34</v>
      </c>
      <c r="H106" s="21">
        <v>-122</v>
      </c>
      <c r="I106" s="21">
        <v>1951</v>
      </c>
      <c r="J106" s="21">
        <v>2008</v>
      </c>
      <c r="K106" s="21">
        <v>58</v>
      </c>
      <c r="L106" t="s">
        <v>623</v>
      </c>
      <c r="M106" t="s">
        <v>396</v>
      </c>
      <c r="N106" t="s">
        <v>788</v>
      </c>
      <c r="O106" t="s">
        <v>789</v>
      </c>
      <c r="P106" t="s">
        <v>314</v>
      </c>
      <c r="Q106" s="29" t="s">
        <v>636</v>
      </c>
      <c r="R106" s="29" t="s">
        <v>624</v>
      </c>
      <c r="S106">
        <v>15</v>
      </c>
      <c r="T106" s="31" t="s">
        <v>55</v>
      </c>
      <c r="U106">
        <v>1.6</v>
      </c>
      <c r="V106" s="24" t="s">
        <v>642</v>
      </c>
      <c r="W106" t="s">
        <v>42</v>
      </c>
      <c r="X106" t="s">
        <v>73</v>
      </c>
      <c r="Y106" t="s">
        <v>790</v>
      </c>
      <c r="Z106" t="s">
        <v>791</v>
      </c>
      <c r="AA106" t="s">
        <v>792</v>
      </c>
      <c r="AB106" t="s">
        <v>130</v>
      </c>
      <c r="AC106" s="30" t="s">
        <v>60</v>
      </c>
      <c r="AD106" s="30" t="s">
        <v>42</v>
      </c>
      <c r="AE106" t="s">
        <v>130</v>
      </c>
    </row>
    <row r="107" spans="1:31" ht="16" hidden="1">
      <c r="A107">
        <v>127</v>
      </c>
      <c r="B107" t="s">
        <v>73</v>
      </c>
      <c r="C107" t="s">
        <v>830</v>
      </c>
      <c r="D107">
        <v>2015</v>
      </c>
      <c r="E107" t="s">
        <v>787</v>
      </c>
      <c r="F107" t="s">
        <v>147</v>
      </c>
      <c r="G107" s="28">
        <v>34</v>
      </c>
      <c r="H107" s="21">
        <v>-122</v>
      </c>
      <c r="I107" s="21">
        <v>1951</v>
      </c>
      <c r="J107" s="21">
        <v>2008</v>
      </c>
      <c r="K107" s="21">
        <v>58</v>
      </c>
      <c r="L107" t="s">
        <v>623</v>
      </c>
      <c r="M107" t="s">
        <v>396</v>
      </c>
      <c r="N107" t="s">
        <v>788</v>
      </c>
      <c r="O107" t="s">
        <v>789</v>
      </c>
      <c r="P107" t="s">
        <v>315</v>
      </c>
      <c r="Q107" s="29" t="s">
        <v>636</v>
      </c>
      <c r="R107" s="29" t="s">
        <v>624</v>
      </c>
      <c r="S107">
        <v>166</v>
      </c>
      <c r="T107" s="31" t="s">
        <v>53</v>
      </c>
      <c r="U107">
        <v>-6.7</v>
      </c>
      <c r="V107" t="s">
        <v>42</v>
      </c>
      <c r="W107" t="s">
        <v>42</v>
      </c>
      <c r="X107" t="s">
        <v>73</v>
      </c>
      <c r="Y107" t="s">
        <v>790</v>
      </c>
      <c r="Z107" t="s">
        <v>791</v>
      </c>
      <c r="AA107" t="s">
        <v>792</v>
      </c>
      <c r="AB107" t="s">
        <v>130</v>
      </c>
      <c r="AC107" s="30" t="s">
        <v>60</v>
      </c>
      <c r="AD107" s="30" t="s">
        <v>42</v>
      </c>
      <c r="AE107" t="s">
        <v>130</v>
      </c>
    </row>
    <row r="108" spans="1:31" ht="16" hidden="1">
      <c r="A108">
        <v>128</v>
      </c>
      <c r="B108" t="s">
        <v>73</v>
      </c>
      <c r="C108" t="s">
        <v>831</v>
      </c>
      <c r="D108">
        <v>2015</v>
      </c>
      <c r="E108" t="s">
        <v>787</v>
      </c>
      <c r="F108" t="s">
        <v>147</v>
      </c>
      <c r="G108" s="28">
        <v>34</v>
      </c>
      <c r="H108" s="21">
        <v>-122</v>
      </c>
      <c r="I108" s="21">
        <v>1951</v>
      </c>
      <c r="J108" s="21">
        <v>2008</v>
      </c>
      <c r="K108" s="21">
        <v>58</v>
      </c>
      <c r="L108" t="s">
        <v>623</v>
      </c>
      <c r="M108" t="s">
        <v>396</v>
      </c>
      <c r="N108" t="s">
        <v>788</v>
      </c>
      <c r="O108" t="s">
        <v>789</v>
      </c>
      <c r="P108" t="s">
        <v>316</v>
      </c>
      <c r="Q108" s="29" t="s">
        <v>636</v>
      </c>
      <c r="R108" s="29" t="s">
        <v>624</v>
      </c>
      <c r="S108">
        <v>227</v>
      </c>
      <c r="T108" s="31" t="s">
        <v>53</v>
      </c>
      <c r="U108">
        <v>3</v>
      </c>
      <c r="V108" s="24" t="s">
        <v>642</v>
      </c>
      <c r="W108" t="s">
        <v>42</v>
      </c>
      <c r="X108" t="s">
        <v>73</v>
      </c>
      <c r="Y108" t="s">
        <v>790</v>
      </c>
      <c r="Z108" t="s">
        <v>791</v>
      </c>
      <c r="AA108" t="s">
        <v>792</v>
      </c>
      <c r="AB108" t="s">
        <v>130</v>
      </c>
      <c r="AC108" s="30" t="s">
        <v>60</v>
      </c>
      <c r="AD108" s="30" t="s">
        <v>42</v>
      </c>
      <c r="AE108" t="s">
        <v>130</v>
      </c>
    </row>
    <row r="109" spans="1:31" ht="16" hidden="1">
      <c r="A109">
        <v>129</v>
      </c>
      <c r="B109" t="s">
        <v>73</v>
      </c>
      <c r="C109" t="s">
        <v>832</v>
      </c>
      <c r="D109">
        <v>2015</v>
      </c>
      <c r="E109" t="s">
        <v>787</v>
      </c>
      <c r="F109" t="s">
        <v>147</v>
      </c>
      <c r="G109" s="28">
        <v>34</v>
      </c>
      <c r="H109" s="21">
        <v>-122</v>
      </c>
      <c r="I109" s="21">
        <v>1951</v>
      </c>
      <c r="J109" s="21">
        <v>2008</v>
      </c>
      <c r="K109" s="21">
        <v>58</v>
      </c>
      <c r="L109" t="s">
        <v>623</v>
      </c>
      <c r="M109" t="s">
        <v>396</v>
      </c>
      <c r="N109" t="s">
        <v>788</v>
      </c>
      <c r="O109" t="s">
        <v>789</v>
      </c>
      <c r="P109" t="s">
        <v>317</v>
      </c>
      <c r="Q109" s="29" t="s">
        <v>636</v>
      </c>
      <c r="R109" s="29" t="s">
        <v>624</v>
      </c>
      <c r="S109">
        <v>227</v>
      </c>
      <c r="T109" s="31" t="s">
        <v>53</v>
      </c>
      <c r="U109">
        <v>-6.9</v>
      </c>
      <c r="V109" t="s">
        <v>42</v>
      </c>
      <c r="W109" t="s">
        <v>42</v>
      </c>
      <c r="X109" t="s">
        <v>73</v>
      </c>
      <c r="Y109" t="s">
        <v>790</v>
      </c>
      <c r="Z109" t="s">
        <v>791</v>
      </c>
      <c r="AA109" t="s">
        <v>792</v>
      </c>
      <c r="AB109" t="s">
        <v>130</v>
      </c>
      <c r="AC109" s="30" t="s">
        <v>60</v>
      </c>
      <c r="AD109" s="30" t="s">
        <v>42</v>
      </c>
      <c r="AE109" t="s">
        <v>130</v>
      </c>
    </row>
    <row r="110" spans="1:31" ht="16" hidden="1">
      <c r="A110">
        <v>130</v>
      </c>
      <c r="B110" t="s">
        <v>73</v>
      </c>
      <c r="C110" t="s">
        <v>833</v>
      </c>
      <c r="D110">
        <v>2015</v>
      </c>
      <c r="E110" t="s">
        <v>787</v>
      </c>
      <c r="F110" t="s">
        <v>147</v>
      </c>
      <c r="G110" s="28">
        <v>34</v>
      </c>
      <c r="H110" s="21">
        <v>-122</v>
      </c>
      <c r="I110" s="21">
        <v>1951</v>
      </c>
      <c r="J110" s="21">
        <v>2008</v>
      </c>
      <c r="K110" s="21">
        <v>58</v>
      </c>
      <c r="L110" t="s">
        <v>623</v>
      </c>
      <c r="M110" t="s">
        <v>396</v>
      </c>
      <c r="N110" t="s">
        <v>788</v>
      </c>
      <c r="O110" t="s">
        <v>789</v>
      </c>
      <c r="P110" t="s">
        <v>318</v>
      </c>
      <c r="Q110" s="29" t="s">
        <v>636</v>
      </c>
      <c r="R110" s="29" t="s">
        <v>624</v>
      </c>
      <c r="S110">
        <v>135</v>
      </c>
      <c r="T110" s="31" t="s">
        <v>52</v>
      </c>
      <c r="U110">
        <v>-1</v>
      </c>
      <c r="V110" t="s">
        <v>42</v>
      </c>
      <c r="W110" t="s">
        <v>42</v>
      </c>
      <c r="X110" t="s">
        <v>73</v>
      </c>
      <c r="Y110" t="s">
        <v>790</v>
      </c>
      <c r="Z110" t="s">
        <v>791</v>
      </c>
      <c r="AA110" t="s">
        <v>792</v>
      </c>
      <c r="AB110" t="s">
        <v>130</v>
      </c>
      <c r="AC110" s="30" t="s">
        <v>60</v>
      </c>
      <c r="AD110" s="30" t="s">
        <v>42</v>
      </c>
      <c r="AE110" t="s">
        <v>130</v>
      </c>
    </row>
    <row r="111" spans="1:31" ht="16" hidden="1">
      <c r="A111">
        <v>131</v>
      </c>
      <c r="B111" t="s">
        <v>73</v>
      </c>
      <c r="C111" t="s">
        <v>834</v>
      </c>
      <c r="D111">
        <v>2015</v>
      </c>
      <c r="E111" t="s">
        <v>787</v>
      </c>
      <c r="F111" t="s">
        <v>147</v>
      </c>
      <c r="G111" s="28">
        <v>34</v>
      </c>
      <c r="H111" s="21">
        <v>-122</v>
      </c>
      <c r="I111" s="21">
        <v>1951</v>
      </c>
      <c r="J111" s="21">
        <v>2008</v>
      </c>
      <c r="K111" s="21">
        <v>58</v>
      </c>
      <c r="L111" t="s">
        <v>623</v>
      </c>
      <c r="M111" t="s">
        <v>396</v>
      </c>
      <c r="N111" t="s">
        <v>788</v>
      </c>
      <c r="O111" t="s">
        <v>789</v>
      </c>
      <c r="P111" t="s">
        <v>319</v>
      </c>
      <c r="Q111" s="29" t="s">
        <v>636</v>
      </c>
      <c r="R111" s="29" t="s">
        <v>624</v>
      </c>
      <c r="S111">
        <v>166</v>
      </c>
      <c r="T111" s="31" t="s">
        <v>53</v>
      </c>
      <c r="U111">
        <v>-5.6</v>
      </c>
      <c r="V111" t="s">
        <v>42</v>
      </c>
      <c r="W111" t="s">
        <v>42</v>
      </c>
      <c r="X111" t="s">
        <v>73</v>
      </c>
      <c r="Y111" t="s">
        <v>790</v>
      </c>
      <c r="Z111" t="s">
        <v>791</v>
      </c>
      <c r="AA111" t="s">
        <v>792</v>
      </c>
      <c r="AB111" t="s">
        <v>130</v>
      </c>
      <c r="AC111" s="30" t="s">
        <v>60</v>
      </c>
      <c r="AD111" s="30" t="s">
        <v>42</v>
      </c>
      <c r="AE111" t="s">
        <v>130</v>
      </c>
    </row>
    <row r="112" spans="1:31" ht="16" hidden="1">
      <c r="A112">
        <v>132</v>
      </c>
      <c r="B112" t="s">
        <v>73</v>
      </c>
      <c r="C112" t="s">
        <v>835</v>
      </c>
      <c r="D112">
        <v>2015</v>
      </c>
      <c r="E112" t="s">
        <v>787</v>
      </c>
      <c r="F112" t="s">
        <v>147</v>
      </c>
      <c r="G112" s="28">
        <v>34</v>
      </c>
      <c r="H112" s="21">
        <v>-122</v>
      </c>
      <c r="I112" s="21">
        <v>1951</v>
      </c>
      <c r="J112" s="21">
        <v>2008</v>
      </c>
      <c r="K112" s="21">
        <v>58</v>
      </c>
      <c r="L112" t="s">
        <v>623</v>
      </c>
      <c r="M112" t="s">
        <v>396</v>
      </c>
      <c r="N112" t="s">
        <v>788</v>
      </c>
      <c r="O112" t="s">
        <v>789</v>
      </c>
      <c r="P112" t="s">
        <v>320</v>
      </c>
      <c r="Q112" s="29" t="s">
        <v>636</v>
      </c>
      <c r="R112" s="29" t="s">
        <v>624</v>
      </c>
      <c r="S112">
        <v>288</v>
      </c>
      <c r="T112" s="31" t="s">
        <v>54</v>
      </c>
      <c r="U112">
        <v>3.5</v>
      </c>
      <c r="V112" s="24" t="s">
        <v>642</v>
      </c>
      <c r="W112" t="s">
        <v>42</v>
      </c>
      <c r="X112" t="s">
        <v>73</v>
      </c>
      <c r="Y112" t="s">
        <v>790</v>
      </c>
      <c r="Z112" t="s">
        <v>791</v>
      </c>
      <c r="AA112" t="s">
        <v>792</v>
      </c>
      <c r="AB112" t="s">
        <v>130</v>
      </c>
      <c r="AC112" s="30" t="s">
        <v>60</v>
      </c>
      <c r="AD112" s="30" t="s">
        <v>42</v>
      </c>
      <c r="AE112" t="s">
        <v>130</v>
      </c>
    </row>
    <row r="113" spans="1:31" ht="16" hidden="1">
      <c r="A113">
        <v>133</v>
      </c>
      <c r="B113" t="s">
        <v>73</v>
      </c>
      <c r="C113" t="s">
        <v>836</v>
      </c>
      <c r="D113">
        <v>2015</v>
      </c>
      <c r="E113" t="s">
        <v>787</v>
      </c>
      <c r="F113" t="s">
        <v>147</v>
      </c>
      <c r="G113" s="28">
        <v>34</v>
      </c>
      <c r="H113" s="21">
        <v>-122</v>
      </c>
      <c r="I113" s="21">
        <v>1951</v>
      </c>
      <c r="J113" s="21">
        <v>2008</v>
      </c>
      <c r="K113" s="21">
        <v>58</v>
      </c>
      <c r="L113" t="s">
        <v>623</v>
      </c>
      <c r="M113" t="s">
        <v>396</v>
      </c>
      <c r="N113" t="s">
        <v>788</v>
      </c>
      <c r="O113" t="s">
        <v>789</v>
      </c>
      <c r="P113" t="s">
        <v>837</v>
      </c>
      <c r="Q113" s="29" t="s">
        <v>636</v>
      </c>
      <c r="R113" s="29" t="s">
        <v>624</v>
      </c>
      <c r="S113">
        <v>46</v>
      </c>
      <c r="T113" s="31" t="s">
        <v>55</v>
      </c>
      <c r="U113">
        <v>0.5</v>
      </c>
      <c r="V113" s="24" t="s">
        <v>642</v>
      </c>
      <c r="W113" t="s">
        <v>42</v>
      </c>
      <c r="X113" t="s">
        <v>73</v>
      </c>
      <c r="Y113" t="s">
        <v>790</v>
      </c>
      <c r="Z113" t="s">
        <v>791</v>
      </c>
      <c r="AA113" t="s">
        <v>792</v>
      </c>
      <c r="AB113" t="s">
        <v>130</v>
      </c>
      <c r="AC113" s="30" t="s">
        <v>60</v>
      </c>
      <c r="AD113" s="30" t="s">
        <v>42</v>
      </c>
      <c r="AE113" t="s">
        <v>130</v>
      </c>
    </row>
    <row r="114" spans="1:31" ht="16" hidden="1">
      <c r="A114">
        <v>133</v>
      </c>
      <c r="B114" t="s">
        <v>73</v>
      </c>
      <c r="C114" t="s">
        <v>836</v>
      </c>
      <c r="D114">
        <v>2015</v>
      </c>
      <c r="E114" t="s">
        <v>787</v>
      </c>
      <c r="F114" t="s">
        <v>147</v>
      </c>
      <c r="G114" s="28">
        <v>34</v>
      </c>
      <c r="H114" s="21">
        <v>-122</v>
      </c>
      <c r="I114" s="21">
        <v>1951</v>
      </c>
      <c r="J114" s="21">
        <v>2008</v>
      </c>
      <c r="K114" s="21">
        <v>58</v>
      </c>
      <c r="L114" t="s">
        <v>623</v>
      </c>
      <c r="M114" t="s">
        <v>396</v>
      </c>
      <c r="N114" t="s">
        <v>788</v>
      </c>
      <c r="O114" t="s">
        <v>789</v>
      </c>
      <c r="P114" t="s">
        <v>838</v>
      </c>
      <c r="Q114" s="29" t="s">
        <v>636</v>
      </c>
      <c r="R114" s="29" t="s">
        <v>624</v>
      </c>
      <c r="S114">
        <v>288</v>
      </c>
      <c r="T114" s="31" t="s">
        <v>54</v>
      </c>
      <c r="U114">
        <v>5.4</v>
      </c>
      <c r="V114" s="24" t="s">
        <v>642</v>
      </c>
      <c r="W114" t="s">
        <v>42</v>
      </c>
      <c r="X114" t="s">
        <v>73</v>
      </c>
      <c r="Y114" t="s">
        <v>790</v>
      </c>
      <c r="Z114" t="s">
        <v>791</v>
      </c>
      <c r="AB114" t="s">
        <v>130</v>
      </c>
      <c r="AC114" s="30" t="s">
        <v>60</v>
      </c>
      <c r="AD114" s="30" t="s">
        <v>642</v>
      </c>
      <c r="AE114" t="s">
        <v>130</v>
      </c>
    </row>
    <row r="115" spans="1:31" ht="16" hidden="1">
      <c r="A115">
        <v>134</v>
      </c>
      <c r="B115" t="s">
        <v>73</v>
      </c>
      <c r="C115" t="s">
        <v>839</v>
      </c>
      <c r="D115">
        <v>2015</v>
      </c>
      <c r="E115" t="s">
        <v>787</v>
      </c>
      <c r="F115" t="s">
        <v>147</v>
      </c>
      <c r="G115" s="28">
        <v>34</v>
      </c>
      <c r="H115" s="21">
        <v>-122</v>
      </c>
      <c r="I115" s="21">
        <v>1951</v>
      </c>
      <c r="J115" s="21">
        <v>2008</v>
      </c>
      <c r="K115" s="21">
        <v>58</v>
      </c>
      <c r="L115" t="s">
        <v>623</v>
      </c>
      <c r="M115" t="s">
        <v>396</v>
      </c>
      <c r="N115" t="s">
        <v>788</v>
      </c>
      <c r="O115" t="s">
        <v>789</v>
      </c>
      <c r="P115" t="s">
        <v>322</v>
      </c>
      <c r="Q115" s="29" t="s">
        <v>636</v>
      </c>
      <c r="R115" s="29" t="s">
        <v>624</v>
      </c>
      <c r="S115">
        <v>288</v>
      </c>
      <c r="T115" s="31" t="s">
        <v>54</v>
      </c>
      <c r="U115">
        <v>16</v>
      </c>
      <c r="V115" s="24" t="s">
        <v>642</v>
      </c>
      <c r="W115" t="s">
        <v>42</v>
      </c>
      <c r="X115" t="s">
        <v>73</v>
      </c>
      <c r="Y115" t="s">
        <v>790</v>
      </c>
      <c r="Z115" t="s">
        <v>791</v>
      </c>
      <c r="AA115" t="s">
        <v>792</v>
      </c>
      <c r="AB115" t="s">
        <v>130</v>
      </c>
      <c r="AC115" s="30" t="s">
        <v>60</v>
      </c>
      <c r="AD115" s="30" t="s">
        <v>42</v>
      </c>
      <c r="AE115" t="s">
        <v>130</v>
      </c>
    </row>
    <row r="116" spans="1:31" ht="16" hidden="1">
      <c r="A116">
        <v>135</v>
      </c>
      <c r="B116" t="s">
        <v>73</v>
      </c>
      <c r="C116" t="s">
        <v>840</v>
      </c>
      <c r="D116">
        <v>2015</v>
      </c>
      <c r="E116" t="s">
        <v>787</v>
      </c>
      <c r="F116" t="s">
        <v>147</v>
      </c>
      <c r="G116" s="28">
        <v>34</v>
      </c>
      <c r="H116" s="21">
        <v>-122</v>
      </c>
      <c r="I116" s="21">
        <v>1951</v>
      </c>
      <c r="J116" s="21">
        <v>2008</v>
      </c>
      <c r="K116" s="21">
        <v>58</v>
      </c>
      <c r="L116" t="s">
        <v>623</v>
      </c>
      <c r="M116" t="s">
        <v>396</v>
      </c>
      <c r="N116" t="s">
        <v>788</v>
      </c>
      <c r="O116" t="s">
        <v>789</v>
      </c>
      <c r="P116" t="s">
        <v>841</v>
      </c>
      <c r="Q116" s="29" t="s">
        <v>636</v>
      </c>
      <c r="R116" s="29" t="s">
        <v>624</v>
      </c>
      <c r="S116">
        <v>258</v>
      </c>
      <c r="T116" s="31" t="s">
        <v>54</v>
      </c>
      <c r="U116">
        <v>-7</v>
      </c>
      <c r="V116" s="24" t="s">
        <v>42</v>
      </c>
      <c r="W116" t="s">
        <v>42</v>
      </c>
      <c r="X116" t="s">
        <v>73</v>
      </c>
      <c r="Y116" t="s">
        <v>790</v>
      </c>
      <c r="Z116" t="s">
        <v>791</v>
      </c>
      <c r="AB116" t="s">
        <v>130</v>
      </c>
      <c r="AC116" s="30" t="s">
        <v>60</v>
      </c>
      <c r="AD116" s="30" t="s">
        <v>642</v>
      </c>
      <c r="AE116" t="s">
        <v>130</v>
      </c>
    </row>
    <row r="117" spans="1:31" ht="16" hidden="1">
      <c r="A117">
        <v>135</v>
      </c>
      <c r="B117" t="s">
        <v>73</v>
      </c>
      <c r="C117" t="s">
        <v>840</v>
      </c>
      <c r="D117">
        <v>2015</v>
      </c>
      <c r="E117" t="s">
        <v>787</v>
      </c>
      <c r="F117" t="s">
        <v>147</v>
      </c>
      <c r="G117" s="28">
        <v>34</v>
      </c>
      <c r="H117" s="21">
        <v>-122</v>
      </c>
      <c r="I117" s="21">
        <v>1951</v>
      </c>
      <c r="J117" s="21">
        <v>2008</v>
      </c>
      <c r="K117" s="21">
        <v>58</v>
      </c>
      <c r="L117" t="s">
        <v>623</v>
      </c>
      <c r="M117" t="s">
        <v>396</v>
      </c>
      <c r="N117" t="s">
        <v>788</v>
      </c>
      <c r="O117" t="s">
        <v>789</v>
      </c>
      <c r="P117" t="s">
        <v>842</v>
      </c>
      <c r="Q117" s="29" t="s">
        <v>636</v>
      </c>
      <c r="R117" s="29" t="s">
        <v>624</v>
      </c>
      <c r="S117">
        <v>319</v>
      </c>
      <c r="T117" s="31" t="s">
        <v>54</v>
      </c>
      <c r="U117">
        <v>-7.9</v>
      </c>
      <c r="V117" t="s">
        <v>42</v>
      </c>
      <c r="W117" t="s">
        <v>42</v>
      </c>
      <c r="X117" t="s">
        <v>73</v>
      </c>
      <c r="Y117" t="s">
        <v>790</v>
      </c>
      <c r="Z117" t="s">
        <v>791</v>
      </c>
      <c r="AB117" t="s">
        <v>130</v>
      </c>
      <c r="AC117" s="30" t="s">
        <v>60</v>
      </c>
      <c r="AD117" s="30" t="s">
        <v>642</v>
      </c>
      <c r="AE117" t="s">
        <v>130</v>
      </c>
    </row>
    <row r="118" spans="1:31" ht="16" hidden="1">
      <c r="A118">
        <v>135</v>
      </c>
      <c r="B118" t="s">
        <v>73</v>
      </c>
      <c r="C118" t="s">
        <v>840</v>
      </c>
      <c r="D118">
        <v>2015</v>
      </c>
      <c r="E118" t="s">
        <v>787</v>
      </c>
      <c r="F118" t="s">
        <v>147</v>
      </c>
      <c r="G118" s="28">
        <v>34</v>
      </c>
      <c r="H118" s="21">
        <v>-122</v>
      </c>
      <c r="I118" s="21">
        <v>1951</v>
      </c>
      <c r="J118" s="21">
        <v>2008</v>
      </c>
      <c r="K118" s="21">
        <v>58</v>
      </c>
      <c r="L118" t="s">
        <v>623</v>
      </c>
      <c r="M118" t="s">
        <v>396</v>
      </c>
      <c r="N118" t="s">
        <v>788</v>
      </c>
      <c r="O118" t="s">
        <v>789</v>
      </c>
      <c r="P118" t="s">
        <v>843</v>
      </c>
      <c r="Q118" s="29" t="s">
        <v>636</v>
      </c>
      <c r="R118" s="29" t="s">
        <v>624</v>
      </c>
      <c r="S118">
        <v>258</v>
      </c>
      <c r="T118" s="31" t="s">
        <v>54</v>
      </c>
      <c r="U118">
        <v>3</v>
      </c>
      <c r="V118" t="s">
        <v>642</v>
      </c>
      <c r="W118" t="s">
        <v>42</v>
      </c>
      <c r="X118" t="s">
        <v>73</v>
      </c>
      <c r="Y118" t="s">
        <v>790</v>
      </c>
      <c r="Z118" t="s">
        <v>791</v>
      </c>
      <c r="AB118" t="s">
        <v>130</v>
      </c>
      <c r="AC118" s="30" t="s">
        <v>60</v>
      </c>
      <c r="AD118" s="30" t="s">
        <v>642</v>
      </c>
      <c r="AE118" t="s">
        <v>130</v>
      </c>
    </row>
    <row r="119" spans="1:31" ht="16" hidden="1">
      <c r="A119">
        <v>135</v>
      </c>
      <c r="B119" t="s">
        <v>73</v>
      </c>
      <c r="C119" t="s">
        <v>840</v>
      </c>
      <c r="D119">
        <v>2015</v>
      </c>
      <c r="E119" t="s">
        <v>787</v>
      </c>
      <c r="F119" t="s">
        <v>147</v>
      </c>
      <c r="G119" s="28">
        <v>34</v>
      </c>
      <c r="H119" s="21">
        <v>-122</v>
      </c>
      <c r="I119" s="21">
        <v>1951</v>
      </c>
      <c r="J119" s="21">
        <v>2008</v>
      </c>
      <c r="K119" s="21">
        <v>58</v>
      </c>
      <c r="L119" t="s">
        <v>623</v>
      </c>
      <c r="M119" t="s">
        <v>396</v>
      </c>
      <c r="N119" t="s">
        <v>788</v>
      </c>
      <c r="O119" t="s">
        <v>789</v>
      </c>
      <c r="P119" t="s">
        <v>844</v>
      </c>
      <c r="Q119" s="29" t="s">
        <v>636</v>
      </c>
      <c r="R119" s="29" t="s">
        <v>624</v>
      </c>
      <c r="S119">
        <v>196</v>
      </c>
      <c r="T119" s="31" t="s">
        <v>53</v>
      </c>
      <c r="U119">
        <v>-4.0999999999999996</v>
      </c>
      <c r="V119" t="s">
        <v>42</v>
      </c>
      <c r="W119" t="s">
        <v>42</v>
      </c>
      <c r="X119" t="s">
        <v>73</v>
      </c>
      <c r="Y119" t="s">
        <v>790</v>
      </c>
      <c r="Z119" t="s">
        <v>791</v>
      </c>
      <c r="AB119" t="s">
        <v>130</v>
      </c>
      <c r="AC119" s="30" t="s">
        <v>60</v>
      </c>
      <c r="AD119" s="30" t="s">
        <v>642</v>
      </c>
      <c r="AE119" t="s">
        <v>130</v>
      </c>
    </row>
    <row r="120" spans="1:31" ht="16" hidden="1">
      <c r="A120">
        <v>135</v>
      </c>
      <c r="B120" t="s">
        <v>73</v>
      </c>
      <c r="C120" t="s">
        <v>840</v>
      </c>
      <c r="D120">
        <v>2015</v>
      </c>
      <c r="E120" t="s">
        <v>787</v>
      </c>
      <c r="F120" t="s">
        <v>147</v>
      </c>
      <c r="G120" s="28">
        <v>34</v>
      </c>
      <c r="H120" s="21">
        <v>-122</v>
      </c>
      <c r="I120" s="21">
        <v>1951</v>
      </c>
      <c r="J120" s="21">
        <v>2008</v>
      </c>
      <c r="K120" s="21">
        <v>58</v>
      </c>
      <c r="L120" t="s">
        <v>623</v>
      </c>
      <c r="M120" t="s">
        <v>396</v>
      </c>
      <c r="N120" t="s">
        <v>788</v>
      </c>
      <c r="O120" t="s">
        <v>789</v>
      </c>
      <c r="P120" t="s">
        <v>845</v>
      </c>
      <c r="Q120" s="29" t="s">
        <v>636</v>
      </c>
      <c r="R120" s="29" t="s">
        <v>624</v>
      </c>
      <c r="S120">
        <v>166</v>
      </c>
      <c r="T120" s="31" t="s">
        <v>53</v>
      </c>
      <c r="U120">
        <v>5.7</v>
      </c>
      <c r="V120" t="s">
        <v>642</v>
      </c>
      <c r="W120" t="s">
        <v>42</v>
      </c>
      <c r="X120" t="s">
        <v>73</v>
      </c>
      <c r="Y120" t="s">
        <v>790</v>
      </c>
      <c r="Z120" t="s">
        <v>791</v>
      </c>
      <c r="AB120" t="s">
        <v>130</v>
      </c>
      <c r="AC120" s="30" t="s">
        <v>60</v>
      </c>
      <c r="AD120" s="30" t="s">
        <v>642</v>
      </c>
      <c r="AE120" t="s">
        <v>130</v>
      </c>
    </row>
    <row r="121" spans="1:31" ht="16" hidden="1">
      <c r="A121">
        <v>135</v>
      </c>
      <c r="B121" t="s">
        <v>73</v>
      </c>
      <c r="C121" t="s">
        <v>840</v>
      </c>
      <c r="D121">
        <v>2015</v>
      </c>
      <c r="E121" t="s">
        <v>787</v>
      </c>
      <c r="F121" t="s">
        <v>147</v>
      </c>
      <c r="G121" s="28">
        <v>34</v>
      </c>
      <c r="H121" s="21">
        <v>-122</v>
      </c>
      <c r="I121" s="21">
        <v>1951</v>
      </c>
      <c r="J121" s="21">
        <v>2008</v>
      </c>
      <c r="K121" s="21">
        <v>58</v>
      </c>
      <c r="L121" t="s">
        <v>623</v>
      </c>
      <c r="M121" t="s">
        <v>396</v>
      </c>
      <c r="N121" t="s">
        <v>788</v>
      </c>
      <c r="O121" t="s">
        <v>789</v>
      </c>
      <c r="P121" t="s">
        <v>846</v>
      </c>
      <c r="Q121" s="29" t="s">
        <v>636</v>
      </c>
      <c r="R121" s="29" t="s">
        <v>624</v>
      </c>
      <c r="S121">
        <v>258</v>
      </c>
      <c r="T121" s="31" t="s">
        <v>54</v>
      </c>
      <c r="U121">
        <v>5.6</v>
      </c>
      <c r="V121" s="24" t="s">
        <v>642</v>
      </c>
      <c r="W121" t="s">
        <v>42</v>
      </c>
      <c r="X121" t="s">
        <v>73</v>
      </c>
      <c r="Y121" t="s">
        <v>790</v>
      </c>
      <c r="Z121" t="s">
        <v>791</v>
      </c>
      <c r="AB121" t="s">
        <v>130</v>
      </c>
      <c r="AC121" s="30" t="s">
        <v>60</v>
      </c>
      <c r="AD121" s="30" t="s">
        <v>642</v>
      </c>
      <c r="AE121" t="s">
        <v>130</v>
      </c>
    </row>
    <row r="122" spans="1:31" ht="16" hidden="1">
      <c r="A122">
        <v>135</v>
      </c>
      <c r="B122" t="s">
        <v>73</v>
      </c>
      <c r="C122" t="s">
        <v>840</v>
      </c>
      <c r="D122">
        <v>2015</v>
      </c>
      <c r="E122" t="s">
        <v>787</v>
      </c>
      <c r="F122" t="s">
        <v>147</v>
      </c>
      <c r="G122" s="28">
        <v>34</v>
      </c>
      <c r="H122" s="21">
        <v>-122</v>
      </c>
      <c r="I122" s="21">
        <v>1951</v>
      </c>
      <c r="J122" s="21">
        <v>2008</v>
      </c>
      <c r="K122" s="21">
        <v>58</v>
      </c>
      <c r="L122" t="s">
        <v>623</v>
      </c>
      <c r="M122" t="s">
        <v>396</v>
      </c>
      <c r="N122" t="s">
        <v>788</v>
      </c>
      <c r="O122" t="s">
        <v>789</v>
      </c>
      <c r="P122" t="s">
        <v>847</v>
      </c>
      <c r="Q122" s="29" t="s">
        <v>636</v>
      </c>
      <c r="R122" s="29" t="s">
        <v>624</v>
      </c>
      <c r="S122">
        <v>74</v>
      </c>
      <c r="T122" s="31" t="s">
        <v>52</v>
      </c>
      <c r="U122">
        <v>7.2</v>
      </c>
      <c r="V122" s="24" t="s">
        <v>642</v>
      </c>
      <c r="W122" t="s">
        <v>42</v>
      </c>
      <c r="X122" t="s">
        <v>73</v>
      </c>
      <c r="Y122" t="s">
        <v>790</v>
      </c>
      <c r="Z122" t="s">
        <v>791</v>
      </c>
      <c r="AA122" t="s">
        <v>792</v>
      </c>
      <c r="AB122" t="s">
        <v>130</v>
      </c>
      <c r="AC122" s="30" t="s">
        <v>60</v>
      </c>
      <c r="AD122" s="30" t="s">
        <v>42</v>
      </c>
      <c r="AE122" t="s">
        <v>130</v>
      </c>
    </row>
    <row r="123" spans="1:31" ht="16" hidden="1">
      <c r="A123">
        <v>135</v>
      </c>
      <c r="B123" t="s">
        <v>73</v>
      </c>
      <c r="C123" t="s">
        <v>840</v>
      </c>
      <c r="D123">
        <v>2015</v>
      </c>
      <c r="E123" t="s">
        <v>787</v>
      </c>
      <c r="F123" t="s">
        <v>147</v>
      </c>
      <c r="G123" s="28">
        <v>34</v>
      </c>
      <c r="H123" s="21">
        <v>-122</v>
      </c>
      <c r="I123" s="21">
        <v>1951</v>
      </c>
      <c r="J123" s="21">
        <v>2008</v>
      </c>
      <c r="K123" s="21">
        <v>58</v>
      </c>
      <c r="L123" t="s">
        <v>623</v>
      </c>
      <c r="M123" t="s">
        <v>396</v>
      </c>
      <c r="N123" t="s">
        <v>788</v>
      </c>
      <c r="O123" t="s">
        <v>789</v>
      </c>
      <c r="P123" t="s">
        <v>848</v>
      </c>
      <c r="Q123" s="29" t="s">
        <v>636</v>
      </c>
      <c r="R123" s="29" t="s">
        <v>624</v>
      </c>
      <c r="S123">
        <v>196</v>
      </c>
      <c r="T123" s="31" t="s">
        <v>53</v>
      </c>
      <c r="U123">
        <v>3.4</v>
      </c>
      <c r="V123" s="24" t="s">
        <v>642</v>
      </c>
      <c r="W123" t="s">
        <v>42</v>
      </c>
      <c r="X123" t="s">
        <v>73</v>
      </c>
      <c r="Y123" t="s">
        <v>790</v>
      </c>
      <c r="Z123" t="s">
        <v>791</v>
      </c>
      <c r="AB123" t="s">
        <v>130</v>
      </c>
      <c r="AC123" s="30" t="s">
        <v>60</v>
      </c>
      <c r="AD123" s="30" t="s">
        <v>642</v>
      </c>
      <c r="AE123" t="s">
        <v>130</v>
      </c>
    </row>
    <row r="124" spans="1:31" ht="16" hidden="1">
      <c r="A124">
        <v>135</v>
      </c>
      <c r="B124" t="s">
        <v>73</v>
      </c>
      <c r="C124" t="s">
        <v>840</v>
      </c>
      <c r="D124">
        <v>2015</v>
      </c>
      <c r="E124" t="s">
        <v>787</v>
      </c>
      <c r="F124" t="s">
        <v>147</v>
      </c>
      <c r="G124" s="28">
        <v>34</v>
      </c>
      <c r="H124" s="21">
        <v>-122</v>
      </c>
      <c r="I124" s="21">
        <v>1951</v>
      </c>
      <c r="J124" s="21">
        <v>2008</v>
      </c>
      <c r="K124" s="21">
        <v>58</v>
      </c>
      <c r="L124" t="s">
        <v>623</v>
      </c>
      <c r="M124" t="s">
        <v>396</v>
      </c>
      <c r="N124" t="s">
        <v>788</v>
      </c>
      <c r="O124" t="s">
        <v>789</v>
      </c>
      <c r="P124" t="s">
        <v>326</v>
      </c>
      <c r="Q124" s="29" t="s">
        <v>636</v>
      </c>
      <c r="R124" s="29" t="s">
        <v>624</v>
      </c>
      <c r="S124">
        <v>74</v>
      </c>
      <c r="T124" s="31" t="s">
        <v>52</v>
      </c>
      <c r="U124">
        <v>5.6</v>
      </c>
      <c r="V124" s="24" t="s">
        <v>642</v>
      </c>
      <c r="W124" t="s">
        <v>42</v>
      </c>
      <c r="X124" t="s">
        <v>73</v>
      </c>
      <c r="Y124" t="s">
        <v>790</v>
      </c>
      <c r="Z124" t="s">
        <v>791</v>
      </c>
      <c r="AB124" t="s">
        <v>130</v>
      </c>
      <c r="AC124" s="30" t="s">
        <v>60</v>
      </c>
      <c r="AD124" s="30" t="s">
        <v>42</v>
      </c>
      <c r="AE124" t="s">
        <v>130</v>
      </c>
    </row>
    <row r="125" spans="1:31" ht="16" hidden="1">
      <c r="A125">
        <v>136</v>
      </c>
      <c r="B125" t="s">
        <v>73</v>
      </c>
      <c r="C125" t="s">
        <v>849</v>
      </c>
      <c r="D125">
        <v>2015</v>
      </c>
      <c r="E125" t="s">
        <v>787</v>
      </c>
      <c r="F125" t="s">
        <v>147</v>
      </c>
      <c r="G125" s="28">
        <v>34</v>
      </c>
      <c r="H125" s="21">
        <v>-122</v>
      </c>
      <c r="I125" s="21">
        <v>1951</v>
      </c>
      <c r="J125" s="21">
        <v>2008</v>
      </c>
      <c r="K125" s="21">
        <v>58</v>
      </c>
      <c r="L125" t="s">
        <v>623</v>
      </c>
      <c r="M125" t="s">
        <v>396</v>
      </c>
      <c r="N125" t="s">
        <v>788</v>
      </c>
      <c r="O125" t="s">
        <v>789</v>
      </c>
      <c r="P125" t="s">
        <v>324</v>
      </c>
      <c r="Q125" s="29" t="s">
        <v>636</v>
      </c>
      <c r="R125" s="29" t="s">
        <v>624</v>
      </c>
      <c r="S125">
        <v>105</v>
      </c>
      <c r="T125" s="31" t="s">
        <v>52</v>
      </c>
      <c r="U125">
        <v>-0.7</v>
      </c>
      <c r="V125" t="s">
        <v>42</v>
      </c>
      <c r="W125" t="s">
        <v>42</v>
      </c>
      <c r="X125" t="s">
        <v>73</v>
      </c>
      <c r="Y125" t="s">
        <v>790</v>
      </c>
      <c r="Z125" t="s">
        <v>791</v>
      </c>
      <c r="AA125" t="s">
        <v>792</v>
      </c>
      <c r="AB125" t="s">
        <v>130</v>
      </c>
      <c r="AC125" s="30" t="s">
        <v>60</v>
      </c>
      <c r="AD125" s="30" t="s">
        <v>42</v>
      </c>
      <c r="AE125" t="s">
        <v>130</v>
      </c>
    </row>
    <row r="126" spans="1:31" ht="16" hidden="1">
      <c r="A126">
        <v>137</v>
      </c>
      <c r="B126" t="s">
        <v>73</v>
      </c>
      <c r="C126" t="s">
        <v>850</v>
      </c>
      <c r="D126">
        <v>2015</v>
      </c>
      <c r="E126" t="s">
        <v>787</v>
      </c>
      <c r="F126" t="s">
        <v>147</v>
      </c>
      <c r="G126" s="28">
        <v>34</v>
      </c>
      <c r="H126" s="21">
        <v>-122</v>
      </c>
      <c r="I126" s="21">
        <v>1951</v>
      </c>
      <c r="J126" s="21">
        <v>2008</v>
      </c>
      <c r="K126" s="21">
        <v>58</v>
      </c>
      <c r="L126" t="s">
        <v>623</v>
      </c>
      <c r="M126" t="s">
        <v>396</v>
      </c>
      <c r="N126" t="s">
        <v>788</v>
      </c>
      <c r="O126" t="s">
        <v>789</v>
      </c>
      <c r="P126" t="s">
        <v>325</v>
      </c>
      <c r="Q126" s="29" t="s">
        <v>636</v>
      </c>
      <c r="R126" s="29" t="s">
        <v>624</v>
      </c>
      <c r="S126">
        <v>74</v>
      </c>
      <c r="T126" s="31" t="s">
        <v>52</v>
      </c>
      <c r="U126">
        <v>-1.8</v>
      </c>
      <c r="V126" t="s">
        <v>42</v>
      </c>
      <c r="W126" t="s">
        <v>42</v>
      </c>
      <c r="X126" t="s">
        <v>73</v>
      </c>
      <c r="Y126" t="s">
        <v>790</v>
      </c>
      <c r="Z126" t="s">
        <v>791</v>
      </c>
      <c r="AA126" t="s">
        <v>792</v>
      </c>
      <c r="AB126" t="s">
        <v>130</v>
      </c>
      <c r="AC126" s="30" t="s">
        <v>60</v>
      </c>
      <c r="AD126" s="30" t="s">
        <v>42</v>
      </c>
      <c r="AE126" t="s">
        <v>130</v>
      </c>
    </row>
    <row r="127" spans="1:31" hidden="1">
      <c r="A127">
        <v>216</v>
      </c>
      <c r="B127" t="s">
        <v>73</v>
      </c>
      <c r="C127" t="s">
        <v>688</v>
      </c>
      <c r="D127">
        <v>1996</v>
      </c>
      <c r="E127" t="s">
        <v>62</v>
      </c>
      <c r="F127" t="s">
        <v>147</v>
      </c>
      <c r="G127" s="21">
        <v>54.19</v>
      </c>
      <c r="H127" s="21">
        <v>7.9</v>
      </c>
      <c r="I127" s="21">
        <v>1974</v>
      </c>
      <c r="J127" s="21">
        <v>1994</v>
      </c>
      <c r="K127" s="21">
        <v>21</v>
      </c>
      <c r="L127" t="s">
        <v>623</v>
      </c>
      <c r="M127" t="s">
        <v>396</v>
      </c>
      <c r="N127" t="s">
        <v>654</v>
      </c>
      <c r="P127" t="s">
        <v>238</v>
      </c>
      <c r="Q127" s="25"/>
      <c r="R127" s="25"/>
      <c r="S127" s="25"/>
      <c r="T127" s="25"/>
      <c r="U127" t="s">
        <v>40</v>
      </c>
      <c r="V127" t="s">
        <v>42</v>
      </c>
      <c r="W127" t="s">
        <v>42</v>
      </c>
      <c r="X127" t="s">
        <v>73</v>
      </c>
      <c r="AA127" t="s">
        <v>689</v>
      </c>
    </row>
    <row r="128" spans="1:31" hidden="1">
      <c r="A128">
        <v>217</v>
      </c>
      <c r="B128" t="s">
        <v>73</v>
      </c>
      <c r="C128" t="s">
        <v>688</v>
      </c>
      <c r="D128">
        <v>1996</v>
      </c>
      <c r="E128" t="s">
        <v>62</v>
      </c>
      <c r="F128" t="s">
        <v>147</v>
      </c>
      <c r="G128" s="21">
        <v>54.19</v>
      </c>
      <c r="H128" s="21">
        <v>7.9</v>
      </c>
      <c r="I128" s="21">
        <v>1974</v>
      </c>
      <c r="J128" s="21">
        <v>1994</v>
      </c>
      <c r="K128" s="21">
        <v>21</v>
      </c>
      <c r="L128" t="s">
        <v>623</v>
      </c>
      <c r="M128" t="s">
        <v>396</v>
      </c>
      <c r="N128" t="s">
        <v>396</v>
      </c>
      <c r="P128" t="s">
        <v>263</v>
      </c>
      <c r="Q128" s="25"/>
      <c r="R128" s="25"/>
      <c r="S128" s="25"/>
      <c r="T128" s="25"/>
      <c r="U128" t="s">
        <v>40</v>
      </c>
      <c r="V128" t="s">
        <v>642</v>
      </c>
      <c r="W128" t="s">
        <v>42</v>
      </c>
      <c r="X128" t="s">
        <v>73</v>
      </c>
      <c r="AA128" t="s">
        <v>689</v>
      </c>
    </row>
    <row r="129" spans="1:27" hidden="1">
      <c r="A129">
        <v>218</v>
      </c>
      <c r="B129" t="s">
        <v>73</v>
      </c>
      <c r="C129" t="s">
        <v>688</v>
      </c>
      <c r="D129">
        <v>1996</v>
      </c>
      <c r="E129" t="s">
        <v>62</v>
      </c>
      <c r="F129" t="s">
        <v>147</v>
      </c>
      <c r="G129" s="21">
        <v>54.19</v>
      </c>
      <c r="H129" s="21">
        <v>7.9</v>
      </c>
      <c r="I129" s="21">
        <v>1974</v>
      </c>
      <c r="J129" s="21">
        <v>1994</v>
      </c>
      <c r="K129" s="21">
        <v>21</v>
      </c>
      <c r="L129" t="s">
        <v>623</v>
      </c>
      <c r="M129" t="s">
        <v>396</v>
      </c>
      <c r="N129" t="s">
        <v>396</v>
      </c>
      <c r="P129" t="s">
        <v>249</v>
      </c>
      <c r="Q129" s="25"/>
      <c r="R129" s="25"/>
      <c r="S129" s="25"/>
      <c r="T129" s="25"/>
      <c r="U129" t="s">
        <v>40</v>
      </c>
      <c r="V129" t="s">
        <v>42</v>
      </c>
      <c r="W129" t="s">
        <v>42</v>
      </c>
      <c r="X129" t="s">
        <v>73</v>
      </c>
      <c r="AA129" t="s">
        <v>689</v>
      </c>
    </row>
    <row r="130" spans="1:27" hidden="1">
      <c r="A130">
        <v>219</v>
      </c>
      <c r="B130" t="s">
        <v>73</v>
      </c>
      <c r="C130" t="s">
        <v>688</v>
      </c>
      <c r="D130">
        <v>1996</v>
      </c>
      <c r="E130" t="s">
        <v>62</v>
      </c>
      <c r="F130" t="s">
        <v>147</v>
      </c>
      <c r="G130" s="21">
        <v>54.19</v>
      </c>
      <c r="H130" s="21">
        <v>7.9</v>
      </c>
      <c r="I130" s="21">
        <v>1974</v>
      </c>
      <c r="J130" s="21">
        <v>1994</v>
      </c>
      <c r="K130" s="21">
        <v>21</v>
      </c>
      <c r="L130" t="s">
        <v>623</v>
      </c>
      <c r="M130" t="s">
        <v>396</v>
      </c>
      <c r="N130" t="s">
        <v>396</v>
      </c>
      <c r="P130" t="s">
        <v>251</v>
      </c>
      <c r="Q130" s="25"/>
      <c r="R130" s="25"/>
      <c r="S130" s="25"/>
      <c r="T130" s="25"/>
      <c r="U130" t="s">
        <v>40</v>
      </c>
      <c r="V130" t="s">
        <v>42</v>
      </c>
      <c r="W130" t="s">
        <v>42</v>
      </c>
      <c r="X130" t="s">
        <v>73</v>
      </c>
      <c r="AA130" t="s">
        <v>689</v>
      </c>
    </row>
    <row r="131" spans="1:27" hidden="1">
      <c r="A131">
        <v>220</v>
      </c>
      <c r="B131" t="s">
        <v>73</v>
      </c>
      <c r="C131" t="s">
        <v>688</v>
      </c>
      <c r="D131">
        <v>1996</v>
      </c>
      <c r="E131" t="s">
        <v>62</v>
      </c>
      <c r="F131" t="s">
        <v>147</v>
      </c>
      <c r="G131" s="21">
        <v>54.19</v>
      </c>
      <c r="H131" s="21">
        <v>7.9</v>
      </c>
      <c r="I131" s="21">
        <v>1974</v>
      </c>
      <c r="J131" s="21">
        <v>1994</v>
      </c>
      <c r="K131" s="21">
        <v>21</v>
      </c>
      <c r="L131" t="s">
        <v>623</v>
      </c>
      <c r="M131" t="s">
        <v>396</v>
      </c>
      <c r="N131" t="s">
        <v>396</v>
      </c>
      <c r="O131" t="s">
        <v>211</v>
      </c>
      <c r="P131" t="s">
        <v>244</v>
      </c>
      <c r="Q131" s="25"/>
      <c r="R131" s="25"/>
      <c r="S131" s="25"/>
      <c r="T131" s="25"/>
      <c r="U131" t="s">
        <v>40</v>
      </c>
      <c r="V131" t="s">
        <v>41</v>
      </c>
      <c r="W131" t="s">
        <v>42</v>
      </c>
      <c r="X131" t="s">
        <v>73</v>
      </c>
      <c r="AA131" t="s">
        <v>689</v>
      </c>
    </row>
    <row r="132" spans="1:27" hidden="1">
      <c r="A132">
        <v>221</v>
      </c>
      <c r="B132" t="s">
        <v>73</v>
      </c>
      <c r="C132" t="s">
        <v>688</v>
      </c>
      <c r="D132">
        <v>1996</v>
      </c>
      <c r="E132" t="s">
        <v>62</v>
      </c>
      <c r="F132" t="s">
        <v>147</v>
      </c>
      <c r="G132" s="21">
        <v>54.19</v>
      </c>
      <c r="H132" s="21">
        <v>7.9</v>
      </c>
      <c r="I132" s="21">
        <v>1974</v>
      </c>
      <c r="J132" s="21">
        <v>1994</v>
      </c>
      <c r="K132" s="21">
        <v>21</v>
      </c>
      <c r="L132" t="s">
        <v>623</v>
      </c>
      <c r="M132" t="s">
        <v>396</v>
      </c>
      <c r="N132" t="s">
        <v>654</v>
      </c>
      <c r="P132" t="s">
        <v>236</v>
      </c>
      <c r="Q132" s="25"/>
      <c r="R132" s="25"/>
      <c r="S132" s="25"/>
      <c r="T132" s="25"/>
      <c r="U132" t="s">
        <v>40</v>
      </c>
      <c r="V132" t="s">
        <v>42</v>
      </c>
      <c r="W132" t="s">
        <v>42</v>
      </c>
      <c r="X132" t="s">
        <v>73</v>
      </c>
      <c r="AA132" t="s">
        <v>689</v>
      </c>
    </row>
    <row r="133" spans="1:27" ht="16" hidden="1">
      <c r="A133">
        <v>227</v>
      </c>
      <c r="B133" t="s">
        <v>73</v>
      </c>
      <c r="C133" t="s">
        <v>688</v>
      </c>
      <c r="D133">
        <v>1996</v>
      </c>
      <c r="E133" t="s">
        <v>62</v>
      </c>
      <c r="F133" t="s">
        <v>147</v>
      </c>
      <c r="G133" s="21">
        <v>54.19</v>
      </c>
      <c r="H133" s="21">
        <v>7.9</v>
      </c>
      <c r="I133" s="21">
        <v>1974</v>
      </c>
      <c r="J133" s="21">
        <v>1994</v>
      </c>
      <c r="K133" s="21">
        <v>21</v>
      </c>
      <c r="L133" t="s">
        <v>623</v>
      </c>
      <c r="M133" s="24" t="s">
        <v>396</v>
      </c>
      <c r="N133" t="s">
        <v>654</v>
      </c>
      <c r="O133" s="24" t="s">
        <v>396</v>
      </c>
      <c r="P133" t="s">
        <v>851</v>
      </c>
      <c r="Q133" s="25"/>
      <c r="R133" s="25"/>
      <c r="S133" s="25"/>
      <c r="T133" s="25"/>
      <c r="U133" t="s">
        <v>40</v>
      </c>
      <c r="V133" t="s">
        <v>42</v>
      </c>
      <c r="W133" t="s">
        <v>42</v>
      </c>
      <c r="X133" t="s">
        <v>73</v>
      </c>
      <c r="AA133" t="s">
        <v>689</v>
      </c>
    </row>
    <row r="134" spans="1:27" ht="16" hidden="1">
      <c r="A134">
        <v>228</v>
      </c>
      <c r="B134" t="s">
        <v>73</v>
      </c>
      <c r="C134" t="s">
        <v>688</v>
      </c>
      <c r="D134">
        <v>1996</v>
      </c>
      <c r="E134" t="s">
        <v>62</v>
      </c>
      <c r="F134" t="s">
        <v>147</v>
      </c>
      <c r="G134" s="21">
        <v>54.19</v>
      </c>
      <c r="H134" s="21">
        <v>7.9</v>
      </c>
      <c r="I134" s="21">
        <v>1974</v>
      </c>
      <c r="J134" s="21">
        <v>1994</v>
      </c>
      <c r="K134" s="21">
        <v>21</v>
      </c>
      <c r="L134" t="s">
        <v>623</v>
      </c>
      <c r="M134" s="24" t="s">
        <v>396</v>
      </c>
      <c r="N134" t="s">
        <v>654</v>
      </c>
      <c r="O134" s="24" t="s">
        <v>396</v>
      </c>
      <c r="P134" t="s">
        <v>248</v>
      </c>
      <c r="Q134" s="25"/>
      <c r="R134" s="25"/>
      <c r="S134" s="25"/>
      <c r="T134" s="25"/>
      <c r="U134" t="s">
        <v>40</v>
      </c>
      <c r="V134" t="s">
        <v>42</v>
      </c>
      <c r="W134" t="s">
        <v>42</v>
      </c>
      <c r="X134" t="s">
        <v>73</v>
      </c>
      <c r="AA134" t="s">
        <v>689</v>
      </c>
    </row>
    <row r="135" spans="1:27" ht="16" hidden="1">
      <c r="A135">
        <v>229</v>
      </c>
      <c r="B135" t="s">
        <v>73</v>
      </c>
      <c r="C135" t="s">
        <v>688</v>
      </c>
      <c r="D135">
        <v>1996</v>
      </c>
      <c r="E135" t="s">
        <v>62</v>
      </c>
      <c r="F135" t="s">
        <v>147</v>
      </c>
      <c r="G135" s="21">
        <v>54.19</v>
      </c>
      <c r="H135" s="21">
        <v>7.9</v>
      </c>
      <c r="I135" s="21">
        <v>1974</v>
      </c>
      <c r="J135" s="21">
        <v>1994</v>
      </c>
      <c r="K135" s="21">
        <v>21</v>
      </c>
      <c r="L135" t="s">
        <v>623</v>
      </c>
      <c r="M135" s="24" t="s">
        <v>396</v>
      </c>
      <c r="N135" t="s">
        <v>654</v>
      </c>
      <c r="P135" t="s">
        <v>852</v>
      </c>
      <c r="Q135" s="25"/>
      <c r="R135" s="25"/>
      <c r="S135" s="25"/>
      <c r="T135" s="25"/>
      <c r="U135" t="s">
        <v>40</v>
      </c>
      <c r="V135" t="s">
        <v>642</v>
      </c>
      <c r="W135" t="s">
        <v>42</v>
      </c>
      <c r="X135" t="s">
        <v>73</v>
      </c>
      <c r="AA135" t="s">
        <v>689</v>
      </c>
    </row>
    <row r="136" spans="1:27" ht="16" hidden="1">
      <c r="A136">
        <v>230</v>
      </c>
      <c r="B136" t="s">
        <v>73</v>
      </c>
      <c r="C136" t="s">
        <v>688</v>
      </c>
      <c r="D136">
        <v>1996</v>
      </c>
      <c r="E136" t="s">
        <v>62</v>
      </c>
      <c r="F136" t="s">
        <v>147</v>
      </c>
      <c r="G136" s="21">
        <v>54.19</v>
      </c>
      <c r="H136" s="21">
        <v>7.9</v>
      </c>
      <c r="I136" s="21">
        <v>1974</v>
      </c>
      <c r="J136" s="21">
        <v>1994</v>
      </c>
      <c r="K136" s="21">
        <v>21</v>
      </c>
      <c r="L136" t="s">
        <v>623</v>
      </c>
      <c r="M136" s="24" t="s">
        <v>396</v>
      </c>
      <c r="N136" t="s">
        <v>654</v>
      </c>
      <c r="P136" t="s">
        <v>240</v>
      </c>
      <c r="Q136" s="25"/>
      <c r="R136" s="25"/>
      <c r="S136" s="25"/>
      <c r="T136" s="25"/>
      <c r="U136" t="s">
        <v>40</v>
      </c>
      <c r="V136" t="s">
        <v>42</v>
      </c>
      <c r="W136" t="s">
        <v>42</v>
      </c>
      <c r="X136" t="s">
        <v>73</v>
      </c>
      <c r="AA136" t="s">
        <v>689</v>
      </c>
    </row>
    <row r="137" spans="1:27" ht="16" hidden="1">
      <c r="A137">
        <v>231</v>
      </c>
      <c r="B137" t="s">
        <v>73</v>
      </c>
      <c r="C137" t="s">
        <v>688</v>
      </c>
      <c r="D137">
        <v>1996</v>
      </c>
      <c r="E137" t="s">
        <v>62</v>
      </c>
      <c r="F137" t="s">
        <v>147</v>
      </c>
      <c r="G137" s="21">
        <v>54.19</v>
      </c>
      <c r="H137" s="21">
        <v>7.9</v>
      </c>
      <c r="I137" s="21">
        <v>1974</v>
      </c>
      <c r="J137" s="21">
        <v>1994</v>
      </c>
      <c r="K137" s="21">
        <v>21</v>
      </c>
      <c r="L137" t="s">
        <v>623</v>
      </c>
      <c r="M137" s="24" t="s">
        <v>396</v>
      </c>
      <c r="N137" t="s">
        <v>654</v>
      </c>
      <c r="P137" t="s">
        <v>252</v>
      </c>
      <c r="Q137" s="25"/>
      <c r="R137" s="25"/>
      <c r="S137" s="25"/>
      <c r="T137" s="25"/>
      <c r="U137" t="s">
        <v>40</v>
      </c>
      <c r="V137" t="s">
        <v>42</v>
      </c>
      <c r="W137" t="s">
        <v>42</v>
      </c>
      <c r="X137" t="s">
        <v>73</v>
      </c>
      <c r="AA137" t="s">
        <v>689</v>
      </c>
    </row>
    <row r="138" spans="1:27" ht="16" hidden="1">
      <c r="A138">
        <v>232</v>
      </c>
      <c r="B138" t="s">
        <v>73</v>
      </c>
      <c r="C138" t="s">
        <v>688</v>
      </c>
      <c r="D138">
        <v>1996</v>
      </c>
      <c r="E138" t="s">
        <v>62</v>
      </c>
      <c r="F138" t="s">
        <v>147</v>
      </c>
      <c r="G138" s="21">
        <v>54.19</v>
      </c>
      <c r="H138" s="21">
        <v>7.9</v>
      </c>
      <c r="I138" s="21">
        <v>1974</v>
      </c>
      <c r="J138" s="21">
        <v>1994</v>
      </c>
      <c r="K138" s="21">
        <v>21</v>
      </c>
      <c r="L138" t="s">
        <v>623</v>
      </c>
      <c r="M138" s="24" t="s">
        <v>396</v>
      </c>
      <c r="N138" t="s">
        <v>654</v>
      </c>
      <c r="O138" s="24" t="s">
        <v>396</v>
      </c>
      <c r="P138" t="s">
        <v>245</v>
      </c>
      <c r="Q138" s="25"/>
      <c r="R138" s="25"/>
      <c r="S138" s="25"/>
      <c r="T138" s="25"/>
      <c r="U138" t="s">
        <v>40</v>
      </c>
      <c r="V138" t="s">
        <v>42</v>
      </c>
      <c r="W138" t="s">
        <v>42</v>
      </c>
      <c r="X138" t="s">
        <v>73</v>
      </c>
      <c r="AA138" t="s">
        <v>689</v>
      </c>
    </row>
    <row r="139" spans="1:27" hidden="1">
      <c r="A139">
        <v>236</v>
      </c>
      <c r="B139" t="s">
        <v>73</v>
      </c>
      <c r="C139" t="s">
        <v>688</v>
      </c>
      <c r="D139">
        <v>1996</v>
      </c>
      <c r="E139" t="s">
        <v>62</v>
      </c>
      <c r="F139" t="s">
        <v>147</v>
      </c>
      <c r="G139" s="21">
        <v>54.19</v>
      </c>
      <c r="H139" s="21">
        <v>7.9</v>
      </c>
      <c r="I139" s="21">
        <v>1974</v>
      </c>
      <c r="J139" s="21">
        <v>1994</v>
      </c>
      <c r="K139" s="21">
        <v>21</v>
      </c>
      <c r="L139" t="s">
        <v>623</v>
      </c>
      <c r="M139" t="s">
        <v>396</v>
      </c>
      <c r="N139" t="s">
        <v>654</v>
      </c>
      <c r="P139" t="s">
        <v>239</v>
      </c>
      <c r="Q139" s="25"/>
      <c r="R139" s="25"/>
      <c r="S139" s="25"/>
      <c r="T139" s="25"/>
      <c r="U139" t="s">
        <v>40</v>
      </c>
      <c r="V139" t="s">
        <v>42</v>
      </c>
      <c r="W139" t="s">
        <v>42</v>
      </c>
      <c r="X139" t="s">
        <v>73</v>
      </c>
      <c r="AA139" t="s">
        <v>689</v>
      </c>
    </row>
    <row r="140" spans="1:27" hidden="1">
      <c r="A140">
        <v>237</v>
      </c>
      <c r="B140" t="s">
        <v>73</v>
      </c>
      <c r="C140" t="s">
        <v>688</v>
      </c>
      <c r="D140">
        <v>1996</v>
      </c>
      <c r="E140" t="s">
        <v>62</v>
      </c>
      <c r="F140" t="s">
        <v>147</v>
      </c>
      <c r="G140" s="21">
        <v>54.19</v>
      </c>
      <c r="H140" s="21">
        <v>7.9</v>
      </c>
      <c r="I140" s="21">
        <v>1974</v>
      </c>
      <c r="J140" s="21">
        <v>1994</v>
      </c>
      <c r="K140" s="21">
        <v>21</v>
      </c>
      <c r="L140" t="s">
        <v>623</v>
      </c>
      <c r="M140" t="s">
        <v>396</v>
      </c>
      <c r="N140" t="s">
        <v>654</v>
      </c>
      <c r="O140" t="s">
        <v>396</v>
      </c>
      <c r="P140" t="s">
        <v>241</v>
      </c>
      <c r="Q140" s="25"/>
      <c r="R140" s="25"/>
      <c r="S140" s="25"/>
      <c r="T140" s="25"/>
      <c r="U140" t="s">
        <v>40</v>
      </c>
      <c r="V140" t="s">
        <v>42</v>
      </c>
      <c r="W140" t="s">
        <v>42</v>
      </c>
      <c r="X140" t="s">
        <v>73</v>
      </c>
      <c r="AA140" t="s">
        <v>689</v>
      </c>
    </row>
    <row r="141" spans="1:27" hidden="1">
      <c r="A141">
        <v>238</v>
      </c>
      <c r="B141" t="s">
        <v>73</v>
      </c>
      <c r="C141" t="s">
        <v>688</v>
      </c>
      <c r="D141">
        <v>1996</v>
      </c>
      <c r="E141" t="s">
        <v>62</v>
      </c>
      <c r="F141" t="s">
        <v>147</v>
      </c>
      <c r="G141" s="21">
        <v>54.19</v>
      </c>
      <c r="H141" s="21">
        <v>7.9</v>
      </c>
      <c r="I141" s="21">
        <v>1974</v>
      </c>
      <c r="J141" s="21">
        <v>1994</v>
      </c>
      <c r="K141" s="21">
        <v>21</v>
      </c>
      <c r="L141" t="s">
        <v>623</v>
      </c>
      <c r="M141" t="s">
        <v>396</v>
      </c>
      <c r="N141" t="s">
        <v>654</v>
      </c>
      <c r="O141" t="s">
        <v>396</v>
      </c>
      <c r="P141" t="s">
        <v>243</v>
      </c>
      <c r="Q141" s="25"/>
      <c r="R141" s="25"/>
      <c r="S141" s="25"/>
      <c r="T141" s="25"/>
      <c r="U141" t="s">
        <v>40</v>
      </c>
      <c r="V141" t="s">
        <v>42</v>
      </c>
      <c r="W141" t="s">
        <v>42</v>
      </c>
      <c r="X141" t="s">
        <v>73</v>
      </c>
      <c r="AA141" t="s">
        <v>689</v>
      </c>
    </row>
    <row r="142" spans="1:27" hidden="1">
      <c r="A142">
        <v>239</v>
      </c>
      <c r="B142" t="s">
        <v>73</v>
      </c>
      <c r="C142" t="s">
        <v>688</v>
      </c>
      <c r="D142">
        <v>1996</v>
      </c>
      <c r="E142" t="s">
        <v>62</v>
      </c>
      <c r="F142" t="s">
        <v>147</v>
      </c>
      <c r="G142" s="21">
        <v>54.19</v>
      </c>
      <c r="H142" s="21">
        <v>7.9</v>
      </c>
      <c r="I142" s="21">
        <v>1974</v>
      </c>
      <c r="J142" s="21">
        <v>1994</v>
      </c>
      <c r="K142" s="21">
        <v>21</v>
      </c>
      <c r="L142" t="s">
        <v>623</v>
      </c>
      <c r="M142" t="s">
        <v>396</v>
      </c>
      <c r="N142" t="s">
        <v>788</v>
      </c>
      <c r="O142" t="s">
        <v>396</v>
      </c>
      <c r="P142" t="s">
        <v>853</v>
      </c>
      <c r="U142" t="s">
        <v>40</v>
      </c>
      <c r="V142" t="s">
        <v>42</v>
      </c>
      <c r="W142" t="s">
        <v>42</v>
      </c>
      <c r="X142" t="s">
        <v>73</v>
      </c>
      <c r="AA142" t="s">
        <v>689</v>
      </c>
    </row>
    <row r="143" spans="1:27" hidden="1">
      <c r="A143">
        <v>240</v>
      </c>
      <c r="B143" t="s">
        <v>73</v>
      </c>
      <c r="C143" t="s">
        <v>688</v>
      </c>
      <c r="D143">
        <v>1996</v>
      </c>
      <c r="E143" t="s">
        <v>62</v>
      </c>
      <c r="F143" t="s">
        <v>147</v>
      </c>
      <c r="G143" s="21">
        <v>54.19</v>
      </c>
      <c r="H143" s="21">
        <v>7.9</v>
      </c>
      <c r="I143" s="21">
        <v>1974</v>
      </c>
      <c r="J143" s="21">
        <v>1994</v>
      </c>
      <c r="K143" s="21">
        <v>21</v>
      </c>
      <c r="L143" t="s">
        <v>623</v>
      </c>
      <c r="M143" t="s">
        <v>396</v>
      </c>
      <c r="N143" t="s">
        <v>788</v>
      </c>
      <c r="O143" t="s">
        <v>396</v>
      </c>
      <c r="P143" t="s">
        <v>854</v>
      </c>
      <c r="U143" t="s">
        <v>40</v>
      </c>
      <c r="V143" t="s">
        <v>42</v>
      </c>
      <c r="W143" t="s">
        <v>42</v>
      </c>
      <c r="X143" t="s">
        <v>73</v>
      </c>
      <c r="AA143" t="s">
        <v>689</v>
      </c>
    </row>
    <row r="144" spans="1:27" hidden="1">
      <c r="A144">
        <v>241</v>
      </c>
      <c r="B144" t="s">
        <v>73</v>
      </c>
      <c r="C144" t="s">
        <v>688</v>
      </c>
      <c r="D144">
        <v>1996</v>
      </c>
      <c r="E144" t="s">
        <v>62</v>
      </c>
      <c r="F144" t="s">
        <v>147</v>
      </c>
      <c r="G144" s="21">
        <v>54.19</v>
      </c>
      <c r="H144" s="21">
        <v>7.9</v>
      </c>
      <c r="I144" s="21">
        <v>1974</v>
      </c>
      <c r="J144" s="21">
        <v>1994</v>
      </c>
      <c r="K144" s="21">
        <v>21</v>
      </c>
      <c r="L144" t="s">
        <v>623</v>
      </c>
      <c r="M144" t="s">
        <v>396</v>
      </c>
      <c r="N144" t="s">
        <v>654</v>
      </c>
      <c r="O144" t="s">
        <v>396</v>
      </c>
      <c r="P144" t="s">
        <v>247</v>
      </c>
      <c r="Q144" s="25"/>
      <c r="R144" s="25"/>
      <c r="S144" s="25"/>
      <c r="T144" s="25"/>
      <c r="U144" t="s">
        <v>40</v>
      </c>
      <c r="V144" t="s">
        <v>42</v>
      </c>
      <c r="W144" t="s">
        <v>42</v>
      </c>
      <c r="X144" t="s">
        <v>73</v>
      </c>
      <c r="AA144" t="s">
        <v>689</v>
      </c>
    </row>
    <row r="145" spans="1:31" hidden="1">
      <c r="A145">
        <v>242</v>
      </c>
      <c r="B145" t="s">
        <v>73</v>
      </c>
      <c r="C145" t="s">
        <v>688</v>
      </c>
      <c r="D145">
        <v>1996</v>
      </c>
      <c r="E145" t="s">
        <v>62</v>
      </c>
      <c r="F145" t="s">
        <v>147</v>
      </c>
      <c r="G145" s="21">
        <v>54.19</v>
      </c>
      <c r="H145" s="21">
        <v>7.9</v>
      </c>
      <c r="I145" s="21">
        <v>1974</v>
      </c>
      <c r="J145" s="21">
        <v>1994</v>
      </c>
      <c r="K145" s="21">
        <v>21</v>
      </c>
      <c r="L145" t="s">
        <v>623</v>
      </c>
      <c r="M145" t="s">
        <v>396</v>
      </c>
      <c r="N145" t="s">
        <v>654</v>
      </c>
      <c r="O145" t="s">
        <v>396</v>
      </c>
      <c r="P145" t="s">
        <v>250</v>
      </c>
      <c r="Q145" s="25"/>
      <c r="R145" s="25"/>
      <c r="S145" s="25"/>
      <c r="T145" s="25"/>
      <c r="U145" t="s">
        <v>40</v>
      </c>
      <c r="V145" t="s">
        <v>42</v>
      </c>
      <c r="W145" t="s">
        <v>42</v>
      </c>
      <c r="X145" t="s">
        <v>73</v>
      </c>
      <c r="AA145" t="s">
        <v>689</v>
      </c>
    </row>
    <row r="146" spans="1:31" hidden="1">
      <c r="A146">
        <v>244</v>
      </c>
      <c r="B146" t="s">
        <v>73</v>
      </c>
      <c r="C146" t="s">
        <v>688</v>
      </c>
      <c r="D146">
        <v>1996</v>
      </c>
      <c r="E146" t="s">
        <v>62</v>
      </c>
      <c r="F146" t="s">
        <v>147</v>
      </c>
      <c r="G146" s="21">
        <v>54.19</v>
      </c>
      <c r="H146" s="21">
        <v>7.9</v>
      </c>
      <c r="I146" s="21">
        <v>1974</v>
      </c>
      <c r="J146" s="21">
        <v>1994</v>
      </c>
      <c r="K146" s="21">
        <v>21</v>
      </c>
      <c r="L146" t="s">
        <v>623</v>
      </c>
      <c r="M146" t="s">
        <v>396</v>
      </c>
      <c r="N146" t="s">
        <v>396</v>
      </c>
      <c r="O146" t="s">
        <v>396</v>
      </c>
      <c r="P146" t="s">
        <v>261</v>
      </c>
      <c r="Q146" s="25"/>
      <c r="R146" s="25"/>
      <c r="S146" s="25"/>
      <c r="T146" s="25"/>
      <c r="U146" t="s">
        <v>40</v>
      </c>
      <c r="V146" t="s">
        <v>642</v>
      </c>
      <c r="W146" t="s">
        <v>42</v>
      </c>
      <c r="X146" t="s">
        <v>73</v>
      </c>
      <c r="AA146" t="s">
        <v>689</v>
      </c>
    </row>
    <row r="147" spans="1:31">
      <c r="A147">
        <v>366</v>
      </c>
      <c r="B147" t="s">
        <v>650</v>
      </c>
      <c r="C147" t="s">
        <v>662</v>
      </c>
      <c r="D147">
        <v>2004</v>
      </c>
      <c r="E147" t="s">
        <v>62</v>
      </c>
      <c r="F147" t="s">
        <v>147</v>
      </c>
      <c r="G147" s="21">
        <v>55</v>
      </c>
      <c r="H147" s="21">
        <v>5</v>
      </c>
      <c r="I147" s="21">
        <v>1958</v>
      </c>
      <c r="J147" s="21">
        <v>2002</v>
      </c>
      <c r="K147" s="21">
        <v>45</v>
      </c>
      <c r="L147" t="s">
        <v>623</v>
      </c>
      <c r="M147" t="s">
        <v>396</v>
      </c>
      <c r="N147" t="s">
        <v>788</v>
      </c>
      <c r="O147" t="s">
        <v>40</v>
      </c>
      <c r="P147" t="s">
        <v>246</v>
      </c>
      <c r="U147">
        <v>-12.882989780000001</v>
      </c>
      <c r="V147" t="s">
        <v>42</v>
      </c>
      <c r="W147" t="s">
        <v>42</v>
      </c>
      <c r="X147" t="s">
        <v>664</v>
      </c>
    </row>
    <row r="148" spans="1:31">
      <c r="A148">
        <v>367</v>
      </c>
      <c r="B148" t="s">
        <v>650</v>
      </c>
      <c r="C148" t="s">
        <v>662</v>
      </c>
      <c r="D148">
        <v>2004</v>
      </c>
      <c r="E148" t="s">
        <v>62</v>
      </c>
      <c r="F148" t="s">
        <v>147</v>
      </c>
      <c r="G148" s="21">
        <v>55</v>
      </c>
      <c r="H148" s="21">
        <v>5</v>
      </c>
      <c r="I148" s="21">
        <v>1958</v>
      </c>
      <c r="J148" s="21">
        <v>2002</v>
      </c>
      <c r="K148" s="21">
        <v>45</v>
      </c>
      <c r="L148" t="s">
        <v>623</v>
      </c>
      <c r="M148" t="s">
        <v>396</v>
      </c>
      <c r="N148" t="s">
        <v>654</v>
      </c>
      <c r="O148" t="s">
        <v>40</v>
      </c>
      <c r="P148" t="s">
        <v>855</v>
      </c>
      <c r="U148">
        <v>-10.31787961</v>
      </c>
      <c r="V148" t="s">
        <v>42</v>
      </c>
      <c r="W148" t="s">
        <v>42</v>
      </c>
      <c r="X148" t="s">
        <v>664</v>
      </c>
    </row>
    <row r="149" spans="1:31">
      <c r="A149">
        <v>368</v>
      </c>
      <c r="B149" t="s">
        <v>650</v>
      </c>
      <c r="C149" t="s">
        <v>662</v>
      </c>
      <c r="D149">
        <v>2004</v>
      </c>
      <c r="E149" t="s">
        <v>62</v>
      </c>
      <c r="F149" t="s">
        <v>147</v>
      </c>
      <c r="G149" s="21">
        <v>55</v>
      </c>
      <c r="H149" s="21">
        <v>5</v>
      </c>
      <c r="I149" s="21">
        <v>1958</v>
      </c>
      <c r="J149" s="21">
        <v>2002</v>
      </c>
      <c r="K149" s="21">
        <v>45</v>
      </c>
      <c r="L149" t="s">
        <v>623</v>
      </c>
      <c r="M149" t="s">
        <v>396</v>
      </c>
      <c r="N149" t="s">
        <v>788</v>
      </c>
      <c r="O149" t="s">
        <v>40</v>
      </c>
      <c r="P149" t="s">
        <v>788</v>
      </c>
      <c r="U149">
        <v>-9.4943896670000001</v>
      </c>
      <c r="V149" t="s">
        <v>42</v>
      </c>
      <c r="W149" t="s">
        <v>42</v>
      </c>
      <c r="X149" t="s">
        <v>664</v>
      </c>
    </row>
    <row r="150" spans="1:31">
      <c r="A150">
        <v>387</v>
      </c>
      <c r="B150" t="s">
        <v>650</v>
      </c>
      <c r="C150" t="s">
        <v>662</v>
      </c>
      <c r="D150">
        <v>2004</v>
      </c>
      <c r="E150" t="s">
        <v>62</v>
      </c>
      <c r="F150" t="s">
        <v>147</v>
      </c>
      <c r="G150" s="21">
        <v>55</v>
      </c>
      <c r="H150" s="21">
        <v>5</v>
      </c>
      <c r="I150" s="21">
        <v>1958</v>
      </c>
      <c r="J150" s="21">
        <v>2002</v>
      </c>
      <c r="K150" s="21">
        <v>45</v>
      </c>
      <c r="L150" t="s">
        <v>623</v>
      </c>
      <c r="M150" t="s">
        <v>396</v>
      </c>
      <c r="N150" t="s">
        <v>654</v>
      </c>
      <c r="O150" t="s">
        <v>40</v>
      </c>
      <c r="P150" s="5" t="s">
        <v>856</v>
      </c>
      <c r="U150">
        <v>-3.1808675559999999</v>
      </c>
      <c r="V150" t="s">
        <v>42</v>
      </c>
      <c r="W150" t="s">
        <v>642</v>
      </c>
      <c r="X150" t="s">
        <v>664</v>
      </c>
    </row>
    <row r="151" spans="1:31">
      <c r="A151">
        <v>389</v>
      </c>
      <c r="B151" t="s">
        <v>650</v>
      </c>
      <c r="C151" t="s">
        <v>662</v>
      </c>
      <c r="D151">
        <v>2004</v>
      </c>
      <c r="E151" t="s">
        <v>62</v>
      </c>
      <c r="F151" t="s">
        <v>147</v>
      </c>
      <c r="G151" s="21">
        <v>55</v>
      </c>
      <c r="H151" s="21">
        <v>5</v>
      </c>
      <c r="I151" s="21">
        <v>1958</v>
      </c>
      <c r="J151" s="21">
        <v>2002</v>
      </c>
      <c r="K151" s="21">
        <v>45</v>
      </c>
      <c r="L151" t="s">
        <v>623</v>
      </c>
      <c r="M151" t="s">
        <v>396</v>
      </c>
      <c r="N151" t="s">
        <v>654</v>
      </c>
      <c r="O151" t="s">
        <v>40</v>
      </c>
      <c r="P151" t="s">
        <v>259</v>
      </c>
      <c r="U151">
        <v>-2.7590335669999999</v>
      </c>
      <c r="V151" t="s">
        <v>42</v>
      </c>
      <c r="W151" t="s">
        <v>42</v>
      </c>
      <c r="X151" t="s">
        <v>664</v>
      </c>
    </row>
    <row r="152" spans="1:31">
      <c r="A152">
        <v>390</v>
      </c>
      <c r="B152" t="s">
        <v>650</v>
      </c>
      <c r="C152" t="s">
        <v>662</v>
      </c>
      <c r="D152">
        <v>2004</v>
      </c>
      <c r="E152" t="s">
        <v>62</v>
      </c>
      <c r="F152" t="s">
        <v>147</v>
      </c>
      <c r="G152" s="21">
        <v>55</v>
      </c>
      <c r="H152" s="21">
        <v>5</v>
      </c>
      <c r="I152" s="21">
        <v>1958</v>
      </c>
      <c r="J152" s="21">
        <v>2002</v>
      </c>
      <c r="K152" s="21">
        <v>45</v>
      </c>
      <c r="L152" t="s">
        <v>623</v>
      </c>
      <c r="M152" t="s">
        <v>396</v>
      </c>
      <c r="N152" t="s">
        <v>654</v>
      </c>
      <c r="O152" t="s">
        <v>40</v>
      </c>
      <c r="P152" t="s">
        <v>857</v>
      </c>
      <c r="U152">
        <v>-2.7181418000000002</v>
      </c>
      <c r="V152" t="s">
        <v>42</v>
      </c>
      <c r="W152" t="s">
        <v>42</v>
      </c>
      <c r="X152" t="s">
        <v>664</v>
      </c>
    </row>
    <row r="153" spans="1:31">
      <c r="A153">
        <v>393</v>
      </c>
      <c r="B153" t="s">
        <v>650</v>
      </c>
      <c r="C153" t="s">
        <v>662</v>
      </c>
      <c r="D153">
        <v>2004</v>
      </c>
      <c r="E153" t="s">
        <v>62</v>
      </c>
      <c r="F153" t="s">
        <v>147</v>
      </c>
      <c r="G153" s="21">
        <v>55</v>
      </c>
      <c r="H153" s="21">
        <v>5</v>
      </c>
      <c r="I153" s="21">
        <v>1958</v>
      </c>
      <c r="J153" s="21">
        <v>2002</v>
      </c>
      <c r="K153" s="21">
        <v>45</v>
      </c>
      <c r="L153" t="s">
        <v>623</v>
      </c>
      <c r="M153" t="s">
        <v>396</v>
      </c>
      <c r="N153" t="s">
        <v>654</v>
      </c>
      <c r="O153" t="s">
        <v>673</v>
      </c>
      <c r="P153" t="s">
        <v>858</v>
      </c>
      <c r="U153">
        <v>-1.7645957999999999</v>
      </c>
      <c r="V153" t="s">
        <v>42</v>
      </c>
      <c r="W153" t="s">
        <v>42</v>
      </c>
      <c r="X153" t="s">
        <v>664</v>
      </c>
    </row>
    <row r="154" spans="1:31">
      <c r="A154">
        <v>394</v>
      </c>
      <c r="B154" t="s">
        <v>650</v>
      </c>
      <c r="C154" t="s">
        <v>662</v>
      </c>
      <c r="D154">
        <v>2004</v>
      </c>
      <c r="E154" t="s">
        <v>62</v>
      </c>
      <c r="F154" t="s">
        <v>147</v>
      </c>
      <c r="G154" s="21">
        <v>55</v>
      </c>
      <c r="H154" s="21">
        <v>5</v>
      </c>
      <c r="I154" s="21">
        <v>1958</v>
      </c>
      <c r="J154" s="21">
        <v>2002</v>
      </c>
      <c r="K154" s="21">
        <v>45</v>
      </c>
      <c r="L154" t="s">
        <v>623</v>
      </c>
      <c r="M154" t="s">
        <v>396</v>
      </c>
      <c r="N154" t="s">
        <v>654</v>
      </c>
      <c r="O154" t="s">
        <v>859</v>
      </c>
      <c r="P154" t="s">
        <v>242</v>
      </c>
      <c r="U154">
        <v>-1.3691003939999999</v>
      </c>
      <c r="V154" t="s">
        <v>42</v>
      </c>
      <c r="W154" t="s">
        <v>42</v>
      </c>
      <c r="X154" t="s">
        <v>664</v>
      </c>
    </row>
    <row r="155" spans="1:31" hidden="1">
      <c r="A155">
        <v>441</v>
      </c>
      <c r="B155" t="s">
        <v>650</v>
      </c>
      <c r="C155" t="s">
        <v>688</v>
      </c>
      <c r="D155">
        <v>1996</v>
      </c>
      <c r="E155" t="s">
        <v>62</v>
      </c>
      <c r="F155" t="s">
        <v>147</v>
      </c>
      <c r="G155" s="21">
        <v>54.19</v>
      </c>
      <c r="H155" s="21">
        <v>7.9</v>
      </c>
      <c r="I155" s="21">
        <v>1975</v>
      </c>
      <c r="J155" s="21">
        <v>1993</v>
      </c>
      <c r="K155" s="21">
        <v>19</v>
      </c>
      <c r="L155" t="s">
        <v>623</v>
      </c>
      <c r="M155" t="s">
        <v>396</v>
      </c>
      <c r="N155" t="s">
        <v>788</v>
      </c>
      <c r="O155" t="s">
        <v>788</v>
      </c>
      <c r="P155" t="s">
        <v>40</v>
      </c>
      <c r="U155">
        <v>-32.11</v>
      </c>
      <c r="V155" t="s">
        <v>42</v>
      </c>
      <c r="W155" t="s">
        <v>42</v>
      </c>
      <c r="X155" t="s">
        <v>656</v>
      </c>
    </row>
    <row r="156" spans="1:31" hidden="1">
      <c r="A156">
        <v>442</v>
      </c>
      <c r="B156" t="s">
        <v>650</v>
      </c>
      <c r="C156" t="s">
        <v>688</v>
      </c>
      <c r="D156">
        <v>1996</v>
      </c>
      <c r="E156" t="s">
        <v>62</v>
      </c>
      <c r="F156" t="s">
        <v>147</v>
      </c>
      <c r="G156" s="21">
        <v>54.19</v>
      </c>
      <c r="H156" s="21">
        <v>7.9</v>
      </c>
      <c r="I156" s="21">
        <v>1975</v>
      </c>
      <c r="J156" s="21">
        <v>1993</v>
      </c>
      <c r="K156" s="21">
        <v>19</v>
      </c>
      <c r="L156" t="s">
        <v>623</v>
      </c>
      <c r="M156" t="s">
        <v>396</v>
      </c>
      <c r="N156" t="s">
        <v>788</v>
      </c>
      <c r="O156" t="s">
        <v>788</v>
      </c>
      <c r="P156" t="s">
        <v>40</v>
      </c>
      <c r="U156">
        <v>-26.32</v>
      </c>
      <c r="V156" t="s">
        <v>42</v>
      </c>
      <c r="W156" t="s">
        <v>42</v>
      </c>
      <c r="X156" t="s">
        <v>656</v>
      </c>
    </row>
    <row r="157" spans="1:31" hidden="1">
      <c r="B157" t="s">
        <v>73</v>
      </c>
      <c r="C157" t="s">
        <v>860</v>
      </c>
      <c r="D157">
        <v>2020</v>
      </c>
      <c r="E157" t="s">
        <v>861</v>
      </c>
      <c r="F157" t="s">
        <v>147</v>
      </c>
      <c r="G157" s="21">
        <v>47.5</v>
      </c>
      <c r="H157" s="21">
        <v>-63</v>
      </c>
      <c r="I157" s="21">
        <v>1982</v>
      </c>
      <c r="J157" s="21">
        <v>2012</v>
      </c>
      <c r="K157" s="21">
        <v>31</v>
      </c>
      <c r="L157" t="s">
        <v>623</v>
      </c>
      <c r="M157" t="s">
        <v>396</v>
      </c>
      <c r="N157" t="s">
        <v>654</v>
      </c>
      <c r="O157" t="s">
        <v>862</v>
      </c>
      <c r="P157" t="s">
        <v>412</v>
      </c>
      <c r="Q157" t="s">
        <v>863</v>
      </c>
      <c r="R157" t="s">
        <v>624</v>
      </c>
      <c r="S157" t="s">
        <v>40</v>
      </c>
      <c r="T157" t="s">
        <v>53</v>
      </c>
      <c r="U157" t="s">
        <v>40</v>
      </c>
      <c r="V157" t="s">
        <v>42</v>
      </c>
      <c r="W157" t="s">
        <v>42</v>
      </c>
      <c r="X157" t="s">
        <v>73</v>
      </c>
      <c r="Y157" t="s">
        <v>864</v>
      </c>
      <c r="Z157" t="s">
        <v>865</v>
      </c>
      <c r="AA157" t="s">
        <v>866</v>
      </c>
      <c r="AB157" t="s">
        <v>130</v>
      </c>
      <c r="AC157" t="s">
        <v>129</v>
      </c>
      <c r="AD157" t="s">
        <v>42</v>
      </c>
      <c r="AE157" t="s">
        <v>130</v>
      </c>
    </row>
    <row r="158" spans="1:31" hidden="1">
      <c r="B158" t="s">
        <v>73</v>
      </c>
      <c r="C158" t="s">
        <v>860</v>
      </c>
      <c r="D158">
        <v>2020</v>
      </c>
      <c r="E158" t="s">
        <v>861</v>
      </c>
      <c r="F158" t="s">
        <v>147</v>
      </c>
      <c r="G158" s="21">
        <v>47.5</v>
      </c>
      <c r="H158" s="21">
        <v>-63</v>
      </c>
      <c r="I158" s="21">
        <v>1982</v>
      </c>
      <c r="J158" s="21">
        <v>2012</v>
      </c>
      <c r="K158" s="21">
        <v>31</v>
      </c>
      <c r="L158" t="s">
        <v>623</v>
      </c>
      <c r="M158" t="s">
        <v>396</v>
      </c>
      <c r="N158" t="s">
        <v>654</v>
      </c>
      <c r="O158" t="s">
        <v>867</v>
      </c>
      <c r="P158" t="s">
        <v>868</v>
      </c>
      <c r="Q158" t="s">
        <v>863</v>
      </c>
      <c r="R158" t="s">
        <v>624</v>
      </c>
      <c r="S158" t="s">
        <v>40</v>
      </c>
      <c r="T158" t="s">
        <v>53</v>
      </c>
      <c r="U158" t="s">
        <v>40</v>
      </c>
      <c r="V158" t="s">
        <v>42</v>
      </c>
      <c r="W158" t="s">
        <v>42</v>
      </c>
      <c r="X158" t="s">
        <v>73</v>
      </c>
      <c r="Y158" t="s">
        <v>864</v>
      </c>
      <c r="Z158" t="s">
        <v>865</v>
      </c>
      <c r="AA158" t="s">
        <v>866</v>
      </c>
      <c r="AB158" t="s">
        <v>130</v>
      </c>
      <c r="AC158" t="s">
        <v>129</v>
      </c>
      <c r="AD158" t="s">
        <v>42</v>
      </c>
      <c r="AE158" t="s">
        <v>130</v>
      </c>
    </row>
    <row r="159" spans="1:31" hidden="1">
      <c r="B159" t="s">
        <v>73</v>
      </c>
      <c r="C159" t="s">
        <v>869</v>
      </c>
      <c r="D159">
        <v>2021</v>
      </c>
      <c r="E159" t="s">
        <v>870</v>
      </c>
      <c r="F159" t="s">
        <v>147</v>
      </c>
      <c r="G159" s="21">
        <v>53.75</v>
      </c>
      <c r="H159" s="21">
        <v>-4.75</v>
      </c>
      <c r="I159" s="21">
        <v>1982</v>
      </c>
      <c r="J159" s="21">
        <v>2010</v>
      </c>
      <c r="K159" s="21">
        <v>29</v>
      </c>
      <c r="L159" t="s">
        <v>871</v>
      </c>
      <c r="M159" t="s">
        <v>396</v>
      </c>
      <c r="N159" t="s">
        <v>654</v>
      </c>
      <c r="O159" t="s">
        <v>872</v>
      </c>
      <c r="P159" t="s">
        <v>873</v>
      </c>
      <c r="Q159" t="s">
        <v>874</v>
      </c>
      <c r="R159" t="s">
        <v>624</v>
      </c>
      <c r="S159">
        <v>121.9</v>
      </c>
      <c r="T159" t="s">
        <v>52</v>
      </c>
      <c r="U159">
        <v>-11.9375</v>
      </c>
      <c r="V159" t="s">
        <v>42</v>
      </c>
      <c r="W159" t="s">
        <v>42</v>
      </c>
      <c r="X159" t="s">
        <v>73</v>
      </c>
      <c r="Y159" t="s">
        <v>875</v>
      </c>
      <c r="Z159" t="s">
        <v>876</v>
      </c>
      <c r="AA159" t="s">
        <v>877</v>
      </c>
      <c r="AB159" t="s">
        <v>130</v>
      </c>
      <c r="AC159" t="s">
        <v>878</v>
      </c>
      <c r="AD159" t="s">
        <v>42</v>
      </c>
      <c r="AE159" t="s">
        <v>130</v>
      </c>
    </row>
    <row r="160" spans="1:31" ht="16" hidden="1">
      <c r="B160" t="s">
        <v>73</v>
      </c>
      <c r="C160" t="s">
        <v>879</v>
      </c>
      <c r="D160">
        <v>2020</v>
      </c>
      <c r="E160" s="32" t="s">
        <v>880</v>
      </c>
      <c r="F160" t="s">
        <v>147</v>
      </c>
      <c r="G160" s="21">
        <v>34.6</v>
      </c>
      <c r="H160" s="21">
        <v>-77.2</v>
      </c>
      <c r="I160" s="21">
        <v>1986</v>
      </c>
      <c r="J160" s="21">
        <v>2013</v>
      </c>
      <c r="K160" s="21">
        <v>28</v>
      </c>
      <c r="L160" t="s">
        <v>623</v>
      </c>
      <c r="M160" t="s">
        <v>396</v>
      </c>
      <c r="N160" t="s">
        <v>788</v>
      </c>
      <c r="O160" t="s">
        <v>881</v>
      </c>
      <c r="P160" s="22" t="s">
        <v>882</v>
      </c>
      <c r="Q160" t="s">
        <v>863</v>
      </c>
      <c r="R160" t="s">
        <v>624</v>
      </c>
      <c r="S160" t="s">
        <v>40</v>
      </c>
      <c r="T160" t="s">
        <v>55</v>
      </c>
      <c r="U160">
        <v>-0.1</v>
      </c>
      <c r="V160" t="s">
        <v>42</v>
      </c>
      <c r="W160" t="s">
        <v>42</v>
      </c>
      <c r="X160" t="s">
        <v>73</v>
      </c>
      <c r="Y160" t="s">
        <v>883</v>
      </c>
      <c r="Z160" t="s">
        <v>884</v>
      </c>
      <c r="AA160" t="s">
        <v>885</v>
      </c>
      <c r="AB160" t="s">
        <v>130</v>
      </c>
      <c r="AC160" t="s">
        <v>886</v>
      </c>
      <c r="AD160" t="s">
        <v>42</v>
      </c>
      <c r="AE160" t="s">
        <v>130</v>
      </c>
    </row>
    <row r="161" spans="2:31" ht="16" hidden="1">
      <c r="B161" t="s">
        <v>73</v>
      </c>
      <c r="C161" t="s">
        <v>879</v>
      </c>
      <c r="D161">
        <v>2020</v>
      </c>
      <c r="E161" s="32" t="s">
        <v>880</v>
      </c>
      <c r="F161" t="s">
        <v>147</v>
      </c>
      <c r="G161" s="21">
        <v>34.6</v>
      </c>
      <c r="H161" s="21">
        <v>-77.2</v>
      </c>
      <c r="I161" s="21">
        <v>1986</v>
      </c>
      <c r="J161" s="21">
        <v>2013</v>
      </c>
      <c r="K161" s="21">
        <v>28</v>
      </c>
      <c r="L161" t="s">
        <v>623</v>
      </c>
      <c r="M161" t="s">
        <v>396</v>
      </c>
      <c r="N161" t="s">
        <v>788</v>
      </c>
      <c r="O161" t="s">
        <v>887</v>
      </c>
      <c r="P161" s="22" t="s">
        <v>888</v>
      </c>
      <c r="Q161" t="s">
        <v>863</v>
      </c>
      <c r="R161" t="s">
        <v>624</v>
      </c>
      <c r="S161" t="s">
        <v>40</v>
      </c>
      <c r="T161" t="s">
        <v>55</v>
      </c>
      <c r="U161">
        <v>-10.9</v>
      </c>
      <c r="V161" t="s">
        <v>42</v>
      </c>
      <c r="W161" t="s">
        <v>42</v>
      </c>
      <c r="X161" t="s">
        <v>73</v>
      </c>
      <c r="Y161" t="s">
        <v>883</v>
      </c>
      <c r="Z161" t="s">
        <v>884</v>
      </c>
      <c r="AA161" t="s">
        <v>885</v>
      </c>
      <c r="AB161" t="s">
        <v>130</v>
      </c>
      <c r="AC161" t="s">
        <v>886</v>
      </c>
      <c r="AD161" t="s">
        <v>42</v>
      </c>
      <c r="AE161" t="s">
        <v>130</v>
      </c>
    </row>
    <row r="162" spans="2:31" ht="16" hidden="1">
      <c r="B162" t="s">
        <v>73</v>
      </c>
      <c r="C162" t="s">
        <v>879</v>
      </c>
      <c r="D162">
        <v>2020</v>
      </c>
      <c r="E162" s="32" t="s">
        <v>880</v>
      </c>
      <c r="F162" t="s">
        <v>147</v>
      </c>
      <c r="G162" s="21">
        <v>34.6</v>
      </c>
      <c r="H162" s="21">
        <v>-77.2</v>
      </c>
      <c r="I162" s="21">
        <v>1986</v>
      </c>
      <c r="J162" s="21">
        <v>2013</v>
      </c>
      <c r="K162" s="21">
        <v>28</v>
      </c>
      <c r="L162" t="s">
        <v>623</v>
      </c>
      <c r="M162" t="s">
        <v>396</v>
      </c>
      <c r="N162" t="s">
        <v>788</v>
      </c>
      <c r="O162" t="s">
        <v>889</v>
      </c>
      <c r="P162" s="22" t="s">
        <v>890</v>
      </c>
      <c r="Q162" t="s">
        <v>863</v>
      </c>
      <c r="R162" t="s">
        <v>624</v>
      </c>
      <c r="S162" t="s">
        <v>40</v>
      </c>
      <c r="T162" t="s">
        <v>55</v>
      </c>
      <c r="U162">
        <v>-1.5</v>
      </c>
      <c r="V162" t="s">
        <v>42</v>
      </c>
      <c r="W162" t="s">
        <v>42</v>
      </c>
      <c r="X162" t="s">
        <v>73</v>
      </c>
      <c r="Y162" t="s">
        <v>883</v>
      </c>
      <c r="Z162" t="s">
        <v>884</v>
      </c>
      <c r="AA162" t="s">
        <v>885</v>
      </c>
      <c r="AB162" t="s">
        <v>130</v>
      </c>
      <c r="AC162" t="s">
        <v>886</v>
      </c>
      <c r="AD162" t="s">
        <v>42</v>
      </c>
      <c r="AE162" t="s">
        <v>130</v>
      </c>
    </row>
    <row r="163" spans="2:31" ht="16" hidden="1">
      <c r="B163" t="s">
        <v>73</v>
      </c>
      <c r="C163" t="s">
        <v>879</v>
      </c>
      <c r="D163">
        <v>2020</v>
      </c>
      <c r="E163" s="32" t="s">
        <v>880</v>
      </c>
      <c r="F163" t="s">
        <v>147</v>
      </c>
      <c r="G163" s="21">
        <v>34.6</v>
      </c>
      <c r="H163" s="21">
        <v>-77.2</v>
      </c>
      <c r="I163" s="21">
        <v>1986</v>
      </c>
      <c r="J163" s="21">
        <v>2013</v>
      </c>
      <c r="K163" s="21">
        <v>28</v>
      </c>
      <c r="L163" t="s">
        <v>623</v>
      </c>
      <c r="M163" t="s">
        <v>396</v>
      </c>
      <c r="N163" t="s">
        <v>788</v>
      </c>
      <c r="O163" t="s">
        <v>891</v>
      </c>
      <c r="P163" s="22" t="s">
        <v>892</v>
      </c>
      <c r="Q163" t="s">
        <v>863</v>
      </c>
      <c r="R163" t="s">
        <v>624</v>
      </c>
      <c r="S163" t="s">
        <v>40</v>
      </c>
      <c r="T163" t="s">
        <v>55</v>
      </c>
      <c r="U163">
        <v>-2.1</v>
      </c>
      <c r="V163" t="s">
        <v>42</v>
      </c>
      <c r="W163" t="s">
        <v>42</v>
      </c>
      <c r="X163" t="s">
        <v>73</v>
      </c>
      <c r="Y163" t="s">
        <v>883</v>
      </c>
      <c r="Z163" t="s">
        <v>884</v>
      </c>
      <c r="AA163" t="s">
        <v>885</v>
      </c>
      <c r="AB163" t="s">
        <v>130</v>
      </c>
      <c r="AC163" t="s">
        <v>886</v>
      </c>
      <c r="AD163" t="s">
        <v>42</v>
      </c>
      <c r="AE163" t="s">
        <v>130</v>
      </c>
    </row>
    <row r="164" spans="2:31" ht="16" hidden="1">
      <c r="B164" t="s">
        <v>73</v>
      </c>
      <c r="C164" t="s">
        <v>879</v>
      </c>
      <c r="D164">
        <v>2020</v>
      </c>
      <c r="E164" s="32" t="s">
        <v>880</v>
      </c>
      <c r="F164" t="s">
        <v>147</v>
      </c>
      <c r="G164" s="21">
        <v>34.6</v>
      </c>
      <c r="H164" s="21">
        <v>-77.2</v>
      </c>
      <c r="I164" s="21">
        <v>1986</v>
      </c>
      <c r="J164" s="21">
        <v>2013</v>
      </c>
      <c r="K164" s="21">
        <v>28</v>
      </c>
      <c r="L164" t="s">
        <v>623</v>
      </c>
      <c r="M164" t="s">
        <v>396</v>
      </c>
      <c r="N164" t="s">
        <v>788</v>
      </c>
      <c r="O164" t="s">
        <v>893</v>
      </c>
      <c r="P164" s="22" t="s">
        <v>894</v>
      </c>
      <c r="Q164" t="s">
        <v>863</v>
      </c>
      <c r="R164" t="s">
        <v>624</v>
      </c>
      <c r="S164" t="s">
        <v>40</v>
      </c>
      <c r="T164" t="s">
        <v>55</v>
      </c>
      <c r="U164">
        <v>-9.1</v>
      </c>
      <c r="V164" t="s">
        <v>42</v>
      </c>
      <c r="W164" t="s">
        <v>42</v>
      </c>
      <c r="X164" t="s">
        <v>73</v>
      </c>
      <c r="Y164" t="s">
        <v>883</v>
      </c>
      <c r="Z164" t="s">
        <v>884</v>
      </c>
      <c r="AA164" t="s">
        <v>885</v>
      </c>
      <c r="AB164" t="s">
        <v>130</v>
      </c>
      <c r="AC164" t="s">
        <v>886</v>
      </c>
      <c r="AD164" t="s">
        <v>42</v>
      </c>
      <c r="AE164" t="s">
        <v>130</v>
      </c>
    </row>
    <row r="165" spans="2:31" ht="16" hidden="1">
      <c r="B165" t="s">
        <v>73</v>
      </c>
      <c r="C165" t="s">
        <v>879</v>
      </c>
      <c r="D165">
        <v>2020</v>
      </c>
      <c r="E165" s="32" t="s">
        <v>880</v>
      </c>
      <c r="F165" t="s">
        <v>147</v>
      </c>
      <c r="G165" s="21">
        <v>34.6</v>
      </c>
      <c r="H165" s="21">
        <v>-77.2</v>
      </c>
      <c r="I165" s="21">
        <v>1986</v>
      </c>
      <c r="J165" s="21">
        <v>2013</v>
      </c>
      <c r="K165" s="21">
        <v>28</v>
      </c>
      <c r="L165" t="s">
        <v>623</v>
      </c>
      <c r="M165" t="s">
        <v>396</v>
      </c>
      <c r="N165" t="s">
        <v>788</v>
      </c>
      <c r="O165" s="33" t="s">
        <v>895</v>
      </c>
      <c r="P165" s="22" t="s">
        <v>896</v>
      </c>
      <c r="Q165" t="s">
        <v>863</v>
      </c>
      <c r="R165" t="s">
        <v>624</v>
      </c>
      <c r="S165" t="s">
        <v>40</v>
      </c>
      <c r="T165" t="s">
        <v>55</v>
      </c>
      <c r="U165">
        <v>-14.5</v>
      </c>
      <c r="V165" t="s">
        <v>42</v>
      </c>
      <c r="W165" t="s">
        <v>42</v>
      </c>
      <c r="X165" t="s">
        <v>73</v>
      </c>
      <c r="Y165" t="s">
        <v>883</v>
      </c>
      <c r="Z165" t="s">
        <v>884</v>
      </c>
      <c r="AA165" t="s">
        <v>885</v>
      </c>
      <c r="AB165" t="s">
        <v>130</v>
      </c>
      <c r="AC165" t="s">
        <v>886</v>
      </c>
      <c r="AD165" t="s">
        <v>42</v>
      </c>
      <c r="AE165" t="s">
        <v>130</v>
      </c>
    </row>
    <row r="166" spans="2:31" ht="16" hidden="1">
      <c r="B166" t="s">
        <v>73</v>
      </c>
      <c r="C166" t="s">
        <v>879</v>
      </c>
      <c r="D166">
        <v>2020</v>
      </c>
      <c r="E166" s="32" t="s">
        <v>880</v>
      </c>
      <c r="F166" t="s">
        <v>147</v>
      </c>
      <c r="G166" s="21">
        <v>34.6</v>
      </c>
      <c r="H166" s="21">
        <v>-77.2</v>
      </c>
      <c r="I166" s="21">
        <v>1986</v>
      </c>
      <c r="J166" s="21">
        <v>2013</v>
      </c>
      <c r="K166" s="21">
        <v>28</v>
      </c>
      <c r="L166" t="s">
        <v>623</v>
      </c>
      <c r="M166" t="s">
        <v>396</v>
      </c>
      <c r="N166" t="s">
        <v>788</v>
      </c>
      <c r="O166" t="s">
        <v>897</v>
      </c>
      <c r="P166" s="22" t="s">
        <v>898</v>
      </c>
      <c r="Q166" t="s">
        <v>863</v>
      </c>
      <c r="R166" t="s">
        <v>624</v>
      </c>
      <c r="S166" t="s">
        <v>40</v>
      </c>
      <c r="T166" t="s">
        <v>55</v>
      </c>
      <c r="U166">
        <v>-14.399999999999999</v>
      </c>
      <c r="V166" t="s">
        <v>42</v>
      </c>
      <c r="W166" t="s">
        <v>42</v>
      </c>
      <c r="X166" t="s">
        <v>73</v>
      </c>
      <c r="Y166" t="s">
        <v>883</v>
      </c>
      <c r="Z166" t="s">
        <v>884</v>
      </c>
      <c r="AA166" t="s">
        <v>885</v>
      </c>
      <c r="AB166" t="s">
        <v>130</v>
      </c>
      <c r="AC166" t="s">
        <v>886</v>
      </c>
      <c r="AD166" t="s">
        <v>42</v>
      </c>
      <c r="AE166" t="s">
        <v>130</v>
      </c>
    </row>
    <row r="167" spans="2:31" ht="16" hidden="1">
      <c r="B167" t="s">
        <v>73</v>
      </c>
      <c r="C167" t="s">
        <v>879</v>
      </c>
      <c r="D167">
        <v>2020</v>
      </c>
      <c r="E167" s="32" t="s">
        <v>880</v>
      </c>
      <c r="F167" t="s">
        <v>147</v>
      </c>
      <c r="G167" s="21">
        <v>34.6</v>
      </c>
      <c r="H167" s="21">
        <v>-77.2</v>
      </c>
      <c r="I167" s="21">
        <v>1986</v>
      </c>
      <c r="J167" s="21">
        <v>2013</v>
      </c>
      <c r="K167" s="21">
        <v>28</v>
      </c>
      <c r="L167" t="s">
        <v>623</v>
      </c>
      <c r="M167" t="s">
        <v>396</v>
      </c>
      <c r="N167" t="s">
        <v>788</v>
      </c>
      <c r="O167" t="s">
        <v>899</v>
      </c>
      <c r="P167" s="22" t="s">
        <v>900</v>
      </c>
      <c r="Q167" t="s">
        <v>863</v>
      </c>
      <c r="R167" t="s">
        <v>624</v>
      </c>
      <c r="S167" t="s">
        <v>40</v>
      </c>
      <c r="T167" t="s">
        <v>55</v>
      </c>
      <c r="U167">
        <v>-13.899999999999999</v>
      </c>
      <c r="V167" t="s">
        <v>42</v>
      </c>
      <c r="W167" t="s">
        <v>42</v>
      </c>
      <c r="X167" t="s">
        <v>73</v>
      </c>
      <c r="Y167" t="s">
        <v>883</v>
      </c>
      <c r="Z167" t="s">
        <v>884</v>
      </c>
      <c r="AA167" t="s">
        <v>885</v>
      </c>
      <c r="AB167" t="s">
        <v>130</v>
      </c>
      <c r="AC167" t="s">
        <v>886</v>
      </c>
      <c r="AD167" t="s">
        <v>42</v>
      </c>
      <c r="AE167" t="s">
        <v>130</v>
      </c>
    </row>
    <row r="168" spans="2:31" ht="16" hidden="1">
      <c r="B168" t="s">
        <v>73</v>
      </c>
      <c r="C168" t="s">
        <v>879</v>
      </c>
      <c r="D168">
        <v>2020</v>
      </c>
      <c r="E168" s="32" t="s">
        <v>880</v>
      </c>
      <c r="F168" t="s">
        <v>147</v>
      </c>
      <c r="G168" s="21">
        <v>34.6</v>
      </c>
      <c r="H168" s="21">
        <v>-77.2</v>
      </c>
      <c r="I168" s="21">
        <v>1986</v>
      </c>
      <c r="J168" s="21">
        <v>2013</v>
      </c>
      <c r="K168" s="21">
        <v>28</v>
      </c>
      <c r="L168" t="s">
        <v>623</v>
      </c>
      <c r="M168" t="s">
        <v>396</v>
      </c>
      <c r="N168" t="s">
        <v>788</v>
      </c>
      <c r="O168" t="s">
        <v>901</v>
      </c>
      <c r="P168" s="22" t="s">
        <v>902</v>
      </c>
      <c r="Q168" t="s">
        <v>863</v>
      </c>
      <c r="R168" t="s">
        <v>624</v>
      </c>
      <c r="S168" t="s">
        <v>40</v>
      </c>
      <c r="T168" t="s">
        <v>55</v>
      </c>
      <c r="U168">
        <v>-4.2</v>
      </c>
      <c r="V168" t="s">
        <v>42</v>
      </c>
      <c r="W168" t="s">
        <v>42</v>
      </c>
      <c r="X168" t="s">
        <v>73</v>
      </c>
      <c r="Y168" t="s">
        <v>883</v>
      </c>
      <c r="Z168" t="s">
        <v>884</v>
      </c>
      <c r="AA168" t="s">
        <v>885</v>
      </c>
      <c r="AB168" t="s">
        <v>130</v>
      </c>
      <c r="AC168" t="s">
        <v>886</v>
      </c>
      <c r="AD168" t="s">
        <v>42</v>
      </c>
      <c r="AE168" t="s">
        <v>130</v>
      </c>
    </row>
    <row r="169" spans="2:31" ht="16" hidden="1">
      <c r="B169" t="s">
        <v>73</v>
      </c>
      <c r="C169" t="s">
        <v>879</v>
      </c>
      <c r="D169">
        <v>2020</v>
      </c>
      <c r="E169" s="32" t="s">
        <v>880</v>
      </c>
      <c r="F169" t="s">
        <v>147</v>
      </c>
      <c r="G169" s="21">
        <v>34.6</v>
      </c>
      <c r="H169" s="21">
        <v>-77.2</v>
      </c>
      <c r="I169" s="21">
        <v>1986</v>
      </c>
      <c r="J169" s="21">
        <v>2013</v>
      </c>
      <c r="K169" s="21">
        <v>28</v>
      </c>
      <c r="L169" t="s">
        <v>623</v>
      </c>
      <c r="M169" t="s">
        <v>396</v>
      </c>
      <c r="N169" t="s">
        <v>788</v>
      </c>
      <c r="O169" t="s">
        <v>903</v>
      </c>
      <c r="P169" s="22" t="s">
        <v>904</v>
      </c>
      <c r="Q169" t="s">
        <v>863</v>
      </c>
      <c r="R169" t="s">
        <v>624</v>
      </c>
      <c r="S169" t="s">
        <v>40</v>
      </c>
      <c r="T169" t="s">
        <v>55</v>
      </c>
      <c r="U169">
        <v>-2.8000000000000003</v>
      </c>
      <c r="V169" t="s">
        <v>42</v>
      </c>
      <c r="W169" t="s">
        <v>42</v>
      </c>
      <c r="X169" t="s">
        <v>73</v>
      </c>
      <c r="Y169" t="s">
        <v>883</v>
      </c>
      <c r="Z169" t="s">
        <v>884</v>
      </c>
      <c r="AA169" t="s">
        <v>885</v>
      </c>
      <c r="AB169" t="s">
        <v>130</v>
      </c>
      <c r="AC169" t="s">
        <v>886</v>
      </c>
      <c r="AD169" t="s">
        <v>42</v>
      </c>
      <c r="AE169" t="s">
        <v>130</v>
      </c>
    </row>
  </sheetData>
  <autoFilter ref="A1:CL169" xr:uid="{1A5B8319-69D3-4E2B-ADA4-C17E2AA60FD2}">
    <filterColumn colId="2">
      <filters>
        <filter val="Edwards, M. and A.J. Richardson. 2004. Impact of climate change on marine pelagic phenology and trophic mismatch. Nature 430: 881-884."/>
      </filters>
    </filterColumn>
    <filterColumn colId="12">
      <filters>
        <filter val="Meroplankton"/>
      </filters>
    </filterColumn>
    <sortState xmlns:xlrd2="http://schemas.microsoft.com/office/spreadsheetml/2017/richdata2" ref="A2:CL73">
      <sortCondition ref="D1:D169"/>
    </sortState>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4BDC-FC3F-45F6-AA7D-F1D219E0CC14}">
  <dimension ref="A1:M193"/>
  <sheetViews>
    <sheetView topLeftCell="A173" zoomScale="76" workbookViewId="0">
      <selection activeCell="A81" sqref="A81"/>
    </sheetView>
  </sheetViews>
  <sheetFormatPr defaultRowHeight="14.5"/>
  <cols>
    <col min="1" max="1" width="45" customWidth="1"/>
    <col min="2" max="2" width="25.36328125" customWidth="1"/>
    <col min="3" max="3" width="25.08984375" customWidth="1"/>
    <col min="4" max="4" width="26.7265625" customWidth="1"/>
    <col min="5" max="5" width="15.26953125" customWidth="1"/>
  </cols>
  <sheetData>
    <row r="1" spans="1:13">
      <c r="A1" s="27" t="s">
        <v>189</v>
      </c>
      <c r="B1" s="7" t="s">
        <v>190</v>
      </c>
      <c r="C1" s="27" t="s">
        <v>11</v>
      </c>
      <c r="D1" s="27" t="s">
        <v>12</v>
      </c>
      <c r="E1" s="27" t="s">
        <v>4</v>
      </c>
      <c r="F1" s="27" t="s">
        <v>5</v>
      </c>
      <c r="G1" s="27" t="s">
        <v>191</v>
      </c>
      <c r="H1" s="27" t="s">
        <v>192</v>
      </c>
      <c r="I1" s="7" t="s">
        <v>193</v>
      </c>
      <c r="J1" s="7" t="s">
        <v>16</v>
      </c>
      <c r="K1" s="7" t="s">
        <v>194</v>
      </c>
      <c r="L1" s="8" t="s">
        <v>195</v>
      </c>
      <c r="M1" s="7" t="s">
        <v>196</v>
      </c>
    </row>
    <row r="2" spans="1:13">
      <c r="A2" s="9" t="s">
        <v>197</v>
      </c>
      <c r="B2" s="9" t="s">
        <v>198</v>
      </c>
      <c r="C2" s="9" t="s">
        <v>199</v>
      </c>
      <c r="D2" s="9" t="s">
        <v>200</v>
      </c>
      <c r="E2" s="10">
        <v>41.5</v>
      </c>
      <c r="F2" s="10">
        <v>-71.349999999999994</v>
      </c>
      <c r="G2" s="9">
        <v>1951</v>
      </c>
      <c r="H2" s="9">
        <v>53</v>
      </c>
      <c r="I2" s="9" t="s">
        <v>201</v>
      </c>
      <c r="J2" s="9" t="s">
        <v>55</v>
      </c>
      <c r="K2" s="9" t="s">
        <v>202</v>
      </c>
      <c r="L2" s="11">
        <v>-11.13</v>
      </c>
      <c r="M2" s="9" t="s">
        <v>17</v>
      </c>
    </row>
    <row r="3" spans="1:13">
      <c r="A3" s="9" t="s">
        <v>203</v>
      </c>
      <c r="B3" s="9" t="s">
        <v>204</v>
      </c>
      <c r="C3" s="9" t="s">
        <v>205</v>
      </c>
      <c r="D3" s="9" t="s">
        <v>206</v>
      </c>
      <c r="E3" s="10">
        <v>55</v>
      </c>
      <c r="F3" s="10">
        <v>5</v>
      </c>
      <c r="G3" s="9">
        <v>1958</v>
      </c>
      <c r="H3" s="9">
        <v>45</v>
      </c>
      <c r="I3" s="9" t="s">
        <v>201</v>
      </c>
      <c r="J3" s="9" t="s">
        <v>52</v>
      </c>
      <c r="K3" s="9" t="s">
        <v>207</v>
      </c>
      <c r="L3" s="11">
        <v>-12.882989780000001</v>
      </c>
      <c r="M3" s="9" t="s">
        <v>17</v>
      </c>
    </row>
    <row r="4" spans="1:13">
      <c r="A4" s="9" t="s">
        <v>203</v>
      </c>
      <c r="B4" s="9" t="s">
        <v>204</v>
      </c>
      <c r="C4" s="9" t="s">
        <v>205</v>
      </c>
      <c r="D4" s="9" t="s">
        <v>208</v>
      </c>
      <c r="E4" s="10">
        <v>55</v>
      </c>
      <c r="F4" s="10">
        <v>5</v>
      </c>
      <c r="G4" s="9">
        <v>1958</v>
      </c>
      <c r="H4" s="9">
        <v>45</v>
      </c>
      <c r="I4" s="9" t="s">
        <v>201</v>
      </c>
      <c r="J4" s="9" t="s">
        <v>52</v>
      </c>
      <c r="K4" s="9" t="s">
        <v>207</v>
      </c>
      <c r="L4" s="11">
        <v>-10.31787961</v>
      </c>
      <c r="M4" s="9" t="s">
        <v>17</v>
      </c>
    </row>
    <row r="5" spans="1:13">
      <c r="A5" s="9" t="s">
        <v>203</v>
      </c>
      <c r="B5" s="9" t="s">
        <v>204</v>
      </c>
      <c r="C5" s="9" t="s">
        <v>205</v>
      </c>
      <c r="D5" s="9" t="s">
        <v>206</v>
      </c>
      <c r="E5" s="10">
        <v>55</v>
      </c>
      <c r="F5" s="10">
        <v>5</v>
      </c>
      <c r="G5" s="9">
        <v>1958</v>
      </c>
      <c r="H5" s="9">
        <v>45</v>
      </c>
      <c r="I5" s="9" t="s">
        <v>201</v>
      </c>
      <c r="J5" s="9" t="s">
        <v>52</v>
      </c>
      <c r="K5" s="9" t="s">
        <v>207</v>
      </c>
      <c r="L5" s="11">
        <v>-9.4943896670000001</v>
      </c>
      <c r="M5" s="9" t="s">
        <v>17</v>
      </c>
    </row>
    <row r="6" spans="1:13">
      <c r="A6" s="9" t="s">
        <v>203</v>
      </c>
      <c r="B6" s="9" t="s">
        <v>204</v>
      </c>
      <c r="C6" s="9" t="s">
        <v>199</v>
      </c>
      <c r="D6" s="9" t="s">
        <v>151</v>
      </c>
      <c r="E6" s="10">
        <v>55</v>
      </c>
      <c r="F6" s="10">
        <v>5</v>
      </c>
      <c r="G6" s="9">
        <v>1958</v>
      </c>
      <c r="H6" s="9">
        <v>45</v>
      </c>
      <c r="I6" s="9" t="s">
        <v>201</v>
      </c>
      <c r="J6" s="9" t="s">
        <v>52</v>
      </c>
      <c r="K6" s="9" t="s">
        <v>207</v>
      </c>
      <c r="L6" s="11">
        <v>-6.6810718329999998</v>
      </c>
      <c r="M6" s="9" t="s">
        <v>17</v>
      </c>
    </row>
    <row r="7" spans="1:13">
      <c r="A7" s="9" t="s">
        <v>203</v>
      </c>
      <c r="B7" s="9" t="s">
        <v>204</v>
      </c>
      <c r="C7" s="9" t="s">
        <v>199</v>
      </c>
      <c r="D7" s="9" t="s">
        <v>151</v>
      </c>
      <c r="E7" s="10">
        <v>55</v>
      </c>
      <c r="F7" s="10">
        <v>5</v>
      </c>
      <c r="G7" s="9">
        <v>1958</v>
      </c>
      <c r="H7" s="9">
        <v>45</v>
      </c>
      <c r="I7" s="9" t="s">
        <v>201</v>
      </c>
      <c r="J7" s="9" t="s">
        <v>53</v>
      </c>
      <c r="K7" s="9" t="s">
        <v>207</v>
      </c>
      <c r="L7" s="11">
        <v>-6.5280997220000003</v>
      </c>
      <c r="M7" s="9" t="s">
        <v>17</v>
      </c>
    </row>
    <row r="8" spans="1:13">
      <c r="A8" s="9" t="s">
        <v>203</v>
      </c>
      <c r="B8" s="9" t="s">
        <v>204</v>
      </c>
      <c r="C8" s="9" t="s">
        <v>199</v>
      </c>
      <c r="D8" s="9" t="s">
        <v>181</v>
      </c>
      <c r="E8" s="10">
        <v>55</v>
      </c>
      <c r="F8" s="10">
        <v>5</v>
      </c>
      <c r="G8" s="9">
        <v>1958</v>
      </c>
      <c r="H8" s="9">
        <v>45</v>
      </c>
      <c r="I8" s="9" t="s">
        <v>201</v>
      </c>
      <c r="J8" s="9" t="s">
        <v>53</v>
      </c>
      <c r="K8" s="9" t="s">
        <v>207</v>
      </c>
      <c r="L8" s="11">
        <v>-5.7319899999999997</v>
      </c>
      <c r="M8" s="9" t="s">
        <v>17</v>
      </c>
    </row>
    <row r="9" spans="1:13">
      <c r="A9" s="9" t="s">
        <v>203</v>
      </c>
      <c r="B9" s="9" t="s">
        <v>204</v>
      </c>
      <c r="C9" s="9" t="s">
        <v>199</v>
      </c>
      <c r="D9" s="9" t="s">
        <v>151</v>
      </c>
      <c r="E9" s="10">
        <v>55</v>
      </c>
      <c r="F9" s="10">
        <v>5</v>
      </c>
      <c r="G9" s="9">
        <v>1958</v>
      </c>
      <c r="H9" s="9">
        <v>45</v>
      </c>
      <c r="I9" s="9" t="s">
        <v>201</v>
      </c>
      <c r="J9" s="9" t="s">
        <v>53</v>
      </c>
      <c r="K9" s="9" t="s">
        <v>207</v>
      </c>
      <c r="L9" s="11">
        <v>-5.0671267780000004</v>
      </c>
      <c r="M9" s="9" t="s">
        <v>17</v>
      </c>
    </row>
    <row r="10" spans="1:13">
      <c r="A10" s="9" t="s">
        <v>203</v>
      </c>
      <c r="B10" s="9" t="s">
        <v>204</v>
      </c>
      <c r="C10" s="9" t="s">
        <v>199</v>
      </c>
      <c r="D10" s="9" t="s">
        <v>151</v>
      </c>
      <c r="E10" s="10">
        <v>55</v>
      </c>
      <c r="F10" s="10">
        <v>5</v>
      </c>
      <c r="G10" s="9">
        <v>1958</v>
      </c>
      <c r="H10" s="9">
        <v>45</v>
      </c>
      <c r="I10" s="9" t="s">
        <v>201</v>
      </c>
      <c r="J10" s="9" t="s">
        <v>53</v>
      </c>
      <c r="K10" s="9" t="s">
        <v>207</v>
      </c>
      <c r="L10" s="11">
        <v>-4.1859002780000001</v>
      </c>
      <c r="M10" s="9" t="s">
        <v>17</v>
      </c>
    </row>
    <row r="11" spans="1:13">
      <c r="A11" s="9" t="s">
        <v>203</v>
      </c>
      <c r="B11" s="9" t="s">
        <v>204</v>
      </c>
      <c r="C11" s="9" t="s">
        <v>199</v>
      </c>
      <c r="D11" s="9" t="s">
        <v>181</v>
      </c>
      <c r="E11" s="10">
        <v>55</v>
      </c>
      <c r="F11" s="10">
        <v>5</v>
      </c>
      <c r="G11" s="9">
        <v>1958</v>
      </c>
      <c r="H11" s="9">
        <v>45</v>
      </c>
      <c r="I11" s="9" t="s">
        <v>201</v>
      </c>
      <c r="J11" s="9" t="s">
        <v>53</v>
      </c>
      <c r="K11" s="9" t="s">
        <v>207</v>
      </c>
      <c r="L11" s="11">
        <v>-3.5302630000000002</v>
      </c>
      <c r="M11" s="9" t="s">
        <v>17</v>
      </c>
    </row>
    <row r="12" spans="1:13">
      <c r="A12" s="9" t="s">
        <v>203</v>
      </c>
      <c r="B12" s="9" t="s">
        <v>204</v>
      </c>
      <c r="C12" s="9" t="s">
        <v>205</v>
      </c>
      <c r="D12" s="9" t="s">
        <v>209</v>
      </c>
      <c r="E12" s="10">
        <v>55</v>
      </c>
      <c r="F12" s="10">
        <v>5</v>
      </c>
      <c r="G12" s="9">
        <v>1958</v>
      </c>
      <c r="H12" s="9">
        <v>45</v>
      </c>
      <c r="I12" s="9" t="s">
        <v>201</v>
      </c>
      <c r="J12" s="9" t="s">
        <v>53</v>
      </c>
      <c r="K12" s="9" t="s">
        <v>207</v>
      </c>
      <c r="L12" s="11">
        <v>-3.1808675559999999</v>
      </c>
      <c r="M12" s="9" t="s">
        <v>17</v>
      </c>
    </row>
    <row r="13" spans="1:13">
      <c r="A13" s="9" t="s">
        <v>203</v>
      </c>
      <c r="B13" s="9" t="s">
        <v>204</v>
      </c>
      <c r="C13" s="9" t="s">
        <v>199</v>
      </c>
      <c r="D13" s="9" t="s">
        <v>181</v>
      </c>
      <c r="E13" s="10">
        <v>55</v>
      </c>
      <c r="F13" s="10">
        <v>5</v>
      </c>
      <c r="G13" s="9">
        <v>1958</v>
      </c>
      <c r="H13" s="9">
        <v>45</v>
      </c>
      <c r="I13" s="9" t="s">
        <v>201</v>
      </c>
      <c r="J13" s="9" t="s">
        <v>53</v>
      </c>
      <c r="K13" s="9" t="s">
        <v>207</v>
      </c>
      <c r="L13" s="11">
        <v>-3.1332497780000002</v>
      </c>
      <c r="M13" s="9" t="s">
        <v>17</v>
      </c>
    </row>
    <row r="14" spans="1:13">
      <c r="A14" s="9" t="s">
        <v>203</v>
      </c>
      <c r="B14" s="9" t="s">
        <v>204</v>
      </c>
      <c r="C14" s="9" t="s">
        <v>199</v>
      </c>
      <c r="D14" s="9" t="s">
        <v>151</v>
      </c>
      <c r="E14" s="10">
        <v>55</v>
      </c>
      <c r="F14" s="10">
        <v>5</v>
      </c>
      <c r="G14" s="9">
        <v>1958</v>
      </c>
      <c r="H14" s="9">
        <v>45</v>
      </c>
      <c r="I14" s="9" t="s">
        <v>201</v>
      </c>
      <c r="J14" s="9" t="s">
        <v>53</v>
      </c>
      <c r="K14" s="9" t="s">
        <v>207</v>
      </c>
      <c r="L14" s="11">
        <v>-2.7707892059999999</v>
      </c>
      <c r="M14" s="9" t="s">
        <v>17</v>
      </c>
    </row>
    <row r="15" spans="1:13">
      <c r="A15" s="9" t="s">
        <v>203</v>
      </c>
      <c r="B15" s="9" t="s">
        <v>204</v>
      </c>
      <c r="C15" s="9" t="s">
        <v>205</v>
      </c>
      <c r="D15" s="9" t="s">
        <v>210</v>
      </c>
      <c r="E15" s="10">
        <v>55</v>
      </c>
      <c r="F15" s="10">
        <v>5</v>
      </c>
      <c r="G15" s="9">
        <v>1958</v>
      </c>
      <c r="H15" s="9">
        <v>45</v>
      </c>
      <c r="I15" s="9" t="s">
        <v>201</v>
      </c>
      <c r="J15" s="9" t="s">
        <v>53</v>
      </c>
      <c r="K15" s="9" t="s">
        <v>207</v>
      </c>
      <c r="L15" s="11">
        <v>-2.7590335669999999</v>
      </c>
      <c r="M15" s="9" t="s">
        <v>17</v>
      </c>
    </row>
    <row r="16" spans="1:13">
      <c r="A16" s="9" t="s">
        <v>203</v>
      </c>
      <c r="B16" s="9" t="s">
        <v>204</v>
      </c>
      <c r="C16" s="9" t="s">
        <v>199</v>
      </c>
      <c r="D16" s="9" t="s">
        <v>211</v>
      </c>
      <c r="E16" s="10">
        <v>55</v>
      </c>
      <c r="F16" s="10">
        <v>5</v>
      </c>
      <c r="G16" s="9">
        <v>1958</v>
      </c>
      <c r="H16" s="9">
        <v>45</v>
      </c>
      <c r="I16" s="9" t="s">
        <v>201</v>
      </c>
      <c r="J16" s="9" t="s">
        <v>53</v>
      </c>
      <c r="K16" s="9" t="s">
        <v>207</v>
      </c>
      <c r="L16" s="11">
        <v>-2.7181418000000002</v>
      </c>
      <c r="M16" s="9" t="s">
        <v>17</v>
      </c>
    </row>
    <row r="17" spans="1:13">
      <c r="A17" s="9" t="s">
        <v>203</v>
      </c>
      <c r="B17" s="9" t="s">
        <v>204</v>
      </c>
      <c r="C17" s="9" t="s">
        <v>199</v>
      </c>
      <c r="D17" s="9" t="s">
        <v>181</v>
      </c>
      <c r="E17" s="10">
        <v>55</v>
      </c>
      <c r="F17" s="10">
        <v>5</v>
      </c>
      <c r="G17" s="9">
        <v>1958</v>
      </c>
      <c r="H17" s="9">
        <v>45</v>
      </c>
      <c r="I17" s="9" t="s">
        <v>201</v>
      </c>
      <c r="J17" s="9" t="s">
        <v>53</v>
      </c>
      <c r="K17" s="9" t="s">
        <v>207</v>
      </c>
      <c r="L17" s="11">
        <v>-2.711951489</v>
      </c>
      <c r="M17" s="9" t="s">
        <v>17</v>
      </c>
    </row>
    <row r="18" spans="1:13">
      <c r="A18" s="9" t="s">
        <v>203</v>
      </c>
      <c r="B18" s="9" t="s">
        <v>204</v>
      </c>
      <c r="C18" s="9" t="s">
        <v>199</v>
      </c>
      <c r="D18" s="9" t="s">
        <v>181</v>
      </c>
      <c r="E18" s="10">
        <v>55</v>
      </c>
      <c r="F18" s="10">
        <v>5</v>
      </c>
      <c r="G18" s="9">
        <v>1958</v>
      </c>
      <c r="H18" s="9">
        <v>45</v>
      </c>
      <c r="I18" s="9" t="s">
        <v>201</v>
      </c>
      <c r="J18" s="9" t="s">
        <v>53</v>
      </c>
      <c r="K18" s="9" t="s">
        <v>207</v>
      </c>
      <c r="L18" s="11">
        <v>-2.5749908559999999</v>
      </c>
      <c r="M18" s="9" t="s">
        <v>17</v>
      </c>
    </row>
    <row r="19" spans="1:13">
      <c r="A19" s="9" t="s">
        <v>203</v>
      </c>
      <c r="B19" s="9" t="s">
        <v>204</v>
      </c>
      <c r="C19" s="9" t="s">
        <v>199</v>
      </c>
      <c r="D19" s="9" t="s">
        <v>181</v>
      </c>
      <c r="E19" s="10">
        <v>55</v>
      </c>
      <c r="F19" s="10">
        <v>5</v>
      </c>
      <c r="G19" s="9">
        <v>1958</v>
      </c>
      <c r="H19" s="9">
        <v>45</v>
      </c>
      <c r="I19" s="9" t="s">
        <v>201</v>
      </c>
      <c r="J19" s="9" t="s">
        <v>53</v>
      </c>
      <c r="K19" s="9" t="s">
        <v>207</v>
      </c>
      <c r="L19" s="11">
        <v>-2.5209744390000002</v>
      </c>
      <c r="M19" s="9" t="s">
        <v>17</v>
      </c>
    </row>
    <row r="20" spans="1:13">
      <c r="A20" s="9" t="s">
        <v>203</v>
      </c>
      <c r="B20" s="9" t="s">
        <v>204</v>
      </c>
      <c r="C20" s="9" t="s">
        <v>199</v>
      </c>
      <c r="D20" s="9" t="s">
        <v>181</v>
      </c>
      <c r="E20" s="10">
        <v>55</v>
      </c>
      <c r="F20" s="10">
        <v>5</v>
      </c>
      <c r="G20" s="9">
        <v>1958</v>
      </c>
      <c r="H20" s="9">
        <v>45</v>
      </c>
      <c r="I20" s="9" t="s">
        <v>201</v>
      </c>
      <c r="J20" s="9" t="s">
        <v>53</v>
      </c>
      <c r="K20" s="9" t="s">
        <v>207</v>
      </c>
      <c r="L20" s="11">
        <v>-2.2707132560000001</v>
      </c>
      <c r="M20" s="9" t="s">
        <v>17</v>
      </c>
    </row>
    <row r="21" spans="1:13">
      <c r="A21" s="9" t="s">
        <v>203</v>
      </c>
      <c r="B21" s="9" t="s">
        <v>204</v>
      </c>
      <c r="C21" s="9" t="s">
        <v>199</v>
      </c>
      <c r="D21" s="9" t="s">
        <v>151</v>
      </c>
      <c r="E21" s="10">
        <v>55</v>
      </c>
      <c r="F21" s="10">
        <v>5</v>
      </c>
      <c r="G21" s="9">
        <v>1958</v>
      </c>
      <c r="H21" s="9">
        <v>45</v>
      </c>
      <c r="I21" s="9" t="s">
        <v>201</v>
      </c>
      <c r="J21" s="9" t="s">
        <v>53</v>
      </c>
      <c r="K21" s="9" t="s">
        <v>207</v>
      </c>
      <c r="L21" s="11">
        <v>-2.2308928890000002</v>
      </c>
      <c r="M21" s="9" t="s">
        <v>17</v>
      </c>
    </row>
    <row r="22" spans="1:13">
      <c r="A22" s="9" t="s">
        <v>203</v>
      </c>
      <c r="B22" s="9" t="s">
        <v>204</v>
      </c>
      <c r="C22" s="9" t="s">
        <v>205</v>
      </c>
      <c r="D22" s="9" t="s">
        <v>151</v>
      </c>
      <c r="E22" s="10">
        <v>55</v>
      </c>
      <c r="F22" s="10">
        <v>5</v>
      </c>
      <c r="G22" s="9">
        <v>1958</v>
      </c>
      <c r="H22" s="9">
        <v>45</v>
      </c>
      <c r="I22" s="9" t="s">
        <v>201</v>
      </c>
      <c r="J22" s="9" t="s">
        <v>53</v>
      </c>
      <c r="K22" s="9" t="s">
        <v>207</v>
      </c>
      <c r="L22" s="11">
        <v>-1.7645957999999999</v>
      </c>
      <c r="M22" s="9" t="s">
        <v>17</v>
      </c>
    </row>
    <row r="23" spans="1:13">
      <c r="A23" s="9" t="s">
        <v>203</v>
      </c>
      <c r="B23" s="9" t="s">
        <v>204</v>
      </c>
      <c r="C23" s="9" t="s">
        <v>199</v>
      </c>
      <c r="D23" s="9" t="s">
        <v>181</v>
      </c>
      <c r="E23" s="10">
        <v>55</v>
      </c>
      <c r="F23" s="10">
        <v>5</v>
      </c>
      <c r="G23" s="9">
        <v>1958</v>
      </c>
      <c r="H23" s="9">
        <v>45</v>
      </c>
      <c r="I23" s="9" t="s">
        <v>201</v>
      </c>
      <c r="J23" s="9" t="s">
        <v>53</v>
      </c>
      <c r="K23" s="9" t="s">
        <v>207</v>
      </c>
      <c r="L23" s="11">
        <v>-1.698645178</v>
      </c>
      <c r="M23" s="9" t="s">
        <v>17</v>
      </c>
    </row>
    <row r="24" spans="1:13">
      <c r="A24" s="9" t="s">
        <v>203</v>
      </c>
      <c r="B24" s="9" t="s">
        <v>204</v>
      </c>
      <c r="C24" s="9" t="s">
        <v>205</v>
      </c>
      <c r="D24" s="9" t="s">
        <v>212</v>
      </c>
      <c r="E24" s="10">
        <v>55</v>
      </c>
      <c r="F24" s="10">
        <v>5</v>
      </c>
      <c r="G24" s="9">
        <v>1958</v>
      </c>
      <c r="H24" s="9">
        <v>45</v>
      </c>
      <c r="I24" s="9" t="s">
        <v>201</v>
      </c>
      <c r="J24" s="9" t="s">
        <v>53</v>
      </c>
      <c r="K24" s="9" t="s">
        <v>207</v>
      </c>
      <c r="L24" s="11">
        <v>-1.3691003939999999</v>
      </c>
      <c r="M24" s="9" t="s">
        <v>17</v>
      </c>
    </row>
    <row r="25" spans="1:13">
      <c r="A25" s="9" t="s">
        <v>203</v>
      </c>
      <c r="B25" s="9" t="s">
        <v>204</v>
      </c>
      <c r="C25" s="9" t="s">
        <v>199</v>
      </c>
      <c r="D25" s="9" t="s">
        <v>181</v>
      </c>
      <c r="E25" s="10">
        <v>55</v>
      </c>
      <c r="F25" s="10">
        <v>5</v>
      </c>
      <c r="G25" s="9">
        <v>1958</v>
      </c>
      <c r="H25" s="9">
        <v>45</v>
      </c>
      <c r="I25" s="9" t="s">
        <v>201</v>
      </c>
      <c r="J25" s="9" t="s">
        <v>54</v>
      </c>
      <c r="K25" s="9" t="s">
        <v>207</v>
      </c>
      <c r="L25" s="11">
        <v>-0.80795464400000006</v>
      </c>
      <c r="M25" s="9" t="s">
        <v>17</v>
      </c>
    </row>
    <row r="26" spans="1:13">
      <c r="A26" s="9" t="s">
        <v>203</v>
      </c>
      <c r="B26" s="9" t="s">
        <v>204</v>
      </c>
      <c r="C26" s="9" t="s">
        <v>199</v>
      </c>
      <c r="D26" s="9" t="s">
        <v>213</v>
      </c>
      <c r="E26" s="10">
        <v>55</v>
      </c>
      <c r="F26" s="10">
        <v>5</v>
      </c>
      <c r="G26" s="9">
        <v>1958</v>
      </c>
      <c r="H26" s="9">
        <v>45</v>
      </c>
      <c r="I26" s="9" t="s">
        <v>201</v>
      </c>
      <c r="J26" s="9" t="s">
        <v>54</v>
      </c>
      <c r="K26" s="9" t="s">
        <v>207</v>
      </c>
      <c r="L26" s="11">
        <v>-0.33636007800000001</v>
      </c>
      <c r="M26" s="9" t="s">
        <v>17</v>
      </c>
    </row>
    <row r="27" spans="1:13">
      <c r="A27" s="9" t="s">
        <v>203</v>
      </c>
      <c r="B27" s="9" t="s">
        <v>204</v>
      </c>
      <c r="C27" s="9" t="s">
        <v>199</v>
      </c>
      <c r="D27" s="9" t="s">
        <v>181</v>
      </c>
      <c r="E27" s="10">
        <v>55</v>
      </c>
      <c r="F27" s="10">
        <v>5</v>
      </c>
      <c r="G27" s="9">
        <v>1958</v>
      </c>
      <c r="H27" s="9">
        <v>45</v>
      </c>
      <c r="I27" s="9" t="s">
        <v>214</v>
      </c>
      <c r="J27" s="9" t="s">
        <v>54</v>
      </c>
      <c r="K27" s="9" t="s">
        <v>207</v>
      </c>
      <c r="L27" s="11">
        <v>1.3625827109999999</v>
      </c>
      <c r="M27" s="9" t="s">
        <v>215</v>
      </c>
    </row>
    <row r="28" spans="1:13">
      <c r="A28" s="9" t="s">
        <v>203</v>
      </c>
      <c r="B28" s="9" t="s">
        <v>204</v>
      </c>
      <c r="C28" s="9" t="s">
        <v>199</v>
      </c>
      <c r="D28" s="9" t="s">
        <v>216</v>
      </c>
      <c r="E28" s="10">
        <v>55</v>
      </c>
      <c r="F28" s="10">
        <v>5</v>
      </c>
      <c r="G28" s="9">
        <v>1958</v>
      </c>
      <c r="H28" s="9">
        <v>45</v>
      </c>
      <c r="I28" s="9" t="s">
        <v>214</v>
      </c>
      <c r="J28" s="9" t="s">
        <v>54</v>
      </c>
      <c r="K28" s="9" t="s">
        <v>207</v>
      </c>
      <c r="L28" s="11">
        <v>3.2082477780000001</v>
      </c>
      <c r="M28" s="9" t="s">
        <v>215</v>
      </c>
    </row>
    <row r="29" spans="1:13">
      <c r="A29" s="9" t="s">
        <v>203</v>
      </c>
      <c r="B29" s="9" t="s">
        <v>204</v>
      </c>
      <c r="C29" s="9" t="s">
        <v>199</v>
      </c>
      <c r="D29" s="9" t="s">
        <v>181</v>
      </c>
      <c r="E29" s="10">
        <v>55</v>
      </c>
      <c r="F29" s="10">
        <v>5</v>
      </c>
      <c r="G29" s="9">
        <v>1958</v>
      </c>
      <c r="H29" s="9">
        <v>45</v>
      </c>
      <c r="I29" s="9" t="s">
        <v>214</v>
      </c>
      <c r="J29" s="9" t="s">
        <v>54</v>
      </c>
      <c r="K29" s="9" t="s">
        <v>207</v>
      </c>
      <c r="L29" s="11">
        <v>5.5694943329999997</v>
      </c>
      <c r="M29" s="9" t="s">
        <v>215</v>
      </c>
    </row>
    <row r="30" spans="1:13">
      <c r="A30" s="9" t="s">
        <v>203</v>
      </c>
      <c r="B30" s="9" t="s">
        <v>204</v>
      </c>
      <c r="C30" s="9" t="s">
        <v>199</v>
      </c>
      <c r="D30" s="9" t="s">
        <v>217</v>
      </c>
      <c r="E30" s="10">
        <v>55</v>
      </c>
      <c r="F30" s="10">
        <v>5</v>
      </c>
      <c r="G30" s="9">
        <v>1958</v>
      </c>
      <c r="H30" s="9">
        <v>45</v>
      </c>
      <c r="I30" s="9" t="s">
        <v>214</v>
      </c>
      <c r="J30" s="9" t="s">
        <v>54</v>
      </c>
      <c r="K30" s="9" t="s">
        <v>207</v>
      </c>
      <c r="L30" s="11">
        <v>6.4953624999999997</v>
      </c>
      <c r="M30" s="9" t="s">
        <v>215</v>
      </c>
    </row>
    <row r="31" spans="1:13">
      <c r="A31" s="9" t="s">
        <v>203</v>
      </c>
      <c r="B31" s="9" t="s">
        <v>204</v>
      </c>
      <c r="C31" s="9" t="s">
        <v>205</v>
      </c>
      <c r="D31" s="9" t="s">
        <v>210</v>
      </c>
      <c r="E31" s="10">
        <v>55</v>
      </c>
      <c r="F31" s="10">
        <v>5</v>
      </c>
      <c r="G31" s="9">
        <v>1958</v>
      </c>
      <c r="H31" s="9">
        <v>45</v>
      </c>
      <c r="I31" s="9" t="s">
        <v>214</v>
      </c>
      <c r="J31" s="9" t="s">
        <v>55</v>
      </c>
      <c r="K31" s="9" t="s">
        <v>207</v>
      </c>
      <c r="L31" s="11">
        <v>8.3682292220000001</v>
      </c>
      <c r="M31" s="9" t="s">
        <v>215</v>
      </c>
    </row>
    <row r="32" spans="1:13">
      <c r="A32" s="9" t="s">
        <v>218</v>
      </c>
      <c r="B32" s="9" t="s">
        <v>204</v>
      </c>
      <c r="C32" s="9" t="s">
        <v>199</v>
      </c>
      <c r="D32" s="9" t="s">
        <v>219</v>
      </c>
      <c r="E32" s="10">
        <v>54.18</v>
      </c>
      <c r="F32" s="10">
        <v>7.9</v>
      </c>
      <c r="G32" s="9">
        <v>1975</v>
      </c>
      <c r="H32" s="9">
        <v>30</v>
      </c>
      <c r="I32" s="9" t="s">
        <v>201</v>
      </c>
      <c r="J32" s="9" t="s">
        <v>52</v>
      </c>
      <c r="K32" s="9" t="s">
        <v>220</v>
      </c>
      <c r="L32" s="11">
        <v>-9.33</v>
      </c>
      <c r="M32" s="9" t="s">
        <v>17</v>
      </c>
    </row>
    <row r="33" spans="1:13">
      <c r="A33" s="9" t="s">
        <v>218</v>
      </c>
      <c r="B33" s="9" t="s">
        <v>204</v>
      </c>
      <c r="C33" s="9" t="s">
        <v>199</v>
      </c>
      <c r="D33" s="9" t="s">
        <v>221</v>
      </c>
      <c r="E33" s="10">
        <v>54.18</v>
      </c>
      <c r="F33" s="10">
        <v>7.9</v>
      </c>
      <c r="G33" s="9">
        <v>1975</v>
      </c>
      <c r="H33" s="9">
        <v>30</v>
      </c>
      <c r="I33" s="9" t="s">
        <v>201</v>
      </c>
      <c r="J33" s="9" t="s">
        <v>52</v>
      </c>
      <c r="K33" s="9" t="s">
        <v>220</v>
      </c>
      <c r="L33" s="11">
        <v>-23.33</v>
      </c>
      <c r="M33" s="9" t="s">
        <v>17</v>
      </c>
    </row>
    <row r="34" spans="1:13">
      <c r="A34" s="9" t="s">
        <v>218</v>
      </c>
      <c r="B34" s="9" t="s">
        <v>204</v>
      </c>
      <c r="C34" s="9" t="s">
        <v>199</v>
      </c>
      <c r="D34" s="9" t="s">
        <v>222</v>
      </c>
      <c r="E34" s="10">
        <v>54.18</v>
      </c>
      <c r="F34" s="10">
        <v>7.9</v>
      </c>
      <c r="G34" s="9">
        <v>1975</v>
      </c>
      <c r="H34" s="9">
        <v>30</v>
      </c>
      <c r="I34" s="9" t="s">
        <v>223</v>
      </c>
      <c r="J34" s="9" t="s">
        <v>52</v>
      </c>
      <c r="K34" s="9" t="s">
        <v>220</v>
      </c>
      <c r="L34" s="11">
        <v>0</v>
      </c>
      <c r="M34" s="9" t="s">
        <v>223</v>
      </c>
    </row>
    <row r="35" spans="1:13">
      <c r="A35" s="9" t="s">
        <v>224</v>
      </c>
      <c r="B35" s="9" t="s">
        <v>225</v>
      </c>
      <c r="C35" s="9" t="s">
        <v>199</v>
      </c>
      <c r="D35" s="9" t="s">
        <v>226</v>
      </c>
      <c r="E35" s="10">
        <v>50</v>
      </c>
      <c r="F35" s="10">
        <v>-145</v>
      </c>
      <c r="G35" s="9">
        <v>1968</v>
      </c>
      <c r="H35" s="9">
        <v>29</v>
      </c>
      <c r="I35" s="9" t="s">
        <v>201</v>
      </c>
      <c r="J35" s="9" t="s">
        <v>53</v>
      </c>
      <c r="K35" s="9" t="s">
        <v>227</v>
      </c>
      <c r="L35" s="11">
        <v>-19.260000000000002</v>
      </c>
      <c r="M35" s="9" t="s">
        <v>17</v>
      </c>
    </row>
    <row r="36" spans="1:13">
      <c r="A36" s="9" t="s">
        <v>228</v>
      </c>
      <c r="B36" s="9" t="s">
        <v>229</v>
      </c>
      <c r="C36" s="9" t="s">
        <v>199</v>
      </c>
      <c r="D36" s="9" t="s">
        <v>226</v>
      </c>
      <c r="E36" s="10">
        <v>50</v>
      </c>
      <c r="F36" s="10">
        <v>-145</v>
      </c>
      <c r="G36" s="9">
        <v>1975</v>
      </c>
      <c r="H36" s="9">
        <v>22</v>
      </c>
      <c r="I36" s="9" t="s">
        <v>201</v>
      </c>
      <c r="J36" s="9" t="s">
        <v>52</v>
      </c>
      <c r="K36" s="9" t="s">
        <v>230</v>
      </c>
      <c r="L36" s="11">
        <v>-18.7</v>
      </c>
      <c r="M36" s="9" t="s">
        <v>17</v>
      </c>
    </row>
    <row r="37" spans="1:13">
      <c r="A37" s="9" t="s">
        <v>228</v>
      </c>
      <c r="B37" s="9" t="s">
        <v>229</v>
      </c>
      <c r="C37" s="9" t="s">
        <v>199</v>
      </c>
      <c r="D37" s="9" t="s">
        <v>226</v>
      </c>
      <c r="E37" s="10">
        <v>48.65</v>
      </c>
      <c r="F37" s="10">
        <v>-126.67</v>
      </c>
      <c r="G37" s="9">
        <v>1975</v>
      </c>
      <c r="H37" s="9">
        <v>24</v>
      </c>
      <c r="I37" s="9" t="s">
        <v>201</v>
      </c>
      <c r="J37" s="9" t="s">
        <v>52</v>
      </c>
      <c r="K37" s="9" t="s">
        <v>230</v>
      </c>
      <c r="L37" s="11">
        <v>-12.8</v>
      </c>
      <c r="M37" s="9" t="s">
        <v>17</v>
      </c>
    </row>
    <row r="38" spans="1:13">
      <c r="A38" s="9" t="s">
        <v>231</v>
      </c>
      <c r="B38" s="9" t="s">
        <v>204</v>
      </c>
      <c r="C38" s="9" t="s">
        <v>199</v>
      </c>
      <c r="D38" s="9" t="s">
        <v>232</v>
      </c>
      <c r="E38" s="10">
        <v>54.19</v>
      </c>
      <c r="F38" s="10">
        <v>7.9</v>
      </c>
      <c r="G38" s="9">
        <v>1974</v>
      </c>
      <c r="H38" s="9">
        <v>31</v>
      </c>
      <c r="I38" s="9" t="s">
        <v>201</v>
      </c>
      <c r="J38" s="9" t="s">
        <v>53</v>
      </c>
      <c r="K38" s="9" t="s">
        <v>233</v>
      </c>
      <c r="L38" s="11">
        <v>-14.7</v>
      </c>
      <c r="M38" s="9" t="s">
        <v>17</v>
      </c>
    </row>
    <row r="39" spans="1:13">
      <c r="A39" s="9" t="s">
        <v>234</v>
      </c>
      <c r="B39" s="9" t="s">
        <v>204</v>
      </c>
      <c r="C39" s="9" t="s">
        <v>199</v>
      </c>
      <c r="D39" s="9" t="s">
        <v>109</v>
      </c>
      <c r="E39" s="10">
        <v>54.19</v>
      </c>
      <c r="F39" s="10">
        <v>7.9</v>
      </c>
      <c r="G39" s="9">
        <v>1975</v>
      </c>
      <c r="H39" s="9">
        <v>19</v>
      </c>
      <c r="I39" s="9" t="s">
        <v>201</v>
      </c>
      <c r="J39" s="9" t="s">
        <v>55</v>
      </c>
      <c r="K39" s="9" t="s">
        <v>235</v>
      </c>
      <c r="L39" s="11" t="s">
        <v>40</v>
      </c>
      <c r="M39" s="9" t="s">
        <v>17</v>
      </c>
    </row>
    <row r="40" spans="1:13">
      <c r="A40" s="9" t="s">
        <v>234</v>
      </c>
      <c r="B40" s="9" t="s">
        <v>204</v>
      </c>
      <c r="C40" s="9" t="s">
        <v>199</v>
      </c>
      <c r="D40" s="9" t="s">
        <v>236</v>
      </c>
      <c r="E40" s="10">
        <v>54.19</v>
      </c>
      <c r="F40" s="10">
        <v>7.9</v>
      </c>
      <c r="G40" s="9">
        <v>1975</v>
      </c>
      <c r="H40" s="9">
        <v>19</v>
      </c>
      <c r="I40" s="9" t="s">
        <v>201</v>
      </c>
      <c r="J40" s="9" t="s">
        <v>55</v>
      </c>
      <c r="K40" s="9" t="s">
        <v>235</v>
      </c>
      <c r="L40" s="11" t="s">
        <v>40</v>
      </c>
      <c r="M40" s="9" t="s">
        <v>17</v>
      </c>
    </row>
    <row r="41" spans="1:13">
      <c r="A41" s="9" t="s">
        <v>234</v>
      </c>
      <c r="B41" s="9" t="s">
        <v>204</v>
      </c>
      <c r="C41" s="9" t="s">
        <v>199</v>
      </c>
      <c r="D41" s="9" t="s">
        <v>237</v>
      </c>
      <c r="E41" s="10">
        <v>54.19</v>
      </c>
      <c r="F41" s="10">
        <v>7.9</v>
      </c>
      <c r="G41" s="9">
        <v>1975</v>
      </c>
      <c r="H41" s="9">
        <v>19</v>
      </c>
      <c r="I41" s="9" t="s">
        <v>201</v>
      </c>
      <c r="J41" s="9" t="s">
        <v>55</v>
      </c>
      <c r="K41" s="9" t="s">
        <v>235</v>
      </c>
      <c r="L41" s="11" t="s">
        <v>40</v>
      </c>
      <c r="M41" s="9" t="s">
        <v>17</v>
      </c>
    </row>
    <row r="42" spans="1:13">
      <c r="A42" s="9" t="s">
        <v>234</v>
      </c>
      <c r="B42" s="9" t="s">
        <v>204</v>
      </c>
      <c r="C42" s="9" t="s">
        <v>199</v>
      </c>
      <c r="D42" s="9" t="s">
        <v>238</v>
      </c>
      <c r="E42" s="10">
        <v>54.19</v>
      </c>
      <c r="F42" s="10">
        <v>7.9</v>
      </c>
      <c r="G42" s="9">
        <v>1975</v>
      </c>
      <c r="H42" s="9">
        <v>19</v>
      </c>
      <c r="I42" s="9" t="s">
        <v>201</v>
      </c>
      <c r="J42" s="9" t="s">
        <v>55</v>
      </c>
      <c r="K42" s="9" t="s">
        <v>235</v>
      </c>
      <c r="L42" s="11" t="s">
        <v>40</v>
      </c>
      <c r="M42" s="9" t="s">
        <v>17</v>
      </c>
    </row>
    <row r="43" spans="1:13">
      <c r="A43" s="9" t="s">
        <v>234</v>
      </c>
      <c r="B43" s="9" t="s">
        <v>204</v>
      </c>
      <c r="C43" s="9" t="s">
        <v>199</v>
      </c>
      <c r="D43" s="9" t="s">
        <v>239</v>
      </c>
      <c r="E43" s="10">
        <v>54.19</v>
      </c>
      <c r="F43" s="10">
        <v>7.9</v>
      </c>
      <c r="G43" s="9">
        <v>1975</v>
      </c>
      <c r="H43" s="9">
        <v>19</v>
      </c>
      <c r="I43" s="9" t="s">
        <v>201</v>
      </c>
      <c r="J43" s="9" t="s">
        <v>55</v>
      </c>
      <c r="K43" s="9" t="s">
        <v>235</v>
      </c>
      <c r="L43" s="11" t="s">
        <v>40</v>
      </c>
      <c r="M43" s="9" t="s">
        <v>17</v>
      </c>
    </row>
    <row r="44" spans="1:13">
      <c r="A44" s="9" t="s">
        <v>234</v>
      </c>
      <c r="B44" s="9" t="s">
        <v>204</v>
      </c>
      <c r="C44" s="9" t="s">
        <v>205</v>
      </c>
      <c r="D44" s="9" t="s">
        <v>240</v>
      </c>
      <c r="E44" s="10">
        <v>54.19</v>
      </c>
      <c r="F44" s="10">
        <v>7.9</v>
      </c>
      <c r="G44" s="9">
        <v>1975</v>
      </c>
      <c r="H44" s="9">
        <v>19</v>
      </c>
      <c r="I44" s="9" t="s">
        <v>201</v>
      </c>
      <c r="J44" s="9" t="s">
        <v>55</v>
      </c>
      <c r="K44" s="9" t="s">
        <v>235</v>
      </c>
      <c r="L44" s="11" t="s">
        <v>40</v>
      </c>
      <c r="M44" s="9" t="s">
        <v>17</v>
      </c>
    </row>
    <row r="45" spans="1:13">
      <c r="A45" s="9" t="s">
        <v>234</v>
      </c>
      <c r="B45" s="9" t="s">
        <v>204</v>
      </c>
      <c r="C45" s="9" t="s">
        <v>205</v>
      </c>
      <c r="D45" s="9" t="s">
        <v>241</v>
      </c>
      <c r="E45" s="10">
        <v>54.19</v>
      </c>
      <c r="F45" s="10">
        <v>7.9</v>
      </c>
      <c r="G45" s="9">
        <v>1975</v>
      </c>
      <c r="H45" s="9">
        <v>19</v>
      </c>
      <c r="I45" s="9" t="s">
        <v>201</v>
      </c>
      <c r="J45" s="9" t="s">
        <v>55</v>
      </c>
      <c r="K45" s="9" t="s">
        <v>235</v>
      </c>
      <c r="L45" s="11" t="s">
        <v>40</v>
      </c>
      <c r="M45" s="9" t="s">
        <v>17</v>
      </c>
    </row>
    <row r="46" spans="1:13">
      <c r="A46" s="9" t="s">
        <v>234</v>
      </c>
      <c r="B46" s="9" t="s">
        <v>204</v>
      </c>
      <c r="C46" s="9" t="s">
        <v>205</v>
      </c>
      <c r="D46" s="9" t="s">
        <v>242</v>
      </c>
      <c r="E46" s="10">
        <v>54.19</v>
      </c>
      <c r="F46" s="10">
        <v>7.9</v>
      </c>
      <c r="G46" s="9">
        <v>1975</v>
      </c>
      <c r="H46" s="9">
        <v>19</v>
      </c>
      <c r="I46" s="9" t="s">
        <v>201</v>
      </c>
      <c r="J46" s="9" t="s">
        <v>55</v>
      </c>
      <c r="K46" s="9" t="s">
        <v>235</v>
      </c>
      <c r="L46" s="11" t="s">
        <v>40</v>
      </c>
      <c r="M46" s="9" t="s">
        <v>17</v>
      </c>
    </row>
    <row r="47" spans="1:13">
      <c r="A47" s="9" t="s">
        <v>234</v>
      </c>
      <c r="B47" s="9" t="s">
        <v>204</v>
      </c>
      <c r="C47" s="9" t="s">
        <v>205</v>
      </c>
      <c r="D47" s="9" t="s">
        <v>243</v>
      </c>
      <c r="E47" s="10">
        <v>54.19</v>
      </c>
      <c r="F47" s="10">
        <v>7.9</v>
      </c>
      <c r="G47" s="9">
        <v>1975</v>
      </c>
      <c r="H47" s="9">
        <v>19</v>
      </c>
      <c r="I47" s="9" t="s">
        <v>201</v>
      </c>
      <c r="J47" s="9" t="s">
        <v>55</v>
      </c>
      <c r="K47" s="9" t="s">
        <v>235</v>
      </c>
      <c r="L47" s="11" t="s">
        <v>40</v>
      </c>
      <c r="M47" s="9" t="s">
        <v>17</v>
      </c>
    </row>
    <row r="48" spans="1:13">
      <c r="A48" s="9" t="s">
        <v>234</v>
      </c>
      <c r="B48" s="9" t="s">
        <v>204</v>
      </c>
      <c r="C48" s="9" t="s">
        <v>205</v>
      </c>
      <c r="D48" s="9" t="s">
        <v>244</v>
      </c>
      <c r="E48" s="10">
        <v>54.19</v>
      </c>
      <c r="F48" s="10">
        <v>7.9</v>
      </c>
      <c r="G48" s="9">
        <v>1975</v>
      </c>
      <c r="H48" s="9">
        <v>19</v>
      </c>
      <c r="I48" s="9" t="s">
        <v>201</v>
      </c>
      <c r="J48" s="9" t="s">
        <v>55</v>
      </c>
      <c r="K48" s="9" t="s">
        <v>235</v>
      </c>
      <c r="L48" s="11" t="s">
        <v>40</v>
      </c>
      <c r="M48" s="9" t="s">
        <v>17</v>
      </c>
    </row>
    <row r="49" spans="1:13">
      <c r="A49" s="9" t="s">
        <v>234</v>
      </c>
      <c r="B49" s="9" t="s">
        <v>204</v>
      </c>
      <c r="C49" s="9" t="s">
        <v>205</v>
      </c>
      <c r="D49" s="9" t="s">
        <v>245</v>
      </c>
      <c r="E49" s="10">
        <v>54.19</v>
      </c>
      <c r="F49" s="10">
        <v>7.9</v>
      </c>
      <c r="G49" s="9">
        <v>1975</v>
      </c>
      <c r="H49" s="9">
        <v>19</v>
      </c>
      <c r="I49" s="9" t="s">
        <v>201</v>
      </c>
      <c r="J49" s="9" t="s">
        <v>55</v>
      </c>
      <c r="K49" s="9" t="s">
        <v>235</v>
      </c>
      <c r="L49" s="11" t="s">
        <v>40</v>
      </c>
      <c r="M49" s="9" t="s">
        <v>17</v>
      </c>
    </row>
    <row r="50" spans="1:13">
      <c r="A50" s="9" t="s">
        <v>234</v>
      </c>
      <c r="B50" s="9" t="s">
        <v>204</v>
      </c>
      <c r="C50" s="9" t="s">
        <v>205</v>
      </c>
      <c r="D50" s="9" t="s">
        <v>232</v>
      </c>
      <c r="E50" s="10">
        <v>54.19</v>
      </c>
      <c r="F50" s="10">
        <v>7.9</v>
      </c>
      <c r="G50" s="9">
        <v>1975</v>
      </c>
      <c r="H50" s="9">
        <v>19</v>
      </c>
      <c r="I50" s="9" t="s">
        <v>201</v>
      </c>
      <c r="J50" s="9" t="s">
        <v>55</v>
      </c>
      <c r="K50" s="9" t="s">
        <v>235</v>
      </c>
      <c r="L50" s="11" t="s">
        <v>40</v>
      </c>
      <c r="M50" s="9" t="s">
        <v>17</v>
      </c>
    </row>
    <row r="51" spans="1:13">
      <c r="A51" s="9" t="s">
        <v>234</v>
      </c>
      <c r="B51" s="9" t="s">
        <v>204</v>
      </c>
      <c r="C51" s="9" t="s">
        <v>205</v>
      </c>
      <c r="D51" s="9" t="s">
        <v>246</v>
      </c>
      <c r="E51" s="10">
        <v>54.19</v>
      </c>
      <c r="F51" s="10">
        <v>7.9</v>
      </c>
      <c r="G51" s="9">
        <v>1975</v>
      </c>
      <c r="H51" s="9">
        <v>19</v>
      </c>
      <c r="I51" s="9" t="s">
        <v>201</v>
      </c>
      <c r="J51" s="9" t="s">
        <v>55</v>
      </c>
      <c r="K51" s="9" t="s">
        <v>235</v>
      </c>
      <c r="L51" s="11" t="s">
        <v>40</v>
      </c>
      <c r="M51" s="9" t="s">
        <v>17</v>
      </c>
    </row>
    <row r="52" spans="1:13">
      <c r="A52" s="9" t="s">
        <v>234</v>
      </c>
      <c r="B52" s="9" t="s">
        <v>204</v>
      </c>
      <c r="C52" s="9" t="s">
        <v>205</v>
      </c>
      <c r="D52" s="9" t="s">
        <v>247</v>
      </c>
      <c r="E52" s="10">
        <v>54.19</v>
      </c>
      <c r="F52" s="10">
        <v>7.9</v>
      </c>
      <c r="G52" s="9">
        <v>1975</v>
      </c>
      <c r="H52" s="9">
        <v>19</v>
      </c>
      <c r="I52" s="9" t="s">
        <v>201</v>
      </c>
      <c r="J52" s="9" t="s">
        <v>55</v>
      </c>
      <c r="K52" s="9" t="s">
        <v>235</v>
      </c>
      <c r="L52" s="11" t="s">
        <v>40</v>
      </c>
      <c r="M52" s="9" t="s">
        <v>17</v>
      </c>
    </row>
    <row r="53" spans="1:13">
      <c r="A53" s="9" t="s">
        <v>234</v>
      </c>
      <c r="B53" s="9" t="s">
        <v>204</v>
      </c>
      <c r="C53" s="9" t="s">
        <v>205</v>
      </c>
      <c r="D53" s="9" t="s">
        <v>248</v>
      </c>
      <c r="E53" s="10">
        <v>54.19</v>
      </c>
      <c r="F53" s="10">
        <v>7.9</v>
      </c>
      <c r="G53" s="9">
        <v>1975</v>
      </c>
      <c r="H53" s="9">
        <v>19</v>
      </c>
      <c r="I53" s="9" t="s">
        <v>201</v>
      </c>
      <c r="J53" s="9" t="s">
        <v>55</v>
      </c>
      <c r="K53" s="9" t="s">
        <v>235</v>
      </c>
      <c r="L53" s="11" t="s">
        <v>40</v>
      </c>
      <c r="M53" s="9" t="s">
        <v>17</v>
      </c>
    </row>
    <row r="54" spans="1:13">
      <c r="A54" s="9" t="s">
        <v>234</v>
      </c>
      <c r="B54" s="9" t="s">
        <v>204</v>
      </c>
      <c r="C54" s="9" t="s">
        <v>205</v>
      </c>
      <c r="D54" s="9" t="s">
        <v>249</v>
      </c>
      <c r="E54" s="10">
        <v>54.19</v>
      </c>
      <c r="F54" s="10">
        <v>7.9</v>
      </c>
      <c r="G54" s="9">
        <v>1975</v>
      </c>
      <c r="H54" s="9">
        <v>19</v>
      </c>
      <c r="I54" s="9" t="s">
        <v>201</v>
      </c>
      <c r="J54" s="9" t="s">
        <v>55</v>
      </c>
      <c r="K54" s="9" t="s">
        <v>235</v>
      </c>
      <c r="L54" s="11" t="s">
        <v>40</v>
      </c>
      <c r="M54" s="9" t="s">
        <v>17</v>
      </c>
    </row>
    <row r="55" spans="1:13">
      <c r="A55" s="9" t="s">
        <v>234</v>
      </c>
      <c r="B55" s="9" t="s">
        <v>204</v>
      </c>
      <c r="C55" s="9" t="s">
        <v>205</v>
      </c>
      <c r="D55" s="9" t="s">
        <v>250</v>
      </c>
      <c r="E55" s="10">
        <v>54.19</v>
      </c>
      <c r="F55" s="10">
        <v>7.9</v>
      </c>
      <c r="G55" s="9">
        <v>1975</v>
      </c>
      <c r="H55" s="9">
        <v>19</v>
      </c>
      <c r="I55" s="9" t="s">
        <v>201</v>
      </c>
      <c r="J55" s="9" t="s">
        <v>55</v>
      </c>
      <c r="K55" s="9" t="s">
        <v>235</v>
      </c>
      <c r="L55" s="11" t="s">
        <v>40</v>
      </c>
      <c r="M55" s="9" t="s">
        <v>17</v>
      </c>
    </row>
    <row r="56" spans="1:13">
      <c r="A56" s="9" t="s">
        <v>234</v>
      </c>
      <c r="B56" s="9" t="s">
        <v>204</v>
      </c>
      <c r="C56" s="9" t="s">
        <v>205</v>
      </c>
      <c r="D56" s="9" t="s">
        <v>251</v>
      </c>
      <c r="E56" s="10">
        <v>54.19</v>
      </c>
      <c r="F56" s="10">
        <v>7.9</v>
      </c>
      <c r="G56" s="9">
        <v>1975</v>
      </c>
      <c r="H56" s="9">
        <v>19</v>
      </c>
      <c r="I56" s="9" t="s">
        <v>201</v>
      </c>
      <c r="J56" s="9" t="s">
        <v>55</v>
      </c>
      <c r="K56" s="9" t="s">
        <v>235</v>
      </c>
      <c r="L56" s="11" t="s">
        <v>40</v>
      </c>
      <c r="M56" s="9" t="s">
        <v>17</v>
      </c>
    </row>
    <row r="57" spans="1:13">
      <c r="A57" s="9" t="s">
        <v>234</v>
      </c>
      <c r="B57" s="9" t="s">
        <v>204</v>
      </c>
      <c r="C57" s="9" t="s">
        <v>205</v>
      </c>
      <c r="D57" s="9" t="s">
        <v>40</v>
      </c>
      <c r="E57" s="10">
        <v>54.19</v>
      </c>
      <c r="F57" s="10">
        <v>7.9</v>
      </c>
      <c r="G57" s="9">
        <v>1975</v>
      </c>
      <c r="H57" s="9">
        <v>19</v>
      </c>
      <c r="I57" s="9" t="s">
        <v>201</v>
      </c>
      <c r="J57" s="9" t="s">
        <v>55</v>
      </c>
      <c r="K57" s="9" t="s">
        <v>235</v>
      </c>
      <c r="L57" s="11">
        <v>-48.4</v>
      </c>
      <c r="M57" s="9" t="s">
        <v>17</v>
      </c>
    </row>
    <row r="58" spans="1:13">
      <c r="A58" s="9" t="s">
        <v>234</v>
      </c>
      <c r="B58" s="9" t="s">
        <v>204</v>
      </c>
      <c r="C58" s="9" t="s">
        <v>205</v>
      </c>
      <c r="D58" s="9" t="s">
        <v>117</v>
      </c>
      <c r="E58" s="10">
        <v>54.19</v>
      </c>
      <c r="F58" s="10">
        <v>7.9</v>
      </c>
      <c r="G58" s="9">
        <v>1975</v>
      </c>
      <c r="H58" s="9">
        <v>19</v>
      </c>
      <c r="I58" s="9" t="s">
        <v>201</v>
      </c>
      <c r="J58" s="9" t="s">
        <v>55</v>
      </c>
      <c r="K58" s="9" t="s">
        <v>235</v>
      </c>
      <c r="L58" s="11" t="s">
        <v>40</v>
      </c>
      <c r="M58" s="9" t="s">
        <v>17</v>
      </c>
    </row>
    <row r="59" spans="1:13">
      <c r="A59" s="9" t="s">
        <v>234</v>
      </c>
      <c r="B59" s="9" t="s">
        <v>204</v>
      </c>
      <c r="C59" s="9" t="s">
        <v>205</v>
      </c>
      <c r="D59" s="9" t="s">
        <v>252</v>
      </c>
      <c r="E59" s="10">
        <v>54.19</v>
      </c>
      <c r="F59" s="10">
        <v>7.9</v>
      </c>
      <c r="G59" s="9">
        <v>1975</v>
      </c>
      <c r="H59" s="9">
        <v>19</v>
      </c>
      <c r="I59" s="9" t="s">
        <v>201</v>
      </c>
      <c r="J59" s="9" t="s">
        <v>55</v>
      </c>
      <c r="K59" s="9" t="s">
        <v>235</v>
      </c>
      <c r="L59" s="11" t="s">
        <v>40</v>
      </c>
      <c r="M59" s="9" t="s">
        <v>17</v>
      </c>
    </row>
    <row r="60" spans="1:13">
      <c r="A60" s="9" t="s">
        <v>234</v>
      </c>
      <c r="B60" s="9" t="s">
        <v>204</v>
      </c>
      <c r="C60" s="9" t="s">
        <v>199</v>
      </c>
      <c r="D60" s="9" t="s">
        <v>253</v>
      </c>
      <c r="E60" s="10">
        <v>54.19</v>
      </c>
      <c r="F60" s="10">
        <v>7.9</v>
      </c>
      <c r="G60" s="9">
        <v>1975</v>
      </c>
      <c r="H60" s="9">
        <v>19</v>
      </c>
      <c r="I60" s="9" t="s">
        <v>201</v>
      </c>
      <c r="J60" s="9" t="s">
        <v>55</v>
      </c>
      <c r="K60" s="9" t="s">
        <v>235</v>
      </c>
      <c r="L60" s="11" t="s">
        <v>40</v>
      </c>
      <c r="M60" s="9" t="s">
        <v>17</v>
      </c>
    </row>
    <row r="61" spans="1:13">
      <c r="A61" s="9" t="s">
        <v>234</v>
      </c>
      <c r="B61" s="9" t="s">
        <v>204</v>
      </c>
      <c r="C61" s="9" t="s">
        <v>205</v>
      </c>
      <c r="D61" s="9" t="s">
        <v>254</v>
      </c>
      <c r="E61" s="10">
        <v>54.19</v>
      </c>
      <c r="F61" s="10">
        <v>7.9</v>
      </c>
      <c r="G61" s="9">
        <v>1975</v>
      </c>
      <c r="H61" s="9">
        <v>19</v>
      </c>
      <c r="I61" s="9" t="s">
        <v>201</v>
      </c>
      <c r="J61" s="9" t="s">
        <v>55</v>
      </c>
      <c r="K61" s="9" t="s">
        <v>235</v>
      </c>
      <c r="L61" s="11" t="s">
        <v>40</v>
      </c>
      <c r="M61" s="9" t="s">
        <v>17</v>
      </c>
    </row>
    <row r="62" spans="1:13">
      <c r="A62" s="9" t="s">
        <v>234</v>
      </c>
      <c r="B62" s="9" t="s">
        <v>204</v>
      </c>
      <c r="C62" s="9" t="s">
        <v>199</v>
      </c>
      <c r="D62" s="9" t="s">
        <v>255</v>
      </c>
      <c r="E62" s="10">
        <v>54.19</v>
      </c>
      <c r="F62" s="10">
        <v>7.9</v>
      </c>
      <c r="G62" s="9">
        <v>1975</v>
      </c>
      <c r="H62" s="9">
        <v>19</v>
      </c>
      <c r="I62" s="9" t="s">
        <v>201</v>
      </c>
      <c r="J62" s="9" t="s">
        <v>55</v>
      </c>
      <c r="K62" s="9" t="s">
        <v>235</v>
      </c>
      <c r="L62" s="11" t="s">
        <v>40</v>
      </c>
      <c r="M62" s="9" t="s">
        <v>17</v>
      </c>
    </row>
    <row r="63" spans="1:13">
      <c r="A63" s="9" t="s">
        <v>234</v>
      </c>
      <c r="B63" s="9" t="s">
        <v>204</v>
      </c>
      <c r="C63" s="9" t="s">
        <v>199</v>
      </c>
      <c r="D63" s="9" t="s">
        <v>256</v>
      </c>
      <c r="E63" s="10">
        <v>54.19</v>
      </c>
      <c r="F63" s="10">
        <v>7.9</v>
      </c>
      <c r="G63" s="9">
        <v>1975</v>
      </c>
      <c r="H63" s="9">
        <v>19</v>
      </c>
      <c r="I63" s="9" t="s">
        <v>201</v>
      </c>
      <c r="J63" s="9" t="s">
        <v>55</v>
      </c>
      <c r="K63" s="9" t="s">
        <v>235</v>
      </c>
      <c r="L63" s="11" t="s">
        <v>40</v>
      </c>
      <c r="M63" s="9" t="s">
        <v>17</v>
      </c>
    </row>
    <row r="64" spans="1:13">
      <c r="A64" s="9" t="s">
        <v>234</v>
      </c>
      <c r="B64" s="9" t="s">
        <v>204</v>
      </c>
      <c r="C64" s="9" t="s">
        <v>205</v>
      </c>
      <c r="D64" s="9" t="s">
        <v>40</v>
      </c>
      <c r="E64" s="10">
        <v>54.19</v>
      </c>
      <c r="F64" s="10">
        <v>7.9</v>
      </c>
      <c r="G64" s="9">
        <v>1975</v>
      </c>
      <c r="H64" s="9">
        <v>19</v>
      </c>
      <c r="I64" s="9" t="s">
        <v>201</v>
      </c>
      <c r="J64" s="9" t="s">
        <v>55</v>
      </c>
      <c r="K64" s="9" t="s">
        <v>257</v>
      </c>
      <c r="L64" s="11">
        <v>-25.3</v>
      </c>
      <c r="M64" s="9" t="s">
        <v>17</v>
      </c>
    </row>
    <row r="65" spans="1:13">
      <c r="A65" s="9" t="s">
        <v>234</v>
      </c>
      <c r="B65" s="9" t="s">
        <v>204</v>
      </c>
      <c r="C65" s="9" t="s">
        <v>205</v>
      </c>
      <c r="D65" s="9" t="s">
        <v>258</v>
      </c>
      <c r="E65" s="10">
        <v>54.19</v>
      </c>
      <c r="F65" s="10">
        <v>7.9</v>
      </c>
      <c r="G65" s="9">
        <v>1975</v>
      </c>
      <c r="H65" s="9">
        <v>19</v>
      </c>
      <c r="I65" s="9" t="s">
        <v>214</v>
      </c>
      <c r="J65" s="9" t="s">
        <v>55</v>
      </c>
      <c r="K65" s="9" t="s">
        <v>235</v>
      </c>
      <c r="L65" s="11" t="s">
        <v>40</v>
      </c>
      <c r="M65" s="9" t="s">
        <v>215</v>
      </c>
    </row>
    <row r="66" spans="1:13">
      <c r="A66" s="9" t="s">
        <v>234</v>
      </c>
      <c r="B66" s="9" t="s">
        <v>204</v>
      </c>
      <c r="C66" s="9" t="s">
        <v>199</v>
      </c>
      <c r="D66" s="9" t="s">
        <v>259</v>
      </c>
      <c r="E66" s="10">
        <v>54.19</v>
      </c>
      <c r="F66" s="10">
        <v>7.9</v>
      </c>
      <c r="G66" s="9">
        <v>1975</v>
      </c>
      <c r="H66" s="9">
        <v>19</v>
      </c>
      <c r="I66" s="9" t="s">
        <v>214</v>
      </c>
      <c r="J66" s="9" t="s">
        <v>55</v>
      </c>
      <c r="K66" s="9" t="s">
        <v>235</v>
      </c>
      <c r="L66" s="11" t="s">
        <v>40</v>
      </c>
      <c r="M66" s="9" t="s">
        <v>215</v>
      </c>
    </row>
    <row r="67" spans="1:13">
      <c r="A67" s="9" t="s">
        <v>234</v>
      </c>
      <c r="B67" s="9" t="s">
        <v>204</v>
      </c>
      <c r="C67" s="9" t="s">
        <v>199</v>
      </c>
      <c r="D67" s="9" t="s">
        <v>260</v>
      </c>
      <c r="E67" s="10">
        <v>54.19</v>
      </c>
      <c r="F67" s="10">
        <v>7.9</v>
      </c>
      <c r="G67" s="9">
        <v>1975</v>
      </c>
      <c r="H67" s="9">
        <v>19</v>
      </c>
      <c r="I67" s="9" t="s">
        <v>214</v>
      </c>
      <c r="J67" s="9" t="s">
        <v>55</v>
      </c>
      <c r="K67" s="9" t="s">
        <v>235</v>
      </c>
      <c r="L67" s="11" t="s">
        <v>40</v>
      </c>
      <c r="M67" s="9" t="s">
        <v>215</v>
      </c>
    </row>
    <row r="68" spans="1:13">
      <c r="A68" s="9" t="s">
        <v>234</v>
      </c>
      <c r="B68" s="9" t="s">
        <v>204</v>
      </c>
      <c r="C68" s="9" t="s">
        <v>205</v>
      </c>
      <c r="D68" s="9" t="s">
        <v>261</v>
      </c>
      <c r="E68" s="10">
        <v>54.19</v>
      </c>
      <c r="F68" s="10">
        <v>7.9</v>
      </c>
      <c r="G68" s="9">
        <v>1975</v>
      </c>
      <c r="H68" s="9">
        <v>19</v>
      </c>
      <c r="I68" s="9" t="s">
        <v>214</v>
      </c>
      <c r="J68" s="9" t="s">
        <v>55</v>
      </c>
      <c r="K68" s="9" t="s">
        <v>235</v>
      </c>
      <c r="L68" s="11" t="s">
        <v>40</v>
      </c>
      <c r="M68" s="9" t="s">
        <v>215</v>
      </c>
    </row>
    <row r="69" spans="1:13">
      <c r="A69" s="9" t="s">
        <v>234</v>
      </c>
      <c r="B69" s="9" t="s">
        <v>204</v>
      </c>
      <c r="C69" s="9" t="s">
        <v>205</v>
      </c>
      <c r="D69" s="9" t="s">
        <v>262</v>
      </c>
      <c r="E69" s="10">
        <v>54.19</v>
      </c>
      <c r="F69" s="10">
        <v>7.9</v>
      </c>
      <c r="G69" s="9">
        <v>1975</v>
      </c>
      <c r="H69" s="9">
        <v>19</v>
      </c>
      <c r="I69" s="9" t="s">
        <v>214</v>
      </c>
      <c r="J69" s="9" t="s">
        <v>55</v>
      </c>
      <c r="K69" s="9" t="s">
        <v>235</v>
      </c>
      <c r="L69" s="11" t="s">
        <v>40</v>
      </c>
      <c r="M69" s="9" t="s">
        <v>215</v>
      </c>
    </row>
    <row r="70" spans="1:13">
      <c r="A70" s="9" t="s">
        <v>234</v>
      </c>
      <c r="B70" s="9" t="s">
        <v>204</v>
      </c>
      <c r="C70" s="9" t="s">
        <v>199</v>
      </c>
      <c r="D70" s="9" t="s">
        <v>263</v>
      </c>
      <c r="E70" s="10">
        <v>54.19</v>
      </c>
      <c r="F70" s="10">
        <v>7.9</v>
      </c>
      <c r="G70" s="9">
        <v>1975</v>
      </c>
      <c r="H70" s="9">
        <v>19</v>
      </c>
      <c r="I70" s="9" t="s">
        <v>214</v>
      </c>
      <c r="J70" s="9" t="s">
        <v>55</v>
      </c>
      <c r="K70" s="9" t="s">
        <v>235</v>
      </c>
      <c r="L70" s="11" t="s">
        <v>40</v>
      </c>
      <c r="M70" s="9" t="s">
        <v>215</v>
      </c>
    </row>
    <row r="71" spans="1:13">
      <c r="A71" s="9" t="s">
        <v>264</v>
      </c>
      <c r="B71" s="12" t="s">
        <v>265</v>
      </c>
      <c r="C71" s="9" t="s">
        <v>199</v>
      </c>
      <c r="D71" s="9" t="s">
        <v>66</v>
      </c>
      <c r="E71" s="10">
        <v>45.7</v>
      </c>
      <c r="F71" s="10">
        <v>13.71</v>
      </c>
      <c r="G71" s="9">
        <v>1970</v>
      </c>
      <c r="H71" s="9">
        <v>36</v>
      </c>
      <c r="I71" s="9" t="s">
        <v>214</v>
      </c>
      <c r="J71" s="9" t="s">
        <v>52</v>
      </c>
      <c r="K71" s="9" t="s">
        <v>266</v>
      </c>
      <c r="L71" s="9">
        <v>5.8</v>
      </c>
      <c r="M71" s="9" t="s">
        <v>215</v>
      </c>
    </row>
    <row r="72" spans="1:13">
      <c r="A72" s="9" t="s">
        <v>264</v>
      </c>
      <c r="B72" s="12" t="s">
        <v>265</v>
      </c>
      <c r="C72" s="9" t="s">
        <v>199</v>
      </c>
      <c r="D72" s="9" t="s">
        <v>134</v>
      </c>
      <c r="E72" s="10">
        <v>45.7</v>
      </c>
      <c r="F72" s="10">
        <v>13.71</v>
      </c>
      <c r="G72" s="9">
        <v>1970</v>
      </c>
      <c r="H72" s="9">
        <v>36</v>
      </c>
      <c r="I72" s="9" t="s">
        <v>214</v>
      </c>
      <c r="J72" s="9" t="s">
        <v>52</v>
      </c>
      <c r="K72" s="9" t="s">
        <v>266</v>
      </c>
      <c r="L72" s="9">
        <v>0.25</v>
      </c>
      <c r="M72" s="9" t="s">
        <v>215</v>
      </c>
    </row>
    <row r="73" spans="1:13">
      <c r="A73" s="9" t="s">
        <v>264</v>
      </c>
      <c r="B73" s="12" t="s">
        <v>265</v>
      </c>
      <c r="C73" s="9" t="s">
        <v>199</v>
      </c>
      <c r="D73" s="9" t="s">
        <v>267</v>
      </c>
      <c r="E73" s="10">
        <v>45.7</v>
      </c>
      <c r="F73" s="10">
        <v>13.71</v>
      </c>
      <c r="G73" s="9">
        <v>1970</v>
      </c>
      <c r="H73" s="9">
        <v>36</v>
      </c>
      <c r="I73" s="9" t="s">
        <v>201</v>
      </c>
      <c r="J73" s="9" t="s">
        <v>52</v>
      </c>
      <c r="K73" s="9" t="s">
        <v>266</v>
      </c>
      <c r="L73" s="9">
        <v>-3.3</v>
      </c>
      <c r="M73" s="9" t="s">
        <v>17</v>
      </c>
    </row>
    <row r="74" spans="1:13">
      <c r="A74" s="9" t="s">
        <v>264</v>
      </c>
      <c r="B74" s="12" t="s">
        <v>265</v>
      </c>
      <c r="C74" s="9" t="s">
        <v>199</v>
      </c>
      <c r="D74" s="9" t="s">
        <v>268</v>
      </c>
      <c r="E74" s="10">
        <v>45.7</v>
      </c>
      <c r="F74" s="10">
        <v>13.71</v>
      </c>
      <c r="G74" s="9">
        <v>1970</v>
      </c>
      <c r="H74" s="9">
        <v>36</v>
      </c>
      <c r="I74" s="9" t="s">
        <v>201</v>
      </c>
      <c r="J74" s="9" t="s">
        <v>52</v>
      </c>
      <c r="K74" s="9" t="s">
        <v>266</v>
      </c>
      <c r="L74" s="9">
        <v>-10</v>
      </c>
      <c r="M74" s="9" t="s">
        <v>17</v>
      </c>
    </row>
    <row r="75" spans="1:13">
      <c r="A75" s="9" t="s">
        <v>264</v>
      </c>
      <c r="B75" s="12" t="s">
        <v>265</v>
      </c>
      <c r="C75" s="9" t="s">
        <v>199</v>
      </c>
      <c r="D75" s="9" t="s">
        <v>269</v>
      </c>
      <c r="E75" s="10">
        <v>45.7</v>
      </c>
      <c r="F75" s="10">
        <v>13.71</v>
      </c>
      <c r="G75" s="9">
        <v>1970</v>
      </c>
      <c r="H75" s="9">
        <v>36</v>
      </c>
      <c r="I75" s="9" t="s">
        <v>214</v>
      </c>
      <c r="J75" s="9" t="s">
        <v>52</v>
      </c>
      <c r="K75" s="9" t="s">
        <v>266</v>
      </c>
      <c r="L75" s="9">
        <v>13.3</v>
      </c>
      <c r="M75" s="9" t="s">
        <v>215</v>
      </c>
    </row>
    <row r="76" spans="1:13">
      <c r="A76" s="9" t="s">
        <v>264</v>
      </c>
      <c r="B76" s="12" t="s">
        <v>265</v>
      </c>
      <c r="C76" s="9" t="s">
        <v>199</v>
      </c>
      <c r="D76" s="9" t="s">
        <v>270</v>
      </c>
      <c r="E76" s="10">
        <v>45.7</v>
      </c>
      <c r="F76" s="10">
        <v>13.71</v>
      </c>
      <c r="G76" s="9">
        <v>1970</v>
      </c>
      <c r="H76" s="9">
        <v>36</v>
      </c>
      <c r="I76" s="9" t="s">
        <v>223</v>
      </c>
      <c r="J76" s="9" t="s">
        <v>52</v>
      </c>
      <c r="K76" s="9" t="s">
        <v>266</v>
      </c>
      <c r="L76" s="9">
        <v>0</v>
      </c>
      <c r="M76" s="9" t="s">
        <v>223</v>
      </c>
    </row>
    <row r="77" spans="1:13">
      <c r="A77" s="9" t="s">
        <v>264</v>
      </c>
      <c r="B77" s="12" t="s">
        <v>265</v>
      </c>
      <c r="C77" s="9" t="s">
        <v>199</v>
      </c>
      <c r="D77" s="9" t="s">
        <v>66</v>
      </c>
      <c r="E77" s="10">
        <v>45.7</v>
      </c>
      <c r="F77" s="10">
        <v>13.71</v>
      </c>
      <c r="G77" s="9">
        <v>1970</v>
      </c>
      <c r="H77" s="9">
        <v>36</v>
      </c>
      <c r="I77" s="9" t="s">
        <v>214</v>
      </c>
      <c r="J77" s="9" t="s">
        <v>54</v>
      </c>
      <c r="K77" s="9" t="s">
        <v>266</v>
      </c>
      <c r="L77" s="9">
        <v>14.2</v>
      </c>
      <c r="M77" s="9" t="s">
        <v>17</v>
      </c>
    </row>
    <row r="78" spans="1:13">
      <c r="A78" s="9" t="s">
        <v>264</v>
      </c>
      <c r="B78" s="12" t="s">
        <v>265</v>
      </c>
      <c r="C78" s="9" t="s">
        <v>199</v>
      </c>
      <c r="D78" s="9" t="s">
        <v>134</v>
      </c>
      <c r="E78" s="10">
        <v>45.7</v>
      </c>
      <c r="F78" s="10">
        <v>13.71</v>
      </c>
      <c r="G78" s="9">
        <v>1970</v>
      </c>
      <c r="H78" s="9">
        <v>36</v>
      </c>
      <c r="I78" s="9" t="s">
        <v>214</v>
      </c>
      <c r="J78" s="9" t="s">
        <v>54</v>
      </c>
      <c r="K78" s="9" t="s">
        <v>266</v>
      </c>
      <c r="L78" s="9">
        <v>10.8</v>
      </c>
      <c r="M78" s="9" t="s">
        <v>17</v>
      </c>
    </row>
    <row r="79" spans="1:13">
      <c r="A79" s="9" t="s">
        <v>264</v>
      </c>
      <c r="B79" s="12" t="s">
        <v>265</v>
      </c>
      <c r="C79" s="9" t="s">
        <v>199</v>
      </c>
      <c r="D79" s="9" t="s">
        <v>267</v>
      </c>
      <c r="E79" s="10">
        <v>45.7</v>
      </c>
      <c r="F79" s="10">
        <v>13.71</v>
      </c>
      <c r="G79" s="9">
        <v>1970</v>
      </c>
      <c r="H79" s="9">
        <v>36</v>
      </c>
      <c r="I79" s="9" t="s">
        <v>214</v>
      </c>
      <c r="J79" s="9" t="s">
        <v>53</v>
      </c>
      <c r="K79" s="9" t="s">
        <v>266</v>
      </c>
      <c r="L79" s="9">
        <v>9.1999999999999993</v>
      </c>
      <c r="M79" s="9" t="s">
        <v>17</v>
      </c>
    </row>
    <row r="80" spans="1:13">
      <c r="A80" s="9" t="s">
        <v>264</v>
      </c>
      <c r="B80" s="12" t="s">
        <v>265</v>
      </c>
      <c r="C80" s="9" t="s">
        <v>199</v>
      </c>
      <c r="D80" s="9" t="s">
        <v>268</v>
      </c>
      <c r="E80" s="10">
        <v>45.7</v>
      </c>
      <c r="F80" s="10">
        <v>13.71</v>
      </c>
      <c r="G80" s="9">
        <v>1970</v>
      </c>
      <c r="H80" s="9">
        <v>36</v>
      </c>
      <c r="I80" s="9" t="s">
        <v>214</v>
      </c>
      <c r="J80" s="9" t="s">
        <v>53</v>
      </c>
      <c r="K80" s="9" t="s">
        <v>266</v>
      </c>
      <c r="L80" s="9">
        <v>13.3</v>
      </c>
      <c r="M80" s="9" t="s">
        <v>17</v>
      </c>
    </row>
    <row r="81" spans="1:13">
      <c r="A81" s="9" t="s">
        <v>264</v>
      </c>
      <c r="B81" s="12" t="s">
        <v>265</v>
      </c>
      <c r="C81" s="9" t="s">
        <v>199</v>
      </c>
      <c r="D81" s="9" t="s">
        <v>269</v>
      </c>
      <c r="E81" s="10">
        <v>45.7</v>
      </c>
      <c r="F81" s="10">
        <v>13.71</v>
      </c>
      <c r="G81" s="9">
        <v>1970</v>
      </c>
      <c r="H81" s="9">
        <v>36</v>
      </c>
      <c r="I81" s="9" t="s">
        <v>214</v>
      </c>
      <c r="J81" s="9" t="s">
        <v>53</v>
      </c>
      <c r="K81" s="9" t="s">
        <v>266</v>
      </c>
      <c r="L81" s="9">
        <v>1.7</v>
      </c>
      <c r="M81" s="9" t="s">
        <v>17</v>
      </c>
    </row>
    <row r="82" spans="1:13">
      <c r="A82" s="9" t="s">
        <v>264</v>
      </c>
      <c r="B82" s="12" t="s">
        <v>265</v>
      </c>
      <c r="C82" s="9" t="s">
        <v>199</v>
      </c>
      <c r="D82" s="9" t="s">
        <v>270</v>
      </c>
      <c r="E82" s="10">
        <v>45.7</v>
      </c>
      <c r="F82" s="10">
        <v>13.71</v>
      </c>
      <c r="G82" s="9">
        <v>1970</v>
      </c>
      <c r="H82" s="9">
        <v>36</v>
      </c>
      <c r="I82" s="9" t="s">
        <v>214</v>
      </c>
      <c r="J82" s="9" t="s">
        <v>54</v>
      </c>
      <c r="K82" s="9" t="s">
        <v>266</v>
      </c>
      <c r="L82" s="9">
        <v>23.3</v>
      </c>
      <c r="M82" s="9" t="s">
        <v>17</v>
      </c>
    </row>
    <row r="83" spans="1:13">
      <c r="A83" s="9" t="s">
        <v>264</v>
      </c>
      <c r="B83" s="12" t="s">
        <v>265</v>
      </c>
      <c r="C83" s="9" t="s">
        <v>199</v>
      </c>
      <c r="D83" s="9" t="s">
        <v>56</v>
      </c>
      <c r="E83" s="10">
        <v>45.7</v>
      </c>
      <c r="F83" s="10">
        <v>13.71</v>
      </c>
      <c r="G83" s="9">
        <v>1970</v>
      </c>
      <c r="H83" s="9">
        <v>36</v>
      </c>
      <c r="I83" s="9" t="s">
        <v>201</v>
      </c>
      <c r="J83" s="9" t="s">
        <v>52</v>
      </c>
      <c r="K83" s="9" t="s">
        <v>266</v>
      </c>
      <c r="L83" s="9">
        <v>-8.3000000000000007</v>
      </c>
      <c r="M83" s="9" t="s">
        <v>17</v>
      </c>
    </row>
    <row r="84" spans="1:13" s="4" customFormat="1">
      <c r="A84" s="39" t="s">
        <v>264</v>
      </c>
      <c r="B84" s="39" t="s">
        <v>265</v>
      </c>
      <c r="C84" s="39" t="s">
        <v>199</v>
      </c>
      <c r="D84" s="39" t="s">
        <v>271</v>
      </c>
      <c r="E84" s="4">
        <v>45.7</v>
      </c>
      <c r="F84" s="4">
        <v>13.71</v>
      </c>
      <c r="G84" s="39">
        <v>1970</v>
      </c>
      <c r="H84" s="39">
        <v>36</v>
      </c>
      <c r="I84" s="39" t="s">
        <v>214</v>
      </c>
      <c r="J84" s="39" t="s">
        <v>272</v>
      </c>
      <c r="K84" s="39" t="s">
        <v>266</v>
      </c>
      <c r="L84" s="39">
        <v>38.299999999999997</v>
      </c>
      <c r="M84" s="39" t="s">
        <v>17</v>
      </c>
    </row>
    <row r="85" spans="1:13">
      <c r="A85" s="9" t="s">
        <v>264</v>
      </c>
      <c r="B85" s="12" t="s">
        <v>265</v>
      </c>
      <c r="C85" s="9" t="s">
        <v>199</v>
      </c>
      <c r="D85" s="9" t="s">
        <v>273</v>
      </c>
      <c r="E85" s="10">
        <v>45.7</v>
      </c>
      <c r="F85" s="10">
        <v>13.71</v>
      </c>
      <c r="G85" s="9">
        <v>1970</v>
      </c>
      <c r="H85" s="9">
        <v>36</v>
      </c>
      <c r="I85" s="9" t="s">
        <v>214</v>
      </c>
      <c r="J85" s="9" t="s">
        <v>55</v>
      </c>
      <c r="K85" s="9" t="s">
        <v>266</v>
      </c>
      <c r="L85" s="9">
        <v>10</v>
      </c>
      <c r="M85" s="9" t="s">
        <v>17</v>
      </c>
    </row>
    <row r="86" spans="1:13">
      <c r="A86" s="9" t="s">
        <v>264</v>
      </c>
      <c r="B86" s="12" t="s">
        <v>265</v>
      </c>
      <c r="C86" s="9" t="s">
        <v>199</v>
      </c>
      <c r="D86" s="9" t="s">
        <v>274</v>
      </c>
      <c r="E86" s="10">
        <v>45.7</v>
      </c>
      <c r="F86" s="10">
        <v>13.71</v>
      </c>
      <c r="G86" s="9">
        <v>1970</v>
      </c>
      <c r="H86" s="9">
        <v>36</v>
      </c>
      <c r="I86" s="9" t="s">
        <v>214</v>
      </c>
      <c r="J86" s="9" t="s">
        <v>55</v>
      </c>
      <c r="K86" s="9" t="s">
        <v>266</v>
      </c>
      <c r="L86" s="9">
        <v>12.5</v>
      </c>
      <c r="M86" s="9" t="s">
        <v>17</v>
      </c>
    </row>
    <row r="87" spans="1:13">
      <c r="A87" s="9" t="s">
        <v>264</v>
      </c>
      <c r="B87" s="12" t="s">
        <v>265</v>
      </c>
      <c r="C87" s="9" t="s">
        <v>199</v>
      </c>
      <c r="D87" s="9" t="s">
        <v>275</v>
      </c>
      <c r="E87" s="10">
        <v>45.7</v>
      </c>
      <c r="F87" s="10">
        <v>13.71</v>
      </c>
      <c r="G87" s="9">
        <v>1970</v>
      </c>
      <c r="H87" s="9">
        <v>36</v>
      </c>
      <c r="I87" s="9" t="s">
        <v>201</v>
      </c>
      <c r="J87" s="9" t="s">
        <v>52</v>
      </c>
      <c r="K87" s="9" t="s">
        <v>266</v>
      </c>
      <c r="L87" s="9">
        <v>-13.3</v>
      </c>
      <c r="M87" s="9" t="s">
        <v>17</v>
      </c>
    </row>
    <row r="88" spans="1:13">
      <c r="A88" s="9" t="s">
        <v>276</v>
      </c>
      <c r="B88" s="9" t="s">
        <v>277</v>
      </c>
      <c r="C88" s="9" t="s">
        <v>199</v>
      </c>
      <c r="D88" s="9" t="s">
        <v>278</v>
      </c>
      <c r="E88" s="10">
        <v>65.44</v>
      </c>
      <c r="F88" s="10">
        <v>36.94</v>
      </c>
      <c r="G88" s="9">
        <v>1957</v>
      </c>
      <c r="H88" s="9">
        <v>54</v>
      </c>
      <c r="I88" s="9" t="s">
        <v>201</v>
      </c>
      <c r="J88" s="9" t="s">
        <v>52</v>
      </c>
      <c r="K88" s="9" t="s">
        <v>279</v>
      </c>
      <c r="L88" s="9">
        <v>-3.6</v>
      </c>
      <c r="M88" s="9" t="s">
        <v>17</v>
      </c>
    </row>
    <row r="89" spans="1:13">
      <c r="A89" s="9" t="s">
        <v>276</v>
      </c>
      <c r="B89" s="9" t="s">
        <v>277</v>
      </c>
      <c r="C89" s="9" t="s">
        <v>199</v>
      </c>
      <c r="D89" s="9" t="s">
        <v>280</v>
      </c>
      <c r="E89" s="10">
        <v>65.44</v>
      </c>
      <c r="F89" s="10">
        <v>36.94</v>
      </c>
      <c r="G89" s="9">
        <v>1957</v>
      </c>
      <c r="H89" s="9">
        <v>54</v>
      </c>
      <c r="I89" s="9" t="s">
        <v>223</v>
      </c>
      <c r="J89" s="9" t="s">
        <v>52</v>
      </c>
      <c r="K89" s="9" t="s">
        <v>279</v>
      </c>
      <c r="L89" s="9">
        <v>0</v>
      </c>
      <c r="M89" s="9" t="s">
        <v>223</v>
      </c>
    </row>
    <row r="90" spans="1:13">
      <c r="A90" s="9" t="s">
        <v>276</v>
      </c>
      <c r="B90" s="9" t="s">
        <v>277</v>
      </c>
      <c r="C90" s="9" t="s">
        <v>199</v>
      </c>
      <c r="D90" s="9" t="s">
        <v>110</v>
      </c>
      <c r="E90" s="10">
        <v>65.44</v>
      </c>
      <c r="F90" s="10">
        <v>36.94</v>
      </c>
      <c r="G90" s="9">
        <v>1957</v>
      </c>
      <c r="H90" s="9">
        <v>54</v>
      </c>
      <c r="I90" s="9" t="s">
        <v>223</v>
      </c>
      <c r="J90" s="9" t="s">
        <v>52</v>
      </c>
      <c r="K90" s="9" t="s">
        <v>279</v>
      </c>
      <c r="L90" s="9">
        <v>0</v>
      </c>
      <c r="M90" s="9" t="s">
        <v>223</v>
      </c>
    </row>
    <row r="91" spans="1:13">
      <c r="A91" s="9" t="s">
        <v>276</v>
      </c>
      <c r="B91" s="9" t="s">
        <v>277</v>
      </c>
      <c r="C91" s="9" t="s">
        <v>199</v>
      </c>
      <c r="D91" s="9" t="s">
        <v>64</v>
      </c>
      <c r="E91" s="10">
        <v>65.44</v>
      </c>
      <c r="F91" s="10">
        <v>36.94</v>
      </c>
      <c r="G91" s="9">
        <v>1957</v>
      </c>
      <c r="H91" s="9">
        <v>54</v>
      </c>
      <c r="I91" s="9" t="s">
        <v>223</v>
      </c>
      <c r="J91" s="9" t="s">
        <v>52</v>
      </c>
      <c r="K91" s="9" t="s">
        <v>279</v>
      </c>
      <c r="L91" s="9">
        <v>0</v>
      </c>
      <c r="M91" s="9" t="s">
        <v>223</v>
      </c>
    </row>
    <row r="92" spans="1:13">
      <c r="A92" s="9" t="s">
        <v>276</v>
      </c>
      <c r="B92" s="9" t="s">
        <v>277</v>
      </c>
      <c r="C92" s="9" t="s">
        <v>199</v>
      </c>
      <c r="D92" s="9" t="s">
        <v>281</v>
      </c>
      <c r="E92" s="10">
        <v>65.44</v>
      </c>
      <c r="F92" s="10">
        <v>36.94</v>
      </c>
      <c r="G92" s="9">
        <v>1957</v>
      </c>
      <c r="H92" s="9">
        <v>54</v>
      </c>
      <c r="I92" s="9" t="s">
        <v>223</v>
      </c>
      <c r="J92" s="9" t="s">
        <v>52</v>
      </c>
      <c r="K92" s="9" t="s">
        <v>279</v>
      </c>
      <c r="L92" s="9">
        <v>0</v>
      </c>
      <c r="M92" s="9" t="s">
        <v>223</v>
      </c>
    </row>
    <row r="93" spans="1:13">
      <c r="A93" s="9" t="s">
        <v>282</v>
      </c>
      <c r="B93" s="13" t="s">
        <v>283</v>
      </c>
      <c r="C93" s="9" t="s">
        <v>205</v>
      </c>
      <c r="D93" s="9" t="s">
        <v>284</v>
      </c>
      <c r="E93" s="10">
        <v>33.44</v>
      </c>
      <c r="F93" s="10">
        <v>-120</v>
      </c>
      <c r="G93" s="9">
        <v>1951</v>
      </c>
      <c r="H93" s="9">
        <v>58</v>
      </c>
      <c r="I93" s="9" t="s">
        <v>201</v>
      </c>
      <c r="J93" s="9" t="s">
        <v>52</v>
      </c>
      <c r="K93" s="9" t="s">
        <v>285</v>
      </c>
      <c r="L93" s="9">
        <v>-3</v>
      </c>
      <c r="M93" s="9" t="s">
        <v>17</v>
      </c>
    </row>
    <row r="94" spans="1:13">
      <c r="A94" s="9" t="s">
        <v>282</v>
      </c>
      <c r="B94" s="13" t="s">
        <v>283</v>
      </c>
      <c r="C94" s="9" t="s">
        <v>205</v>
      </c>
      <c r="D94" s="9" t="s">
        <v>286</v>
      </c>
      <c r="E94" s="10">
        <v>33.44</v>
      </c>
      <c r="F94" s="10">
        <v>-120</v>
      </c>
      <c r="G94" s="9">
        <v>1951</v>
      </c>
      <c r="H94" s="9">
        <v>58</v>
      </c>
      <c r="I94" s="9" t="s">
        <v>201</v>
      </c>
      <c r="J94" s="9" t="s">
        <v>52</v>
      </c>
      <c r="K94" s="9" t="s">
        <v>285</v>
      </c>
      <c r="L94" s="9">
        <v>-11.1</v>
      </c>
      <c r="M94" s="9" t="s">
        <v>17</v>
      </c>
    </row>
    <row r="95" spans="1:13">
      <c r="A95" s="9" t="s">
        <v>282</v>
      </c>
      <c r="B95" s="13" t="s">
        <v>283</v>
      </c>
      <c r="C95" s="9" t="s">
        <v>205</v>
      </c>
      <c r="D95" s="9" t="s">
        <v>287</v>
      </c>
      <c r="E95" s="10">
        <v>33.44</v>
      </c>
      <c r="F95" s="10">
        <v>-120</v>
      </c>
      <c r="G95" s="9">
        <v>1951</v>
      </c>
      <c r="H95" s="9">
        <v>58</v>
      </c>
      <c r="I95" s="9" t="s">
        <v>214</v>
      </c>
      <c r="J95" s="9" t="s">
        <v>52</v>
      </c>
      <c r="K95" s="9" t="s">
        <v>285</v>
      </c>
      <c r="L95" s="9">
        <v>2</v>
      </c>
      <c r="M95" s="9" t="s">
        <v>215</v>
      </c>
    </row>
    <row r="96" spans="1:13">
      <c r="A96" s="9" t="s">
        <v>282</v>
      </c>
      <c r="B96" s="13" t="s">
        <v>283</v>
      </c>
      <c r="C96" s="9" t="s">
        <v>205</v>
      </c>
      <c r="D96" s="9" t="s">
        <v>288</v>
      </c>
      <c r="E96" s="10">
        <v>33.44</v>
      </c>
      <c r="F96" s="10">
        <v>-120</v>
      </c>
      <c r="G96" s="9">
        <v>1951</v>
      </c>
      <c r="H96" s="9">
        <v>58</v>
      </c>
      <c r="I96" s="9" t="s">
        <v>214</v>
      </c>
      <c r="J96" s="9" t="s">
        <v>52</v>
      </c>
      <c r="K96" s="9" t="s">
        <v>285</v>
      </c>
      <c r="L96" s="9">
        <v>4.5999999999999996</v>
      </c>
      <c r="M96" s="9" t="s">
        <v>215</v>
      </c>
    </row>
    <row r="97" spans="1:13">
      <c r="A97" s="9" t="s">
        <v>282</v>
      </c>
      <c r="B97" s="13" t="s">
        <v>283</v>
      </c>
      <c r="C97" s="9" t="s">
        <v>205</v>
      </c>
      <c r="D97" s="9" t="s">
        <v>289</v>
      </c>
      <c r="E97" s="10">
        <v>33.44</v>
      </c>
      <c r="F97" s="10">
        <v>-120</v>
      </c>
      <c r="G97" s="9">
        <v>1951</v>
      </c>
      <c r="H97" s="9">
        <v>58</v>
      </c>
      <c r="I97" s="9" t="s">
        <v>214</v>
      </c>
      <c r="J97" s="9" t="s">
        <v>53</v>
      </c>
      <c r="K97" s="9" t="s">
        <v>285</v>
      </c>
      <c r="L97" s="9">
        <v>4.4000000000000004</v>
      </c>
      <c r="M97" s="9" t="s">
        <v>215</v>
      </c>
    </row>
    <row r="98" spans="1:13">
      <c r="A98" s="9" t="s">
        <v>282</v>
      </c>
      <c r="B98" s="13" t="s">
        <v>283</v>
      </c>
      <c r="C98" s="9" t="s">
        <v>205</v>
      </c>
      <c r="D98" s="9" t="s">
        <v>290</v>
      </c>
      <c r="E98" s="10">
        <v>33.44</v>
      </c>
      <c r="F98" s="10">
        <v>-120</v>
      </c>
      <c r="G98" s="9">
        <v>1951</v>
      </c>
      <c r="H98" s="9">
        <v>58</v>
      </c>
      <c r="I98" s="9" t="s">
        <v>214</v>
      </c>
      <c r="J98" s="9" t="s">
        <v>52</v>
      </c>
      <c r="K98" s="9" t="s">
        <v>285</v>
      </c>
      <c r="L98" s="9">
        <v>1.2</v>
      </c>
      <c r="M98" s="9" t="s">
        <v>215</v>
      </c>
    </row>
    <row r="99" spans="1:13">
      <c r="A99" s="9" t="s">
        <v>282</v>
      </c>
      <c r="B99" s="13" t="s">
        <v>283</v>
      </c>
      <c r="C99" s="9" t="s">
        <v>205</v>
      </c>
      <c r="D99" s="9" t="s">
        <v>290</v>
      </c>
      <c r="E99" s="10">
        <v>33.44</v>
      </c>
      <c r="F99" s="10">
        <v>-120</v>
      </c>
      <c r="G99" s="9">
        <v>1951</v>
      </c>
      <c r="H99" s="9">
        <v>58</v>
      </c>
      <c r="I99" s="9" t="s">
        <v>201</v>
      </c>
      <c r="J99" s="9" t="s">
        <v>52</v>
      </c>
      <c r="K99" s="9" t="s">
        <v>285</v>
      </c>
      <c r="L99" s="9">
        <v>-3.2</v>
      </c>
      <c r="M99" s="9" t="s">
        <v>17</v>
      </c>
    </row>
    <row r="100" spans="1:13">
      <c r="A100" s="9" t="s">
        <v>282</v>
      </c>
      <c r="B100" s="13" t="s">
        <v>283</v>
      </c>
      <c r="C100" s="9" t="s">
        <v>205</v>
      </c>
      <c r="D100" s="9" t="s">
        <v>291</v>
      </c>
      <c r="E100" s="10">
        <v>33.44</v>
      </c>
      <c r="F100" s="10">
        <v>-120</v>
      </c>
      <c r="G100" s="9">
        <v>1951</v>
      </c>
      <c r="H100" s="9">
        <v>58</v>
      </c>
      <c r="I100" s="9" t="s">
        <v>201</v>
      </c>
      <c r="J100" s="9" t="s">
        <v>52</v>
      </c>
      <c r="K100" s="9" t="s">
        <v>285</v>
      </c>
      <c r="L100" s="9">
        <v>-1.7</v>
      </c>
      <c r="M100" s="9" t="s">
        <v>17</v>
      </c>
    </row>
    <row r="101" spans="1:13">
      <c r="A101" s="9" t="s">
        <v>282</v>
      </c>
      <c r="B101" s="13" t="s">
        <v>283</v>
      </c>
      <c r="C101" s="9" t="s">
        <v>205</v>
      </c>
      <c r="D101" s="9" t="s">
        <v>291</v>
      </c>
      <c r="E101" s="10">
        <v>33.44</v>
      </c>
      <c r="F101" s="10">
        <v>-120</v>
      </c>
      <c r="G101" s="9">
        <v>1951</v>
      </c>
      <c r="H101" s="9">
        <v>58</v>
      </c>
      <c r="I101" s="9" t="s">
        <v>201</v>
      </c>
      <c r="J101" s="9" t="s">
        <v>54</v>
      </c>
      <c r="K101" s="9" t="s">
        <v>285</v>
      </c>
      <c r="L101" s="9">
        <v>-7</v>
      </c>
      <c r="M101" s="9" t="s">
        <v>17</v>
      </c>
    </row>
    <row r="102" spans="1:13">
      <c r="A102" s="9" t="s">
        <v>282</v>
      </c>
      <c r="B102" s="13" t="s">
        <v>283</v>
      </c>
      <c r="C102" s="9" t="s">
        <v>205</v>
      </c>
      <c r="D102" s="9" t="s">
        <v>292</v>
      </c>
      <c r="E102" s="10">
        <v>33.44</v>
      </c>
      <c r="F102" s="10">
        <v>-120</v>
      </c>
      <c r="G102" s="9">
        <v>1951</v>
      </c>
      <c r="H102" s="9">
        <v>58</v>
      </c>
      <c r="I102" s="9" t="s">
        <v>201</v>
      </c>
      <c r="J102" s="9" t="s">
        <v>52</v>
      </c>
      <c r="K102" s="9" t="s">
        <v>285</v>
      </c>
      <c r="L102" s="9">
        <v>-3.8</v>
      </c>
      <c r="M102" s="9" t="s">
        <v>17</v>
      </c>
    </row>
    <row r="103" spans="1:13">
      <c r="A103" s="9" t="s">
        <v>282</v>
      </c>
      <c r="B103" s="13" t="s">
        <v>283</v>
      </c>
      <c r="C103" s="9" t="s">
        <v>205</v>
      </c>
      <c r="D103" s="9" t="s">
        <v>292</v>
      </c>
      <c r="E103" s="10">
        <v>33.44</v>
      </c>
      <c r="F103" s="10">
        <v>-120</v>
      </c>
      <c r="G103" s="9">
        <v>1951</v>
      </c>
      <c r="H103" s="9">
        <v>58</v>
      </c>
      <c r="I103" s="9" t="s">
        <v>201</v>
      </c>
      <c r="J103" s="9" t="s">
        <v>54</v>
      </c>
      <c r="K103" s="9" t="s">
        <v>285</v>
      </c>
      <c r="L103" s="9">
        <v>-7.9</v>
      </c>
      <c r="M103" s="9" t="s">
        <v>17</v>
      </c>
    </row>
    <row r="104" spans="1:13">
      <c r="A104" s="9" t="s">
        <v>282</v>
      </c>
      <c r="B104" s="13" t="s">
        <v>283</v>
      </c>
      <c r="C104" s="9" t="s">
        <v>205</v>
      </c>
      <c r="D104" s="9" t="s">
        <v>293</v>
      </c>
      <c r="E104" s="10">
        <v>33.44</v>
      </c>
      <c r="F104" s="10">
        <v>-120</v>
      </c>
      <c r="G104" s="9">
        <v>1951</v>
      </c>
      <c r="H104" s="9">
        <v>58</v>
      </c>
      <c r="I104" s="9" t="s">
        <v>201</v>
      </c>
      <c r="J104" s="9" t="s">
        <v>54</v>
      </c>
      <c r="K104" s="9" t="s">
        <v>285</v>
      </c>
      <c r="L104" s="9">
        <v>-9.3000000000000007</v>
      </c>
      <c r="M104" s="9" t="s">
        <v>17</v>
      </c>
    </row>
    <row r="105" spans="1:13">
      <c r="A105" s="9" t="s">
        <v>282</v>
      </c>
      <c r="B105" s="13" t="s">
        <v>283</v>
      </c>
      <c r="C105" s="9" t="s">
        <v>205</v>
      </c>
      <c r="D105" s="9" t="s">
        <v>294</v>
      </c>
      <c r="E105" s="10">
        <v>33.44</v>
      </c>
      <c r="F105" s="10">
        <v>-120</v>
      </c>
      <c r="G105" s="9">
        <v>1951</v>
      </c>
      <c r="H105" s="9">
        <v>58</v>
      </c>
      <c r="I105" s="9" t="s">
        <v>201</v>
      </c>
      <c r="J105" s="9" t="s">
        <v>53</v>
      </c>
      <c r="K105" s="9" t="s">
        <v>285</v>
      </c>
      <c r="L105" s="9">
        <v>-5.6</v>
      </c>
      <c r="M105" s="9" t="s">
        <v>17</v>
      </c>
    </row>
    <row r="106" spans="1:13">
      <c r="A106" s="9" t="s">
        <v>282</v>
      </c>
      <c r="B106" s="13" t="s">
        <v>283</v>
      </c>
      <c r="C106" s="9" t="s">
        <v>205</v>
      </c>
      <c r="D106" s="9" t="s">
        <v>295</v>
      </c>
      <c r="E106" s="10">
        <v>33.44</v>
      </c>
      <c r="F106" s="10">
        <v>-120</v>
      </c>
      <c r="G106" s="9">
        <v>1951</v>
      </c>
      <c r="H106" s="9">
        <v>58</v>
      </c>
      <c r="I106" s="9" t="s">
        <v>201</v>
      </c>
      <c r="J106" s="9" t="s">
        <v>53</v>
      </c>
      <c r="K106" s="9" t="s">
        <v>285</v>
      </c>
      <c r="L106" s="9">
        <v>-0.6</v>
      </c>
      <c r="M106" s="9" t="s">
        <v>17</v>
      </c>
    </row>
    <row r="107" spans="1:13">
      <c r="A107" s="9" t="s">
        <v>282</v>
      </c>
      <c r="B107" s="13" t="s">
        <v>283</v>
      </c>
      <c r="C107" s="9" t="s">
        <v>205</v>
      </c>
      <c r="D107" s="9" t="s">
        <v>296</v>
      </c>
      <c r="E107" s="10">
        <v>33.44</v>
      </c>
      <c r="F107" s="10">
        <v>-120</v>
      </c>
      <c r="G107" s="9">
        <v>1951</v>
      </c>
      <c r="H107" s="9">
        <v>58</v>
      </c>
      <c r="I107" s="9" t="s">
        <v>201</v>
      </c>
      <c r="J107" s="9" t="s">
        <v>53</v>
      </c>
      <c r="K107" s="9" t="s">
        <v>285</v>
      </c>
      <c r="L107" s="9">
        <v>-3</v>
      </c>
      <c r="M107" s="9" t="s">
        <v>17</v>
      </c>
    </row>
    <row r="108" spans="1:13">
      <c r="A108" s="9" t="s">
        <v>282</v>
      </c>
      <c r="B108" s="13" t="s">
        <v>283</v>
      </c>
      <c r="C108" s="9" t="s">
        <v>205</v>
      </c>
      <c r="D108" s="9" t="s">
        <v>297</v>
      </c>
      <c r="E108" s="10">
        <v>33.44</v>
      </c>
      <c r="F108" s="10">
        <v>-120</v>
      </c>
      <c r="G108" s="9">
        <v>1951</v>
      </c>
      <c r="H108" s="9">
        <v>58</v>
      </c>
      <c r="I108" s="9" t="s">
        <v>214</v>
      </c>
      <c r="J108" s="9" t="s">
        <v>52</v>
      </c>
      <c r="K108" s="9" t="s">
        <v>285</v>
      </c>
      <c r="L108" s="9">
        <v>1.2</v>
      </c>
      <c r="M108" s="9" t="s">
        <v>215</v>
      </c>
    </row>
    <row r="109" spans="1:13">
      <c r="A109" s="9" t="s">
        <v>282</v>
      </c>
      <c r="B109" s="13" t="s">
        <v>283</v>
      </c>
      <c r="C109" s="9" t="s">
        <v>205</v>
      </c>
      <c r="D109" s="9" t="s">
        <v>298</v>
      </c>
      <c r="E109" s="10">
        <v>33.44</v>
      </c>
      <c r="F109" s="10">
        <v>-120</v>
      </c>
      <c r="G109" s="9">
        <v>1951</v>
      </c>
      <c r="H109" s="9">
        <v>58</v>
      </c>
      <c r="I109" s="9" t="s">
        <v>201</v>
      </c>
      <c r="J109" s="9" t="s">
        <v>53</v>
      </c>
      <c r="K109" s="9" t="s">
        <v>285</v>
      </c>
      <c r="L109" s="9">
        <v>-7.3</v>
      </c>
      <c r="M109" s="9" t="s">
        <v>17</v>
      </c>
    </row>
    <row r="110" spans="1:13">
      <c r="A110" s="9" t="s">
        <v>282</v>
      </c>
      <c r="B110" s="13" t="s">
        <v>283</v>
      </c>
      <c r="C110" s="9" t="s">
        <v>205</v>
      </c>
      <c r="D110" s="9" t="s">
        <v>299</v>
      </c>
      <c r="E110" s="10">
        <v>33.44</v>
      </c>
      <c r="F110" s="10">
        <v>-120</v>
      </c>
      <c r="G110" s="9">
        <v>1951</v>
      </c>
      <c r="H110" s="9">
        <v>58</v>
      </c>
      <c r="I110" s="9" t="s">
        <v>201</v>
      </c>
      <c r="J110" s="9" t="s">
        <v>53</v>
      </c>
      <c r="K110" s="9" t="s">
        <v>285</v>
      </c>
      <c r="L110" s="9">
        <v>-0.7</v>
      </c>
      <c r="M110" s="9" t="s">
        <v>17</v>
      </c>
    </row>
    <row r="111" spans="1:13">
      <c r="A111" s="9" t="s">
        <v>282</v>
      </c>
      <c r="B111" s="13" t="s">
        <v>283</v>
      </c>
      <c r="C111" s="9" t="s">
        <v>205</v>
      </c>
      <c r="D111" s="9" t="s">
        <v>300</v>
      </c>
      <c r="E111" s="10">
        <v>33.44</v>
      </c>
      <c r="F111" s="10">
        <v>-120</v>
      </c>
      <c r="G111" s="9">
        <v>1951</v>
      </c>
      <c r="H111" s="9">
        <v>58</v>
      </c>
      <c r="I111" s="9" t="s">
        <v>201</v>
      </c>
      <c r="J111" s="9" t="s">
        <v>52</v>
      </c>
      <c r="K111" s="9" t="s">
        <v>285</v>
      </c>
      <c r="L111" s="9">
        <v>-7.6</v>
      </c>
      <c r="M111" s="9" t="s">
        <v>17</v>
      </c>
    </row>
    <row r="112" spans="1:13">
      <c r="A112" s="9" t="s">
        <v>282</v>
      </c>
      <c r="B112" s="13" t="s">
        <v>283</v>
      </c>
      <c r="C112" s="9" t="s">
        <v>205</v>
      </c>
      <c r="D112" s="9" t="s">
        <v>300</v>
      </c>
      <c r="E112" s="10">
        <v>33.44</v>
      </c>
      <c r="F112" s="10">
        <v>-120</v>
      </c>
      <c r="G112" s="9">
        <v>1951</v>
      </c>
      <c r="H112" s="9">
        <v>58</v>
      </c>
      <c r="I112" s="9" t="s">
        <v>214</v>
      </c>
      <c r="J112" s="9" t="s">
        <v>54</v>
      </c>
      <c r="K112" s="9" t="s">
        <v>285</v>
      </c>
      <c r="L112" s="9">
        <v>3</v>
      </c>
      <c r="M112" s="9" t="s">
        <v>215</v>
      </c>
    </row>
    <row r="113" spans="1:13">
      <c r="A113" s="9" t="s">
        <v>282</v>
      </c>
      <c r="B113" s="13" t="s">
        <v>283</v>
      </c>
      <c r="C113" s="9" t="s">
        <v>205</v>
      </c>
      <c r="D113" s="9" t="s">
        <v>301</v>
      </c>
      <c r="E113" s="10">
        <v>33.44</v>
      </c>
      <c r="F113" s="10">
        <v>-120</v>
      </c>
      <c r="G113" s="9">
        <v>1951</v>
      </c>
      <c r="H113" s="9">
        <v>58</v>
      </c>
      <c r="I113" s="9" t="s">
        <v>214</v>
      </c>
      <c r="J113" s="9" t="s">
        <v>53</v>
      </c>
      <c r="K113" s="9" t="s">
        <v>285</v>
      </c>
      <c r="L113" s="9">
        <v>0.7</v>
      </c>
      <c r="M113" s="9" t="s">
        <v>215</v>
      </c>
    </row>
    <row r="114" spans="1:13">
      <c r="A114" s="9" t="s">
        <v>282</v>
      </c>
      <c r="B114" s="13" t="s">
        <v>283</v>
      </c>
      <c r="C114" s="9" t="s">
        <v>205</v>
      </c>
      <c r="D114" s="9" t="s">
        <v>302</v>
      </c>
      <c r="E114" s="10">
        <v>33.44</v>
      </c>
      <c r="F114" s="10">
        <v>-120</v>
      </c>
      <c r="G114" s="9">
        <v>1951</v>
      </c>
      <c r="H114" s="9">
        <v>58</v>
      </c>
      <c r="I114" s="9" t="s">
        <v>201</v>
      </c>
      <c r="J114" s="9" t="s">
        <v>52</v>
      </c>
      <c r="K114" s="9" t="s">
        <v>285</v>
      </c>
      <c r="L114" s="9">
        <v>-4.8</v>
      </c>
      <c r="M114" s="9" t="s">
        <v>17</v>
      </c>
    </row>
    <row r="115" spans="1:13">
      <c r="A115" s="9" t="s">
        <v>282</v>
      </c>
      <c r="B115" s="13" t="s">
        <v>283</v>
      </c>
      <c r="C115" s="9" t="s">
        <v>205</v>
      </c>
      <c r="D115" s="9" t="s">
        <v>303</v>
      </c>
      <c r="E115" s="10">
        <v>33.44</v>
      </c>
      <c r="F115" s="10">
        <v>-120</v>
      </c>
      <c r="G115" s="9">
        <v>1951</v>
      </c>
      <c r="H115" s="9">
        <v>58</v>
      </c>
      <c r="I115" s="9" t="s">
        <v>201</v>
      </c>
      <c r="J115" s="9" t="s">
        <v>55</v>
      </c>
      <c r="K115" s="9" t="s">
        <v>285</v>
      </c>
      <c r="L115" s="9">
        <v>-1.4</v>
      </c>
      <c r="M115" s="9" t="s">
        <v>17</v>
      </c>
    </row>
    <row r="116" spans="1:13">
      <c r="A116" s="9" t="s">
        <v>282</v>
      </c>
      <c r="B116" s="13" t="s">
        <v>283</v>
      </c>
      <c r="C116" s="9" t="s">
        <v>205</v>
      </c>
      <c r="D116" s="9" t="s">
        <v>304</v>
      </c>
      <c r="E116" s="10">
        <v>33.44</v>
      </c>
      <c r="F116" s="10">
        <v>-120</v>
      </c>
      <c r="G116" s="9">
        <v>1951</v>
      </c>
      <c r="H116" s="9">
        <v>58</v>
      </c>
      <c r="I116" s="9" t="s">
        <v>201</v>
      </c>
      <c r="J116" s="9" t="s">
        <v>52</v>
      </c>
      <c r="K116" s="9" t="s">
        <v>285</v>
      </c>
      <c r="L116" s="9">
        <v>-1.7</v>
      </c>
      <c r="M116" s="9" t="s">
        <v>17</v>
      </c>
    </row>
    <row r="117" spans="1:13">
      <c r="A117" s="9" t="s">
        <v>282</v>
      </c>
      <c r="B117" s="13" t="s">
        <v>283</v>
      </c>
      <c r="C117" s="9" t="s">
        <v>205</v>
      </c>
      <c r="D117" s="9" t="s">
        <v>305</v>
      </c>
      <c r="E117" s="10">
        <v>33.44</v>
      </c>
      <c r="F117" s="10">
        <v>-120</v>
      </c>
      <c r="G117" s="9">
        <v>1951</v>
      </c>
      <c r="H117" s="9">
        <v>58</v>
      </c>
      <c r="I117" s="9" t="s">
        <v>201</v>
      </c>
      <c r="J117" s="9" t="s">
        <v>52</v>
      </c>
      <c r="K117" s="9" t="s">
        <v>285</v>
      </c>
      <c r="L117" s="9">
        <v>-8.1999999999999993</v>
      </c>
      <c r="M117" s="9" t="s">
        <v>17</v>
      </c>
    </row>
    <row r="118" spans="1:13">
      <c r="A118" s="9" t="s">
        <v>282</v>
      </c>
      <c r="B118" s="13" t="s">
        <v>283</v>
      </c>
      <c r="C118" s="9" t="s">
        <v>205</v>
      </c>
      <c r="D118" s="9" t="s">
        <v>305</v>
      </c>
      <c r="E118" s="10">
        <v>33.44</v>
      </c>
      <c r="F118" s="10">
        <v>-120</v>
      </c>
      <c r="G118" s="9">
        <v>1951</v>
      </c>
      <c r="H118" s="9">
        <v>58</v>
      </c>
      <c r="I118" s="9" t="s">
        <v>201</v>
      </c>
      <c r="J118" s="9" t="s">
        <v>53</v>
      </c>
      <c r="K118" s="9" t="s">
        <v>285</v>
      </c>
      <c r="L118" s="9">
        <v>-4.0999999999999996</v>
      </c>
      <c r="M118" s="9" t="s">
        <v>17</v>
      </c>
    </row>
    <row r="119" spans="1:13">
      <c r="A119" s="9" t="s">
        <v>282</v>
      </c>
      <c r="B119" s="13" t="s">
        <v>283</v>
      </c>
      <c r="C119" s="9" t="s">
        <v>205</v>
      </c>
      <c r="D119" s="9" t="s">
        <v>306</v>
      </c>
      <c r="E119" s="10">
        <v>33.44</v>
      </c>
      <c r="F119" s="10">
        <v>-120</v>
      </c>
      <c r="G119" s="9">
        <v>1951</v>
      </c>
      <c r="H119" s="9">
        <v>58</v>
      </c>
      <c r="I119" s="9" t="s">
        <v>201</v>
      </c>
      <c r="J119" s="9" t="s">
        <v>52</v>
      </c>
      <c r="K119" s="9" t="s">
        <v>285</v>
      </c>
      <c r="L119" s="9">
        <v>-2.4</v>
      </c>
      <c r="M119" s="9" t="s">
        <v>17</v>
      </c>
    </row>
    <row r="120" spans="1:13">
      <c r="A120" s="9" t="s">
        <v>282</v>
      </c>
      <c r="B120" s="13" t="s">
        <v>283</v>
      </c>
      <c r="C120" s="9" t="s">
        <v>205</v>
      </c>
      <c r="D120" s="9" t="s">
        <v>306</v>
      </c>
      <c r="E120" s="10">
        <v>33.44</v>
      </c>
      <c r="F120" s="10">
        <v>-120</v>
      </c>
      <c r="G120" s="9">
        <v>1951</v>
      </c>
      <c r="H120" s="9">
        <v>58</v>
      </c>
      <c r="I120" s="9" t="s">
        <v>214</v>
      </c>
      <c r="J120" s="9" t="s">
        <v>53</v>
      </c>
      <c r="K120" s="9" t="s">
        <v>285</v>
      </c>
      <c r="L120" s="9">
        <v>5.7</v>
      </c>
      <c r="M120" s="9" t="s">
        <v>215</v>
      </c>
    </row>
    <row r="121" spans="1:13">
      <c r="A121" s="9" t="s">
        <v>282</v>
      </c>
      <c r="B121" s="13" t="s">
        <v>283</v>
      </c>
      <c r="C121" s="9" t="s">
        <v>205</v>
      </c>
      <c r="D121" s="9" t="s">
        <v>307</v>
      </c>
      <c r="E121" s="10">
        <v>33.44</v>
      </c>
      <c r="F121" s="10">
        <v>-120</v>
      </c>
      <c r="G121" s="9">
        <v>1951</v>
      </c>
      <c r="H121" s="9">
        <v>58</v>
      </c>
      <c r="I121" s="9" t="s">
        <v>201</v>
      </c>
      <c r="J121" s="9" t="s">
        <v>54</v>
      </c>
      <c r="K121" s="9" t="s">
        <v>285</v>
      </c>
      <c r="L121" s="9">
        <v>-6.2</v>
      </c>
      <c r="M121" s="9" t="s">
        <v>17</v>
      </c>
    </row>
    <row r="122" spans="1:13">
      <c r="A122" s="9" t="s">
        <v>282</v>
      </c>
      <c r="B122" s="13" t="s">
        <v>283</v>
      </c>
      <c r="C122" s="9" t="s">
        <v>205</v>
      </c>
      <c r="D122" s="9" t="s">
        <v>308</v>
      </c>
      <c r="E122" s="10">
        <v>33.44</v>
      </c>
      <c r="F122" s="10">
        <v>-120</v>
      </c>
      <c r="G122" s="9">
        <v>1951</v>
      </c>
      <c r="H122" s="9">
        <v>58</v>
      </c>
      <c r="I122" s="9" t="s">
        <v>201</v>
      </c>
      <c r="J122" s="9" t="s">
        <v>55</v>
      </c>
      <c r="K122" s="9" t="s">
        <v>285</v>
      </c>
      <c r="L122" s="9">
        <v>-3</v>
      </c>
      <c r="M122" s="9" t="s">
        <v>17</v>
      </c>
    </row>
    <row r="123" spans="1:13">
      <c r="A123" s="9" t="s">
        <v>282</v>
      </c>
      <c r="B123" s="13" t="s">
        <v>283</v>
      </c>
      <c r="C123" s="9" t="s">
        <v>205</v>
      </c>
      <c r="D123" s="9" t="s">
        <v>309</v>
      </c>
      <c r="E123" s="10">
        <v>33.44</v>
      </c>
      <c r="F123" s="10">
        <v>-120</v>
      </c>
      <c r="G123" s="9">
        <v>1951</v>
      </c>
      <c r="H123" s="9">
        <v>58</v>
      </c>
      <c r="I123" s="9" t="s">
        <v>214</v>
      </c>
      <c r="J123" s="9" t="s">
        <v>52</v>
      </c>
      <c r="K123" s="9" t="s">
        <v>285</v>
      </c>
      <c r="L123" s="9">
        <v>0.4</v>
      </c>
      <c r="M123" s="9" t="s">
        <v>215</v>
      </c>
    </row>
    <row r="124" spans="1:13">
      <c r="A124" s="9" t="s">
        <v>282</v>
      </c>
      <c r="B124" s="13" t="s">
        <v>283</v>
      </c>
      <c r="C124" s="9" t="s">
        <v>205</v>
      </c>
      <c r="D124" s="9" t="s">
        <v>309</v>
      </c>
      <c r="E124" s="10">
        <v>33.44</v>
      </c>
      <c r="F124" s="10">
        <v>-120</v>
      </c>
      <c r="G124" s="9">
        <v>1951</v>
      </c>
      <c r="H124" s="9">
        <v>58</v>
      </c>
      <c r="I124" s="9" t="s">
        <v>214</v>
      </c>
      <c r="J124" s="9" t="s">
        <v>54</v>
      </c>
      <c r="K124" s="9" t="s">
        <v>285</v>
      </c>
      <c r="L124" s="9">
        <v>5.6</v>
      </c>
      <c r="M124" s="9" t="s">
        <v>215</v>
      </c>
    </row>
    <row r="125" spans="1:13">
      <c r="A125" s="9" t="s">
        <v>282</v>
      </c>
      <c r="B125" s="13" t="s">
        <v>283</v>
      </c>
      <c r="C125" s="9" t="s">
        <v>205</v>
      </c>
      <c r="D125" s="9" t="s">
        <v>310</v>
      </c>
      <c r="E125" s="10">
        <v>33.44</v>
      </c>
      <c r="F125" s="10">
        <v>-120</v>
      </c>
      <c r="G125" s="9">
        <v>1951</v>
      </c>
      <c r="H125" s="9">
        <v>58</v>
      </c>
      <c r="I125" s="9" t="s">
        <v>201</v>
      </c>
      <c r="J125" s="9" t="s">
        <v>52</v>
      </c>
      <c r="K125" s="9" t="s">
        <v>285</v>
      </c>
      <c r="L125" s="9">
        <v>-5.4</v>
      </c>
      <c r="M125" s="9" t="s">
        <v>17</v>
      </c>
    </row>
    <row r="126" spans="1:13">
      <c r="A126" s="9" t="s">
        <v>282</v>
      </c>
      <c r="B126" s="13" t="s">
        <v>283</v>
      </c>
      <c r="C126" s="9" t="s">
        <v>205</v>
      </c>
      <c r="D126" s="9" t="s">
        <v>311</v>
      </c>
      <c r="E126" s="10">
        <v>33.44</v>
      </c>
      <c r="F126" s="10">
        <v>-120</v>
      </c>
      <c r="G126" s="9">
        <v>1951</v>
      </c>
      <c r="H126" s="9">
        <v>58</v>
      </c>
      <c r="I126" s="9" t="s">
        <v>201</v>
      </c>
      <c r="J126" s="9" t="s">
        <v>54</v>
      </c>
      <c r="K126" s="9" t="s">
        <v>285</v>
      </c>
      <c r="L126" s="9">
        <v>-12.3</v>
      </c>
      <c r="M126" s="9" t="s">
        <v>17</v>
      </c>
    </row>
    <row r="127" spans="1:13">
      <c r="A127" s="9" t="s">
        <v>282</v>
      </c>
      <c r="B127" s="13" t="s">
        <v>283</v>
      </c>
      <c r="C127" s="9" t="s">
        <v>205</v>
      </c>
      <c r="D127" s="9" t="s">
        <v>312</v>
      </c>
      <c r="E127" s="10">
        <v>33.44</v>
      </c>
      <c r="F127" s="10">
        <v>-120</v>
      </c>
      <c r="G127" s="9">
        <v>1951</v>
      </c>
      <c r="H127" s="9">
        <v>58</v>
      </c>
      <c r="I127" s="9" t="s">
        <v>214</v>
      </c>
      <c r="J127" s="9" t="s">
        <v>55</v>
      </c>
      <c r="K127" s="9" t="s">
        <v>285</v>
      </c>
      <c r="L127" s="9">
        <v>6.7</v>
      </c>
      <c r="M127" s="9" t="s">
        <v>215</v>
      </c>
    </row>
    <row r="128" spans="1:13">
      <c r="A128" s="9" t="s">
        <v>282</v>
      </c>
      <c r="B128" s="13" t="s">
        <v>283</v>
      </c>
      <c r="C128" s="9" t="s">
        <v>205</v>
      </c>
      <c r="D128" s="9" t="s">
        <v>313</v>
      </c>
      <c r="E128" s="10">
        <v>33.44</v>
      </c>
      <c r="F128" s="10">
        <v>-120</v>
      </c>
      <c r="G128" s="9">
        <v>1951</v>
      </c>
      <c r="H128" s="9">
        <v>58</v>
      </c>
      <c r="I128" s="9" t="s">
        <v>201</v>
      </c>
      <c r="J128" s="9" t="s">
        <v>55</v>
      </c>
      <c r="K128" s="9" t="s">
        <v>285</v>
      </c>
      <c r="L128" s="9">
        <v>-2.8</v>
      </c>
      <c r="M128" s="9" t="s">
        <v>17</v>
      </c>
    </row>
    <row r="129" spans="1:13">
      <c r="A129" s="9" t="s">
        <v>282</v>
      </c>
      <c r="B129" s="13" t="s">
        <v>283</v>
      </c>
      <c r="C129" s="9" t="s">
        <v>205</v>
      </c>
      <c r="D129" s="9" t="s">
        <v>314</v>
      </c>
      <c r="E129" s="10">
        <v>33.44</v>
      </c>
      <c r="F129" s="10">
        <v>-120</v>
      </c>
      <c r="G129" s="9">
        <v>1951</v>
      </c>
      <c r="H129" s="9">
        <v>58</v>
      </c>
      <c r="I129" s="9" t="s">
        <v>214</v>
      </c>
      <c r="J129" s="9" t="s">
        <v>55</v>
      </c>
      <c r="K129" s="9" t="s">
        <v>285</v>
      </c>
      <c r="L129" s="9">
        <v>1.6</v>
      </c>
      <c r="M129" s="9" t="s">
        <v>215</v>
      </c>
    </row>
    <row r="130" spans="1:13">
      <c r="A130" s="9" t="s">
        <v>282</v>
      </c>
      <c r="B130" s="13" t="s">
        <v>283</v>
      </c>
      <c r="C130" s="9" t="s">
        <v>205</v>
      </c>
      <c r="D130" s="9" t="s">
        <v>315</v>
      </c>
      <c r="E130" s="10">
        <v>33.44</v>
      </c>
      <c r="F130" s="10">
        <v>-120</v>
      </c>
      <c r="G130" s="9">
        <v>1951</v>
      </c>
      <c r="H130" s="9">
        <v>58</v>
      </c>
      <c r="I130" s="9" t="s">
        <v>201</v>
      </c>
      <c r="J130" s="9" t="s">
        <v>53</v>
      </c>
      <c r="K130" s="9" t="s">
        <v>285</v>
      </c>
      <c r="L130" s="9">
        <v>-6.7</v>
      </c>
      <c r="M130" s="9" t="s">
        <v>17</v>
      </c>
    </row>
    <row r="131" spans="1:13">
      <c r="A131" s="9" t="s">
        <v>282</v>
      </c>
      <c r="B131" s="13" t="s">
        <v>283</v>
      </c>
      <c r="C131" s="9" t="s">
        <v>205</v>
      </c>
      <c r="D131" s="9" t="s">
        <v>316</v>
      </c>
      <c r="E131" s="10">
        <v>33.44</v>
      </c>
      <c r="F131" s="10">
        <v>-120</v>
      </c>
      <c r="G131" s="9">
        <v>1951</v>
      </c>
      <c r="H131" s="9">
        <v>58</v>
      </c>
      <c r="I131" s="9" t="s">
        <v>214</v>
      </c>
      <c r="J131" s="9" t="s">
        <v>53</v>
      </c>
      <c r="K131" s="9" t="s">
        <v>285</v>
      </c>
      <c r="L131" s="9">
        <v>3</v>
      </c>
      <c r="M131" s="9" t="s">
        <v>215</v>
      </c>
    </row>
    <row r="132" spans="1:13">
      <c r="A132" s="9" t="s">
        <v>282</v>
      </c>
      <c r="B132" s="13" t="s">
        <v>283</v>
      </c>
      <c r="C132" s="9" t="s">
        <v>205</v>
      </c>
      <c r="D132" s="9" t="s">
        <v>317</v>
      </c>
      <c r="E132" s="10">
        <v>33.44</v>
      </c>
      <c r="F132" s="10">
        <v>-120</v>
      </c>
      <c r="G132" s="9">
        <v>1951</v>
      </c>
      <c r="H132" s="9">
        <v>58</v>
      </c>
      <c r="I132" s="9" t="s">
        <v>201</v>
      </c>
      <c r="J132" s="9" t="s">
        <v>53</v>
      </c>
      <c r="K132" s="9" t="s">
        <v>285</v>
      </c>
      <c r="L132" s="9">
        <v>-6.9</v>
      </c>
      <c r="M132" s="9" t="s">
        <v>17</v>
      </c>
    </row>
    <row r="133" spans="1:13">
      <c r="A133" s="9" t="s">
        <v>282</v>
      </c>
      <c r="B133" s="13" t="s">
        <v>283</v>
      </c>
      <c r="C133" s="9" t="s">
        <v>205</v>
      </c>
      <c r="D133" s="9" t="s">
        <v>318</v>
      </c>
      <c r="E133" s="10">
        <v>33.44</v>
      </c>
      <c r="F133" s="10">
        <v>-120</v>
      </c>
      <c r="G133" s="9">
        <v>1951</v>
      </c>
      <c r="H133" s="9">
        <v>58</v>
      </c>
      <c r="I133" s="9" t="s">
        <v>201</v>
      </c>
      <c r="J133" s="9" t="s">
        <v>52</v>
      </c>
      <c r="K133" s="9" t="s">
        <v>285</v>
      </c>
      <c r="L133" s="9">
        <v>-1</v>
      </c>
      <c r="M133" s="9" t="s">
        <v>17</v>
      </c>
    </row>
    <row r="134" spans="1:13">
      <c r="A134" s="9" t="s">
        <v>282</v>
      </c>
      <c r="B134" s="13" t="s">
        <v>283</v>
      </c>
      <c r="C134" s="9" t="s">
        <v>205</v>
      </c>
      <c r="D134" s="9" t="s">
        <v>319</v>
      </c>
      <c r="E134" s="10">
        <v>33.44</v>
      </c>
      <c r="F134" s="10">
        <v>-120</v>
      </c>
      <c r="G134" s="9">
        <v>1951</v>
      </c>
      <c r="H134" s="9">
        <v>58</v>
      </c>
      <c r="I134" s="9" t="s">
        <v>201</v>
      </c>
      <c r="J134" s="9" t="s">
        <v>53</v>
      </c>
      <c r="K134" s="9" t="s">
        <v>285</v>
      </c>
      <c r="L134" s="9">
        <v>-5.6</v>
      </c>
      <c r="M134" s="9" t="s">
        <v>17</v>
      </c>
    </row>
    <row r="135" spans="1:13">
      <c r="A135" s="9" t="s">
        <v>282</v>
      </c>
      <c r="B135" s="13" t="s">
        <v>283</v>
      </c>
      <c r="C135" s="9" t="s">
        <v>205</v>
      </c>
      <c r="D135" s="9" t="s">
        <v>320</v>
      </c>
      <c r="E135" s="10">
        <v>33.44</v>
      </c>
      <c r="F135" s="10">
        <v>-120</v>
      </c>
      <c r="G135" s="9">
        <v>1951</v>
      </c>
      <c r="H135" s="9">
        <v>58</v>
      </c>
      <c r="I135" s="9" t="s">
        <v>214</v>
      </c>
      <c r="J135" s="9" t="s">
        <v>54</v>
      </c>
      <c r="K135" s="9" t="s">
        <v>285</v>
      </c>
      <c r="L135" s="9">
        <v>3.5</v>
      </c>
      <c r="M135" s="9" t="s">
        <v>215</v>
      </c>
    </row>
    <row r="136" spans="1:13">
      <c r="A136" s="9" t="s">
        <v>282</v>
      </c>
      <c r="B136" s="13" t="s">
        <v>283</v>
      </c>
      <c r="C136" s="9" t="s">
        <v>205</v>
      </c>
      <c r="D136" s="9" t="s">
        <v>321</v>
      </c>
      <c r="E136" s="10">
        <v>33.44</v>
      </c>
      <c r="F136" s="10">
        <v>-120</v>
      </c>
      <c r="G136" s="9">
        <v>1951</v>
      </c>
      <c r="H136" s="9">
        <v>58</v>
      </c>
      <c r="I136" s="9" t="s">
        <v>214</v>
      </c>
      <c r="J136" s="9" t="s">
        <v>55</v>
      </c>
      <c r="K136" s="9" t="s">
        <v>285</v>
      </c>
      <c r="L136" s="9">
        <v>0.5</v>
      </c>
      <c r="M136" s="9" t="s">
        <v>215</v>
      </c>
    </row>
    <row r="137" spans="1:13">
      <c r="A137" s="9" t="s">
        <v>282</v>
      </c>
      <c r="B137" s="13" t="s">
        <v>283</v>
      </c>
      <c r="C137" s="9" t="s">
        <v>205</v>
      </c>
      <c r="D137" s="9" t="s">
        <v>321</v>
      </c>
      <c r="E137" s="10">
        <v>33.44</v>
      </c>
      <c r="F137" s="10">
        <v>-120</v>
      </c>
      <c r="G137" s="9">
        <v>1951</v>
      </c>
      <c r="H137" s="9">
        <v>58</v>
      </c>
      <c r="I137" s="9" t="s">
        <v>214</v>
      </c>
      <c r="J137" s="9" t="s">
        <v>54</v>
      </c>
      <c r="K137" s="9" t="s">
        <v>285</v>
      </c>
      <c r="L137" s="9">
        <v>5.4</v>
      </c>
      <c r="M137" s="9" t="s">
        <v>215</v>
      </c>
    </row>
    <row r="138" spans="1:13">
      <c r="A138" s="9" t="s">
        <v>282</v>
      </c>
      <c r="B138" s="13" t="s">
        <v>283</v>
      </c>
      <c r="C138" s="9" t="s">
        <v>205</v>
      </c>
      <c r="D138" s="9" t="s">
        <v>322</v>
      </c>
      <c r="E138" s="10">
        <v>33.44</v>
      </c>
      <c r="F138" s="10">
        <v>-120</v>
      </c>
      <c r="G138" s="9">
        <v>1951</v>
      </c>
      <c r="H138" s="9">
        <v>58</v>
      </c>
      <c r="I138" s="9" t="s">
        <v>214</v>
      </c>
      <c r="J138" s="9" t="s">
        <v>54</v>
      </c>
      <c r="K138" s="9" t="s">
        <v>285</v>
      </c>
      <c r="L138" s="9">
        <v>16</v>
      </c>
      <c r="M138" s="9" t="s">
        <v>215</v>
      </c>
    </row>
    <row r="139" spans="1:13">
      <c r="A139" s="9" t="s">
        <v>282</v>
      </c>
      <c r="B139" s="13" t="s">
        <v>283</v>
      </c>
      <c r="C139" s="9" t="s">
        <v>205</v>
      </c>
      <c r="D139" s="9" t="s">
        <v>323</v>
      </c>
      <c r="E139" s="10">
        <v>33.44</v>
      </c>
      <c r="F139" s="10">
        <v>-120</v>
      </c>
      <c r="G139" s="9">
        <v>1951</v>
      </c>
      <c r="H139" s="9">
        <v>58</v>
      </c>
      <c r="I139" s="9" t="s">
        <v>214</v>
      </c>
      <c r="J139" s="9" t="s">
        <v>52</v>
      </c>
      <c r="K139" s="9" t="s">
        <v>285</v>
      </c>
      <c r="L139" s="9">
        <v>7.2</v>
      </c>
      <c r="M139" s="9" t="s">
        <v>215</v>
      </c>
    </row>
    <row r="140" spans="1:13">
      <c r="A140" s="9" t="s">
        <v>282</v>
      </c>
      <c r="B140" s="13" t="s">
        <v>283</v>
      </c>
      <c r="C140" s="9" t="s">
        <v>205</v>
      </c>
      <c r="D140" s="9" t="s">
        <v>323</v>
      </c>
      <c r="E140" s="10">
        <v>33.44</v>
      </c>
      <c r="F140" s="10">
        <v>-120</v>
      </c>
      <c r="G140" s="9">
        <v>1951</v>
      </c>
      <c r="H140" s="9">
        <v>58</v>
      </c>
      <c r="I140" s="9" t="s">
        <v>214</v>
      </c>
      <c r="J140" s="9" t="s">
        <v>53</v>
      </c>
      <c r="K140" s="9" t="s">
        <v>285</v>
      </c>
      <c r="L140" s="9">
        <v>3.4</v>
      </c>
      <c r="M140" s="9" t="s">
        <v>215</v>
      </c>
    </row>
    <row r="141" spans="1:13">
      <c r="A141" s="9" t="s">
        <v>282</v>
      </c>
      <c r="B141" s="13" t="s">
        <v>283</v>
      </c>
      <c r="C141" s="9" t="s">
        <v>205</v>
      </c>
      <c r="D141" s="9" t="s">
        <v>324</v>
      </c>
      <c r="E141" s="10">
        <v>33.44</v>
      </c>
      <c r="F141" s="10">
        <v>-120</v>
      </c>
      <c r="G141" s="9">
        <v>1951</v>
      </c>
      <c r="H141" s="9">
        <v>58</v>
      </c>
      <c r="I141" s="9" t="s">
        <v>201</v>
      </c>
      <c r="J141" s="9" t="s">
        <v>52</v>
      </c>
      <c r="K141" s="9" t="s">
        <v>285</v>
      </c>
      <c r="L141" s="9">
        <v>-0.7</v>
      </c>
      <c r="M141" s="9" t="s">
        <v>17</v>
      </c>
    </row>
    <row r="142" spans="1:13">
      <c r="A142" s="9" t="s">
        <v>282</v>
      </c>
      <c r="B142" s="13" t="s">
        <v>283</v>
      </c>
      <c r="C142" s="9" t="s">
        <v>205</v>
      </c>
      <c r="D142" s="9" t="s">
        <v>325</v>
      </c>
      <c r="E142" s="10">
        <v>33.44</v>
      </c>
      <c r="F142" s="10">
        <v>-120</v>
      </c>
      <c r="G142" s="9">
        <v>1951</v>
      </c>
      <c r="H142" s="9">
        <v>58</v>
      </c>
      <c r="I142" s="9" t="s">
        <v>201</v>
      </c>
      <c r="J142" s="9" t="s">
        <v>52</v>
      </c>
      <c r="K142" s="9" t="s">
        <v>285</v>
      </c>
      <c r="L142" s="9">
        <v>-1.8</v>
      </c>
      <c r="M142" s="9" t="s">
        <v>17</v>
      </c>
    </row>
    <row r="143" spans="1:13">
      <c r="A143" s="9" t="s">
        <v>282</v>
      </c>
      <c r="B143" s="13" t="s">
        <v>283</v>
      </c>
      <c r="C143" s="9" t="s">
        <v>205</v>
      </c>
      <c r="D143" s="9" t="s">
        <v>326</v>
      </c>
      <c r="E143" s="10">
        <v>33.44</v>
      </c>
      <c r="F143" s="10">
        <v>-120</v>
      </c>
      <c r="G143" s="9">
        <v>1951</v>
      </c>
      <c r="H143" s="9">
        <v>58</v>
      </c>
      <c r="I143" s="9" t="s">
        <v>214</v>
      </c>
      <c r="J143" s="9" t="s">
        <v>52</v>
      </c>
      <c r="K143" s="9" t="s">
        <v>285</v>
      </c>
      <c r="L143" s="9">
        <v>5.6</v>
      </c>
      <c r="M143" s="9" t="s">
        <v>215</v>
      </c>
    </row>
    <row r="144" spans="1:13">
      <c r="A144" s="14" t="s">
        <v>327</v>
      </c>
      <c r="B144" s="13" t="s">
        <v>204</v>
      </c>
      <c r="C144" s="9" t="s">
        <v>199</v>
      </c>
      <c r="D144" s="9" t="s">
        <v>328</v>
      </c>
      <c r="E144" s="10">
        <v>56.11</v>
      </c>
      <c r="F144" s="10">
        <v>3.3</v>
      </c>
      <c r="G144" s="9">
        <v>1960</v>
      </c>
      <c r="H144" s="9">
        <v>50</v>
      </c>
      <c r="I144" s="9" t="s">
        <v>223</v>
      </c>
      <c r="J144" s="9" t="s">
        <v>52</v>
      </c>
      <c r="K144" s="9" t="s">
        <v>329</v>
      </c>
      <c r="L144" s="11">
        <v>0</v>
      </c>
      <c r="M144" s="9" t="s">
        <v>223</v>
      </c>
    </row>
    <row r="145" spans="1:13">
      <c r="A145" s="14" t="s">
        <v>327</v>
      </c>
      <c r="B145" s="13" t="s">
        <v>204</v>
      </c>
      <c r="C145" s="9" t="s">
        <v>199</v>
      </c>
      <c r="D145" s="9" t="s">
        <v>328</v>
      </c>
      <c r="E145" s="10">
        <v>57.5</v>
      </c>
      <c r="F145" s="10">
        <v>-14.5</v>
      </c>
      <c r="G145" s="9">
        <v>1960</v>
      </c>
      <c r="H145" s="9">
        <v>50</v>
      </c>
      <c r="I145" s="9" t="s">
        <v>223</v>
      </c>
      <c r="J145" s="9" t="s">
        <v>52</v>
      </c>
      <c r="K145" s="9" t="s">
        <v>329</v>
      </c>
      <c r="L145" s="11">
        <v>0</v>
      </c>
      <c r="M145" s="9" t="s">
        <v>223</v>
      </c>
    </row>
    <row r="148" spans="1:13">
      <c r="A148" s="15" t="s">
        <v>189</v>
      </c>
      <c r="B148" s="15" t="s">
        <v>190</v>
      </c>
      <c r="C148" s="15" t="s">
        <v>11</v>
      </c>
      <c r="D148" s="15" t="s">
        <v>12</v>
      </c>
      <c r="E148" s="15" t="s">
        <v>330</v>
      </c>
      <c r="F148" s="15" t="s">
        <v>4</v>
      </c>
      <c r="G148" s="15" t="s">
        <v>5</v>
      </c>
      <c r="H148" s="15" t="s">
        <v>191</v>
      </c>
      <c r="I148" s="15" t="s">
        <v>192</v>
      </c>
      <c r="J148" s="15" t="s">
        <v>193</v>
      </c>
      <c r="K148" s="15" t="s">
        <v>195</v>
      </c>
      <c r="L148" s="15" t="s">
        <v>196</v>
      </c>
    </row>
    <row r="149" spans="1:13" s="4" customFormat="1">
      <c r="A149" s="4" t="s">
        <v>331</v>
      </c>
      <c r="B149" s="4" t="s">
        <v>204</v>
      </c>
      <c r="C149" s="4" t="s">
        <v>199</v>
      </c>
      <c r="D149" s="4" t="s">
        <v>332</v>
      </c>
      <c r="E149" s="4" t="s">
        <v>333</v>
      </c>
      <c r="F149" s="4">
        <v>62</v>
      </c>
      <c r="G149" s="4">
        <v>-3</v>
      </c>
      <c r="H149" s="4">
        <v>1958</v>
      </c>
      <c r="I149" s="4">
        <v>48</v>
      </c>
      <c r="J149" s="4" t="s">
        <v>334</v>
      </c>
      <c r="K149" s="4">
        <v>231.6</v>
      </c>
      <c r="L149" s="4" t="s">
        <v>17</v>
      </c>
    </row>
    <row r="150" spans="1:13" s="4" customFormat="1">
      <c r="A150" s="4" t="s">
        <v>331</v>
      </c>
      <c r="B150" s="4" t="s">
        <v>204</v>
      </c>
      <c r="C150" s="4" t="s">
        <v>199</v>
      </c>
      <c r="D150" s="4" t="s">
        <v>66</v>
      </c>
      <c r="E150" s="4" t="s">
        <v>333</v>
      </c>
      <c r="F150" s="4">
        <v>62</v>
      </c>
      <c r="G150" s="4">
        <v>3</v>
      </c>
      <c r="H150" s="4">
        <v>1958</v>
      </c>
      <c r="I150" s="4">
        <v>48</v>
      </c>
      <c r="J150" s="4" t="s">
        <v>334</v>
      </c>
      <c r="K150" s="4">
        <v>217.5</v>
      </c>
      <c r="L150" s="4" t="s">
        <v>17</v>
      </c>
    </row>
    <row r="151" spans="1:13" s="4" customFormat="1">
      <c r="A151" s="4" t="s">
        <v>331</v>
      </c>
      <c r="B151" s="4" t="s">
        <v>204</v>
      </c>
      <c r="C151" s="4" t="s">
        <v>199</v>
      </c>
      <c r="D151" s="4" t="s">
        <v>335</v>
      </c>
      <c r="E151" s="4" t="s">
        <v>333</v>
      </c>
      <c r="F151" s="4">
        <v>48</v>
      </c>
      <c r="G151" s="4">
        <v>-5</v>
      </c>
      <c r="H151" s="4">
        <v>1958</v>
      </c>
      <c r="I151" s="4">
        <v>48</v>
      </c>
      <c r="J151" s="4" t="s">
        <v>334</v>
      </c>
      <c r="K151" s="4">
        <v>138.75</v>
      </c>
      <c r="L151" s="4" t="s">
        <v>17</v>
      </c>
    </row>
    <row r="152" spans="1:13" s="4" customFormat="1">
      <c r="A152" s="4" t="s">
        <v>331</v>
      </c>
      <c r="B152" s="4" t="s">
        <v>204</v>
      </c>
      <c r="C152" s="4" t="s">
        <v>199</v>
      </c>
      <c r="D152" s="4" t="s">
        <v>336</v>
      </c>
      <c r="E152" s="4" t="s">
        <v>333</v>
      </c>
      <c r="F152" s="4">
        <v>51</v>
      </c>
      <c r="G152" s="4">
        <v>-19</v>
      </c>
      <c r="H152" s="4">
        <v>1958</v>
      </c>
      <c r="I152" s="4">
        <v>48</v>
      </c>
      <c r="J152" s="4" t="s">
        <v>334</v>
      </c>
      <c r="K152" s="4">
        <v>46.25</v>
      </c>
      <c r="L152" s="4" t="s">
        <v>17</v>
      </c>
    </row>
    <row r="153" spans="1:13" s="4" customFormat="1">
      <c r="A153" s="4" t="s">
        <v>331</v>
      </c>
      <c r="B153" s="4" t="s">
        <v>204</v>
      </c>
      <c r="C153" s="4" t="s">
        <v>199</v>
      </c>
      <c r="D153" s="4" t="s">
        <v>337</v>
      </c>
      <c r="E153" s="4" t="s">
        <v>338</v>
      </c>
      <c r="F153" s="4">
        <v>63</v>
      </c>
      <c r="G153" s="4">
        <v>0</v>
      </c>
      <c r="H153" s="4">
        <v>1958</v>
      </c>
      <c r="I153" s="4">
        <v>48</v>
      </c>
      <c r="J153" s="4" t="s">
        <v>339</v>
      </c>
      <c r="K153" s="4">
        <v>-161.88</v>
      </c>
      <c r="L153" s="4" t="s">
        <v>17</v>
      </c>
    </row>
    <row r="154" spans="1:13" s="4" customFormat="1">
      <c r="A154" s="4" t="s">
        <v>331</v>
      </c>
      <c r="B154" s="4" t="s">
        <v>204</v>
      </c>
      <c r="C154" s="4" t="s">
        <v>199</v>
      </c>
      <c r="D154" s="4" t="s">
        <v>340</v>
      </c>
      <c r="E154" s="4" t="s">
        <v>338</v>
      </c>
      <c r="F154" s="4">
        <v>63</v>
      </c>
      <c r="G154" s="4">
        <v>0</v>
      </c>
      <c r="H154" s="4">
        <v>1958</v>
      </c>
      <c r="I154" s="4">
        <v>48</v>
      </c>
      <c r="J154" s="4" t="s">
        <v>339</v>
      </c>
      <c r="K154" s="4">
        <v>-92.6</v>
      </c>
      <c r="L154" s="4" t="s">
        <v>17</v>
      </c>
    </row>
    <row r="155" spans="1:13" s="4" customFormat="1">
      <c r="A155" s="4" t="s">
        <v>331</v>
      </c>
      <c r="B155" s="4" t="s">
        <v>204</v>
      </c>
      <c r="C155" s="4" t="s">
        <v>199</v>
      </c>
      <c r="D155" s="4" t="s">
        <v>341</v>
      </c>
      <c r="E155" s="4" t="s">
        <v>338</v>
      </c>
      <c r="F155" s="4">
        <v>63</v>
      </c>
      <c r="G155" s="4">
        <v>0</v>
      </c>
      <c r="H155" s="4">
        <v>1958</v>
      </c>
      <c r="I155" s="4">
        <v>48</v>
      </c>
      <c r="J155" s="4" t="s">
        <v>339</v>
      </c>
      <c r="K155" s="4">
        <v>-46.25</v>
      </c>
      <c r="L155" s="4" t="s">
        <v>17</v>
      </c>
    </row>
    <row r="156" spans="1:13" s="4" customFormat="1">
      <c r="A156" s="4" t="s">
        <v>331</v>
      </c>
      <c r="B156" s="4" t="s">
        <v>204</v>
      </c>
      <c r="C156" s="4" t="s">
        <v>199</v>
      </c>
      <c r="D156" s="4" t="s">
        <v>342</v>
      </c>
      <c r="E156" s="4" t="s">
        <v>333</v>
      </c>
      <c r="F156" s="4">
        <v>55</v>
      </c>
      <c r="G156" s="4">
        <v>4</v>
      </c>
      <c r="H156" s="4">
        <v>1958</v>
      </c>
      <c r="I156" s="4">
        <v>48</v>
      </c>
      <c r="J156" s="4" t="s">
        <v>334</v>
      </c>
      <c r="K156" s="4">
        <v>46.25</v>
      </c>
      <c r="L156" s="4" t="s">
        <v>17</v>
      </c>
    </row>
    <row r="157" spans="1:13" s="4" customFormat="1">
      <c r="A157" s="4" t="s">
        <v>331</v>
      </c>
      <c r="B157" s="4" t="s">
        <v>204</v>
      </c>
      <c r="C157" s="4" t="s">
        <v>199</v>
      </c>
      <c r="D157" s="4" t="s">
        <v>110</v>
      </c>
      <c r="E157" s="4" t="s">
        <v>338</v>
      </c>
      <c r="F157" s="4">
        <v>63</v>
      </c>
      <c r="G157" s="4">
        <v>0</v>
      </c>
      <c r="H157" s="4">
        <v>1958</v>
      </c>
      <c r="I157" s="4">
        <v>48</v>
      </c>
      <c r="J157" s="4" t="s">
        <v>339</v>
      </c>
      <c r="K157" s="4">
        <v>-57.81</v>
      </c>
      <c r="L157" s="4" t="s">
        <v>17</v>
      </c>
    </row>
    <row r="158" spans="1:13" s="4" customFormat="1">
      <c r="A158" s="4" t="s">
        <v>343</v>
      </c>
      <c r="B158" s="4" t="s">
        <v>204</v>
      </c>
      <c r="C158" s="4" t="s">
        <v>199</v>
      </c>
      <c r="D158" s="4" t="s">
        <v>65</v>
      </c>
      <c r="E158" s="4" t="s">
        <v>344</v>
      </c>
      <c r="F158" s="4">
        <v>48</v>
      </c>
      <c r="G158" s="4">
        <v>-5</v>
      </c>
      <c r="H158" s="4">
        <v>1958</v>
      </c>
      <c r="I158" s="4">
        <v>45</v>
      </c>
      <c r="J158" s="4" t="s">
        <v>334</v>
      </c>
      <c r="K158" s="4">
        <v>9.8699999999999992</v>
      </c>
      <c r="L158" s="4" t="s">
        <v>17</v>
      </c>
    </row>
    <row r="159" spans="1:13" s="4" customFormat="1">
      <c r="A159" s="4" t="s">
        <v>343</v>
      </c>
      <c r="B159" s="4" t="s">
        <v>204</v>
      </c>
      <c r="C159" s="4" t="s">
        <v>199</v>
      </c>
      <c r="D159" s="4" t="s">
        <v>66</v>
      </c>
      <c r="E159" s="4" t="s">
        <v>344</v>
      </c>
      <c r="F159" s="4">
        <v>48</v>
      </c>
      <c r="G159" s="4">
        <v>-5</v>
      </c>
      <c r="H159" s="4">
        <v>1958</v>
      </c>
      <c r="I159" s="4">
        <v>45</v>
      </c>
      <c r="J159" s="4" t="s">
        <v>334</v>
      </c>
      <c r="K159" s="4">
        <v>12.33</v>
      </c>
      <c r="L159" s="4" t="s">
        <v>17</v>
      </c>
    </row>
    <row r="160" spans="1:13" s="4" customFormat="1">
      <c r="A160" s="4" t="s">
        <v>345</v>
      </c>
      <c r="B160" s="4" t="s">
        <v>346</v>
      </c>
      <c r="C160" s="4" t="s">
        <v>199</v>
      </c>
      <c r="D160" s="4" t="s">
        <v>347</v>
      </c>
      <c r="E160" s="4" t="s">
        <v>333</v>
      </c>
      <c r="F160" s="4">
        <v>-53</v>
      </c>
      <c r="G160" s="4">
        <v>148</v>
      </c>
      <c r="H160" s="4">
        <v>1983</v>
      </c>
      <c r="I160" s="4">
        <v>24</v>
      </c>
      <c r="J160" s="4" t="s">
        <v>334</v>
      </c>
      <c r="K160" s="4">
        <v>693.75</v>
      </c>
      <c r="L160" s="4" t="s">
        <v>17</v>
      </c>
    </row>
    <row r="161" spans="1:12" s="4" customFormat="1">
      <c r="A161" s="4" t="s">
        <v>348</v>
      </c>
      <c r="B161" s="4" t="s">
        <v>349</v>
      </c>
      <c r="C161" s="4" t="s">
        <v>152</v>
      </c>
      <c r="D161" s="4" t="s">
        <v>350</v>
      </c>
      <c r="E161" s="4" t="s">
        <v>333</v>
      </c>
      <c r="F161" s="4">
        <v>-34</v>
      </c>
      <c r="G161" s="4">
        <v>151.5</v>
      </c>
      <c r="H161" s="4">
        <v>1950</v>
      </c>
      <c r="I161" s="4">
        <v>56</v>
      </c>
      <c r="J161" s="4" t="s">
        <v>334</v>
      </c>
      <c r="K161" s="4">
        <v>406</v>
      </c>
      <c r="L161" s="4" t="s">
        <v>17</v>
      </c>
    </row>
    <row r="162" spans="1:12" s="4" customFormat="1">
      <c r="A162" s="4" t="s">
        <v>351</v>
      </c>
      <c r="B162" s="4" t="s">
        <v>204</v>
      </c>
      <c r="C162" s="4" t="s">
        <v>152</v>
      </c>
      <c r="D162" s="4" t="s">
        <v>352</v>
      </c>
      <c r="E162" s="4" t="s">
        <v>333</v>
      </c>
      <c r="F162" s="4">
        <v>54</v>
      </c>
      <c r="G162" s="4">
        <v>-12</v>
      </c>
      <c r="H162" s="4">
        <v>1958</v>
      </c>
      <c r="I162" s="4">
        <v>47</v>
      </c>
      <c r="J162" s="4" t="s">
        <v>334</v>
      </c>
      <c r="K162" s="4">
        <v>310</v>
      </c>
      <c r="L162" s="4" t="s">
        <v>17</v>
      </c>
    </row>
    <row r="163" spans="1:12" s="4" customFormat="1">
      <c r="A163" s="4" t="s">
        <v>353</v>
      </c>
      <c r="B163" s="4" t="s">
        <v>283</v>
      </c>
      <c r="C163" s="4" t="s">
        <v>205</v>
      </c>
      <c r="D163" s="4" t="s">
        <v>318</v>
      </c>
      <c r="E163" s="4" t="s">
        <v>344</v>
      </c>
      <c r="F163" s="4">
        <v>33</v>
      </c>
      <c r="G163" s="4">
        <v>-121</v>
      </c>
      <c r="H163" s="4">
        <v>1951</v>
      </c>
      <c r="I163" s="4">
        <v>52</v>
      </c>
      <c r="J163" s="4" t="s">
        <v>334</v>
      </c>
      <c r="K163" s="4">
        <v>3.24</v>
      </c>
      <c r="L163" s="4" t="s">
        <v>17</v>
      </c>
    </row>
    <row r="164" spans="1:12" s="4" customFormat="1">
      <c r="A164" s="4" t="s">
        <v>353</v>
      </c>
      <c r="B164" s="4" t="s">
        <v>283</v>
      </c>
      <c r="C164" s="4" t="s">
        <v>205</v>
      </c>
      <c r="D164" s="4" t="s">
        <v>354</v>
      </c>
      <c r="E164" s="4" t="s">
        <v>344</v>
      </c>
      <c r="F164" s="4">
        <v>33</v>
      </c>
      <c r="G164" s="4">
        <v>-121</v>
      </c>
      <c r="H164" s="4">
        <v>1951</v>
      </c>
      <c r="I164" s="4">
        <v>52</v>
      </c>
      <c r="J164" s="4" t="s">
        <v>334</v>
      </c>
      <c r="K164" s="4">
        <v>2.31</v>
      </c>
      <c r="L164" s="4" t="s">
        <v>17</v>
      </c>
    </row>
    <row r="165" spans="1:12" s="4" customFormat="1">
      <c r="A165" s="4" t="s">
        <v>353</v>
      </c>
      <c r="B165" s="4" t="s">
        <v>283</v>
      </c>
      <c r="C165" s="4" t="s">
        <v>205</v>
      </c>
      <c r="D165" s="4" t="s">
        <v>324</v>
      </c>
      <c r="E165" s="4" t="s">
        <v>344</v>
      </c>
      <c r="F165" s="4">
        <v>33</v>
      </c>
      <c r="G165" s="4">
        <v>-121</v>
      </c>
      <c r="H165" s="4">
        <v>1951</v>
      </c>
      <c r="I165" s="4">
        <v>52</v>
      </c>
      <c r="J165" s="4" t="s">
        <v>334</v>
      </c>
      <c r="K165" s="4">
        <v>3.23</v>
      </c>
      <c r="L165" s="4" t="s">
        <v>17</v>
      </c>
    </row>
    <row r="166" spans="1:12" s="4" customFormat="1">
      <c r="A166" s="4" t="s">
        <v>353</v>
      </c>
      <c r="B166" s="4" t="s">
        <v>283</v>
      </c>
      <c r="C166" s="4" t="s">
        <v>205</v>
      </c>
      <c r="D166" s="4" t="s">
        <v>313</v>
      </c>
      <c r="E166" s="4" t="s">
        <v>344</v>
      </c>
      <c r="F166" s="4">
        <v>33</v>
      </c>
      <c r="G166" s="4">
        <v>-121</v>
      </c>
      <c r="H166" s="4">
        <v>1951</v>
      </c>
      <c r="I166" s="4">
        <v>52</v>
      </c>
      <c r="J166" s="4" t="s">
        <v>334</v>
      </c>
      <c r="K166" s="4">
        <v>3.24</v>
      </c>
      <c r="L166" s="4" t="s">
        <v>17</v>
      </c>
    </row>
    <row r="167" spans="1:12" s="4" customFormat="1">
      <c r="A167" s="4" t="s">
        <v>353</v>
      </c>
      <c r="B167" s="4" t="s">
        <v>283</v>
      </c>
      <c r="C167" s="4" t="s">
        <v>205</v>
      </c>
      <c r="D167" s="4" t="s">
        <v>290</v>
      </c>
      <c r="E167" s="4" t="s">
        <v>344</v>
      </c>
      <c r="F167" s="4">
        <v>33</v>
      </c>
      <c r="G167" s="4">
        <v>-121</v>
      </c>
      <c r="H167" s="4">
        <v>1951</v>
      </c>
      <c r="I167" s="4">
        <v>52</v>
      </c>
      <c r="J167" s="4" t="s">
        <v>334</v>
      </c>
      <c r="K167" s="4">
        <v>2.31</v>
      </c>
      <c r="L167" s="4" t="s">
        <v>17</v>
      </c>
    </row>
    <row r="168" spans="1:12" s="4" customFormat="1">
      <c r="A168" s="4" t="s">
        <v>353</v>
      </c>
      <c r="B168" s="4" t="s">
        <v>283</v>
      </c>
      <c r="C168" s="4" t="s">
        <v>205</v>
      </c>
      <c r="D168" s="4" t="s">
        <v>355</v>
      </c>
      <c r="E168" s="4" t="s">
        <v>344</v>
      </c>
      <c r="F168" s="4">
        <v>33</v>
      </c>
      <c r="G168" s="4">
        <v>-121</v>
      </c>
      <c r="H168" s="4">
        <v>1951</v>
      </c>
      <c r="I168" s="4">
        <v>52</v>
      </c>
      <c r="J168" s="4" t="s">
        <v>334</v>
      </c>
      <c r="K168" s="4">
        <v>3.24</v>
      </c>
      <c r="L168" s="4" t="s">
        <v>17</v>
      </c>
    </row>
    <row r="169" spans="1:12" s="4" customFormat="1">
      <c r="A169" s="4" t="s">
        <v>353</v>
      </c>
      <c r="B169" s="4" t="s">
        <v>283</v>
      </c>
      <c r="C169" s="4" t="s">
        <v>205</v>
      </c>
      <c r="D169" s="4" t="s">
        <v>326</v>
      </c>
      <c r="E169" s="4" t="s">
        <v>344</v>
      </c>
      <c r="F169" s="4">
        <v>33</v>
      </c>
      <c r="G169" s="4">
        <v>-121</v>
      </c>
      <c r="H169" s="4">
        <v>1951</v>
      </c>
      <c r="I169" s="4">
        <v>52</v>
      </c>
      <c r="J169" s="4" t="s">
        <v>334</v>
      </c>
      <c r="K169" s="4">
        <v>5.09</v>
      </c>
      <c r="L169" s="4" t="s">
        <v>17</v>
      </c>
    </row>
    <row r="170" spans="1:12" s="4" customFormat="1">
      <c r="A170" s="4" t="s">
        <v>353</v>
      </c>
      <c r="B170" s="4" t="s">
        <v>283</v>
      </c>
      <c r="C170" s="4" t="s">
        <v>205</v>
      </c>
      <c r="D170" s="4" t="s">
        <v>284</v>
      </c>
      <c r="E170" s="4" t="s">
        <v>344</v>
      </c>
      <c r="F170" s="4">
        <v>33</v>
      </c>
      <c r="G170" s="4">
        <v>-121</v>
      </c>
      <c r="H170" s="4">
        <v>1951</v>
      </c>
      <c r="I170" s="4">
        <v>52</v>
      </c>
      <c r="J170" s="4" t="s">
        <v>334</v>
      </c>
      <c r="K170" s="4">
        <v>3.7</v>
      </c>
      <c r="L170" s="4" t="s">
        <v>17</v>
      </c>
    </row>
    <row r="171" spans="1:12" s="4" customFormat="1">
      <c r="A171" s="4" t="s">
        <v>353</v>
      </c>
      <c r="B171" s="4" t="s">
        <v>283</v>
      </c>
      <c r="C171" s="4" t="s">
        <v>205</v>
      </c>
      <c r="D171" s="4" t="s">
        <v>356</v>
      </c>
      <c r="E171" s="4" t="s">
        <v>344</v>
      </c>
      <c r="F171" s="4">
        <v>33</v>
      </c>
      <c r="G171" s="4">
        <v>-121</v>
      </c>
      <c r="H171" s="4">
        <v>1951</v>
      </c>
      <c r="I171" s="4">
        <v>52</v>
      </c>
      <c r="J171" s="4" t="s">
        <v>334</v>
      </c>
      <c r="K171" s="4">
        <v>6.01</v>
      </c>
      <c r="L171" s="4" t="s">
        <v>17</v>
      </c>
    </row>
    <row r="172" spans="1:12" s="4" customFormat="1">
      <c r="A172" s="4" t="s">
        <v>353</v>
      </c>
      <c r="B172" s="4" t="s">
        <v>283</v>
      </c>
      <c r="C172" s="4" t="s">
        <v>205</v>
      </c>
      <c r="D172" s="4" t="s">
        <v>310</v>
      </c>
      <c r="E172" s="4" t="s">
        <v>344</v>
      </c>
      <c r="F172" s="4">
        <v>33</v>
      </c>
      <c r="G172" s="4">
        <v>-121</v>
      </c>
      <c r="H172" s="4">
        <v>1951</v>
      </c>
      <c r="I172" s="4">
        <v>52</v>
      </c>
      <c r="J172" s="4" t="s">
        <v>334</v>
      </c>
      <c r="K172" s="4">
        <v>7.4</v>
      </c>
      <c r="L172" s="4" t="s">
        <v>17</v>
      </c>
    </row>
    <row r="173" spans="1:12" s="4" customFormat="1">
      <c r="A173" s="4" t="s">
        <v>353</v>
      </c>
      <c r="B173" s="4" t="s">
        <v>283</v>
      </c>
      <c r="C173" s="4" t="s">
        <v>205</v>
      </c>
      <c r="D173" s="4" t="s">
        <v>315</v>
      </c>
      <c r="E173" s="4" t="s">
        <v>344</v>
      </c>
      <c r="F173" s="4">
        <v>33</v>
      </c>
      <c r="G173" s="4">
        <v>-121</v>
      </c>
      <c r="H173" s="4">
        <v>1951</v>
      </c>
      <c r="I173" s="4">
        <v>52</v>
      </c>
      <c r="J173" s="4" t="s">
        <v>334</v>
      </c>
      <c r="K173" s="4">
        <v>7.4</v>
      </c>
      <c r="L173" s="4" t="s">
        <v>17</v>
      </c>
    </row>
    <row r="174" spans="1:12" s="4" customFormat="1">
      <c r="A174" s="4" t="s">
        <v>353</v>
      </c>
      <c r="B174" s="4" t="s">
        <v>283</v>
      </c>
      <c r="C174" s="4" t="s">
        <v>205</v>
      </c>
      <c r="D174" s="4" t="s">
        <v>287</v>
      </c>
      <c r="E174" s="4" t="s">
        <v>344</v>
      </c>
      <c r="F174" s="4">
        <v>33</v>
      </c>
      <c r="G174" s="4">
        <v>-121</v>
      </c>
      <c r="H174" s="4">
        <v>1951</v>
      </c>
      <c r="I174" s="4">
        <v>52</v>
      </c>
      <c r="J174" s="4" t="s">
        <v>334</v>
      </c>
      <c r="K174" s="4">
        <v>7.4</v>
      </c>
      <c r="L174" s="4" t="s">
        <v>17</v>
      </c>
    </row>
    <row r="175" spans="1:12" s="4" customFormat="1">
      <c r="A175" s="4" t="s">
        <v>353</v>
      </c>
      <c r="B175" s="4" t="s">
        <v>283</v>
      </c>
      <c r="C175" s="4" t="s">
        <v>205</v>
      </c>
      <c r="D175" s="4" t="s">
        <v>357</v>
      </c>
      <c r="E175" s="4" t="s">
        <v>344</v>
      </c>
      <c r="F175" s="4">
        <v>33</v>
      </c>
      <c r="G175" s="4">
        <v>-121</v>
      </c>
      <c r="H175" s="4">
        <v>1951</v>
      </c>
      <c r="I175" s="4">
        <v>52</v>
      </c>
      <c r="J175" s="4" t="s">
        <v>334</v>
      </c>
      <c r="K175" s="4">
        <v>7.4</v>
      </c>
      <c r="L175" s="4" t="s">
        <v>17</v>
      </c>
    </row>
    <row r="176" spans="1:12" s="4" customFormat="1">
      <c r="A176" s="4" t="s">
        <v>353</v>
      </c>
      <c r="B176" s="4" t="s">
        <v>283</v>
      </c>
      <c r="C176" s="4" t="s">
        <v>205</v>
      </c>
      <c r="D176" s="4" t="s">
        <v>319</v>
      </c>
      <c r="E176" s="4" t="s">
        <v>344</v>
      </c>
      <c r="F176" s="4">
        <v>33</v>
      </c>
      <c r="G176" s="4">
        <v>-121</v>
      </c>
      <c r="H176" s="4">
        <v>1951</v>
      </c>
      <c r="I176" s="4">
        <v>52</v>
      </c>
      <c r="J176" s="4" t="s">
        <v>334</v>
      </c>
      <c r="K176" s="4">
        <v>7.4</v>
      </c>
      <c r="L176" s="4" t="s">
        <v>17</v>
      </c>
    </row>
    <row r="177" spans="1:12" s="4" customFormat="1">
      <c r="A177" s="4" t="s">
        <v>353</v>
      </c>
      <c r="B177" s="4" t="s">
        <v>283</v>
      </c>
      <c r="C177" s="4" t="s">
        <v>205</v>
      </c>
      <c r="D177" s="4" t="s">
        <v>358</v>
      </c>
      <c r="E177" s="4" t="s">
        <v>344</v>
      </c>
      <c r="F177" s="4">
        <v>33</v>
      </c>
      <c r="G177" s="4">
        <v>-121</v>
      </c>
      <c r="H177" s="4">
        <v>1951</v>
      </c>
      <c r="I177" s="4">
        <v>52</v>
      </c>
      <c r="J177" s="4" t="s">
        <v>334</v>
      </c>
      <c r="K177" s="4">
        <v>7.86</v>
      </c>
      <c r="L177" s="4" t="s">
        <v>17</v>
      </c>
    </row>
    <row r="178" spans="1:12" s="4" customFormat="1">
      <c r="A178" s="4" t="s">
        <v>353</v>
      </c>
      <c r="B178" s="4" t="s">
        <v>283</v>
      </c>
      <c r="C178" s="4" t="s">
        <v>205</v>
      </c>
      <c r="D178" s="4" t="s">
        <v>359</v>
      </c>
      <c r="E178" s="4" t="s">
        <v>344</v>
      </c>
      <c r="F178" s="4">
        <v>33</v>
      </c>
      <c r="G178" s="4">
        <v>-121</v>
      </c>
      <c r="H178" s="4">
        <v>1951</v>
      </c>
      <c r="I178" s="4">
        <v>52</v>
      </c>
      <c r="J178" s="4" t="s">
        <v>334</v>
      </c>
      <c r="K178" s="4">
        <v>8.7899999999999991</v>
      </c>
      <c r="L178" s="4" t="s">
        <v>17</v>
      </c>
    </row>
    <row r="179" spans="1:12" s="4" customFormat="1">
      <c r="A179" s="4" t="s">
        <v>353</v>
      </c>
      <c r="B179" s="4" t="s">
        <v>283</v>
      </c>
      <c r="C179" s="4" t="s">
        <v>205</v>
      </c>
      <c r="D179" s="4" t="s">
        <v>323</v>
      </c>
      <c r="E179" s="4" t="s">
        <v>344</v>
      </c>
      <c r="F179" s="4">
        <v>33</v>
      </c>
      <c r="G179" s="4">
        <v>-121</v>
      </c>
      <c r="H179" s="4">
        <v>1951</v>
      </c>
      <c r="I179" s="4">
        <v>52</v>
      </c>
      <c r="J179" s="4" t="s">
        <v>334</v>
      </c>
      <c r="K179" s="4">
        <v>7.4</v>
      </c>
      <c r="L179" s="4" t="s">
        <v>17</v>
      </c>
    </row>
    <row r="180" spans="1:12" s="4" customFormat="1">
      <c r="A180" s="4" t="s">
        <v>353</v>
      </c>
      <c r="B180" s="4" t="s">
        <v>283</v>
      </c>
      <c r="C180" s="4" t="s">
        <v>205</v>
      </c>
      <c r="D180" s="4" t="s">
        <v>286</v>
      </c>
      <c r="E180" s="4" t="s">
        <v>344</v>
      </c>
      <c r="F180" s="4">
        <v>33</v>
      </c>
      <c r="G180" s="4">
        <v>-121</v>
      </c>
      <c r="H180" s="4">
        <v>1951</v>
      </c>
      <c r="I180" s="4">
        <v>52</v>
      </c>
      <c r="J180" s="4" t="s">
        <v>334</v>
      </c>
      <c r="K180" s="4">
        <v>10.18</v>
      </c>
      <c r="L180" s="4" t="s">
        <v>17</v>
      </c>
    </row>
    <row r="181" spans="1:12" s="4" customFormat="1">
      <c r="A181" s="4" t="s">
        <v>353</v>
      </c>
      <c r="B181" s="4" t="s">
        <v>283</v>
      </c>
      <c r="C181" s="4" t="s">
        <v>205</v>
      </c>
      <c r="D181" s="4" t="s">
        <v>360</v>
      </c>
      <c r="E181" s="4" t="s">
        <v>344</v>
      </c>
      <c r="F181" s="4">
        <v>33</v>
      </c>
      <c r="G181" s="4">
        <v>-121</v>
      </c>
      <c r="H181" s="4">
        <v>1951</v>
      </c>
      <c r="I181" s="4">
        <v>52</v>
      </c>
      <c r="J181" s="4" t="s">
        <v>334</v>
      </c>
      <c r="K181" s="4">
        <v>9.25</v>
      </c>
      <c r="L181" s="4" t="s">
        <v>17</v>
      </c>
    </row>
    <row r="182" spans="1:12" s="4" customFormat="1">
      <c r="A182" s="4" t="s">
        <v>353</v>
      </c>
      <c r="B182" s="4" t="s">
        <v>283</v>
      </c>
      <c r="C182" s="4" t="s">
        <v>205</v>
      </c>
      <c r="D182" s="4" t="s">
        <v>325</v>
      </c>
      <c r="E182" s="4" t="s">
        <v>344</v>
      </c>
      <c r="F182" s="4">
        <v>33</v>
      </c>
      <c r="G182" s="4">
        <v>-121</v>
      </c>
      <c r="H182" s="4">
        <v>1951</v>
      </c>
      <c r="I182" s="4">
        <v>52</v>
      </c>
      <c r="J182" s="4" t="s">
        <v>334</v>
      </c>
      <c r="K182" s="4">
        <v>10.64</v>
      </c>
      <c r="L182" s="4" t="s">
        <v>17</v>
      </c>
    </row>
    <row r="183" spans="1:12" s="4" customFormat="1">
      <c r="A183" s="4" t="s">
        <v>353</v>
      </c>
      <c r="B183" s="4" t="s">
        <v>283</v>
      </c>
      <c r="C183" s="4" t="s">
        <v>205</v>
      </c>
      <c r="D183" s="4" t="s">
        <v>361</v>
      </c>
      <c r="E183" s="4" t="s">
        <v>344</v>
      </c>
      <c r="F183" s="4">
        <v>33</v>
      </c>
      <c r="G183" s="4">
        <v>-121</v>
      </c>
      <c r="H183" s="4">
        <v>1951</v>
      </c>
      <c r="I183" s="4">
        <v>52</v>
      </c>
      <c r="J183" s="4" t="s">
        <v>334</v>
      </c>
      <c r="K183" s="4">
        <v>13.41</v>
      </c>
      <c r="L183" s="4" t="s">
        <v>17</v>
      </c>
    </row>
    <row r="184" spans="1:12" s="4" customFormat="1">
      <c r="A184" s="4" t="s">
        <v>353</v>
      </c>
      <c r="B184" s="4" t="s">
        <v>283</v>
      </c>
      <c r="C184" s="4" t="s">
        <v>205</v>
      </c>
      <c r="D184" s="4" t="s">
        <v>308</v>
      </c>
      <c r="E184" s="4" t="s">
        <v>344</v>
      </c>
      <c r="F184" s="4">
        <v>33</v>
      </c>
      <c r="G184" s="4">
        <v>-121</v>
      </c>
      <c r="H184" s="4">
        <v>1951</v>
      </c>
      <c r="I184" s="4">
        <v>52</v>
      </c>
      <c r="J184" s="4" t="s">
        <v>334</v>
      </c>
      <c r="K184" s="4">
        <v>17.579999999999998</v>
      </c>
      <c r="L184" s="4" t="s">
        <v>17</v>
      </c>
    </row>
    <row r="185" spans="1:12" s="4" customFormat="1">
      <c r="A185" s="4" t="s">
        <v>353</v>
      </c>
      <c r="B185" s="4" t="s">
        <v>283</v>
      </c>
      <c r="C185" s="4" t="s">
        <v>205</v>
      </c>
      <c r="D185" s="4" t="s">
        <v>362</v>
      </c>
      <c r="E185" s="4" t="s">
        <v>344</v>
      </c>
      <c r="F185" s="4">
        <v>33</v>
      </c>
      <c r="G185" s="4">
        <v>-121</v>
      </c>
      <c r="H185" s="4">
        <v>1951</v>
      </c>
      <c r="I185" s="4">
        <v>52</v>
      </c>
      <c r="J185" s="4" t="s">
        <v>363</v>
      </c>
      <c r="K185" s="4">
        <v>0</v>
      </c>
      <c r="L185" s="4" t="s">
        <v>223</v>
      </c>
    </row>
    <row r="186" spans="1:12" s="4" customFormat="1">
      <c r="A186" s="4" t="s">
        <v>353</v>
      </c>
      <c r="B186" s="4" t="s">
        <v>283</v>
      </c>
      <c r="C186" s="4" t="s">
        <v>205</v>
      </c>
      <c r="D186" s="4" t="s">
        <v>320</v>
      </c>
      <c r="E186" s="4" t="s">
        <v>344</v>
      </c>
      <c r="F186" s="4">
        <v>33</v>
      </c>
      <c r="G186" s="4">
        <v>-121</v>
      </c>
      <c r="H186" s="4">
        <v>1951</v>
      </c>
      <c r="I186" s="4">
        <v>52</v>
      </c>
      <c r="J186" s="4" t="s">
        <v>363</v>
      </c>
      <c r="K186" s="4">
        <v>0</v>
      </c>
      <c r="L186" s="4" t="s">
        <v>223</v>
      </c>
    </row>
    <row r="187" spans="1:12" s="4" customFormat="1">
      <c r="A187" s="4" t="s">
        <v>353</v>
      </c>
      <c r="B187" s="4" t="s">
        <v>283</v>
      </c>
      <c r="C187" s="4" t="s">
        <v>205</v>
      </c>
      <c r="D187" s="4" t="s">
        <v>364</v>
      </c>
      <c r="E187" s="4" t="s">
        <v>344</v>
      </c>
      <c r="F187" s="4">
        <v>33</v>
      </c>
      <c r="G187" s="4">
        <v>-121</v>
      </c>
      <c r="H187" s="4">
        <v>1951</v>
      </c>
      <c r="I187" s="4">
        <v>52</v>
      </c>
      <c r="J187" s="4" t="s">
        <v>339</v>
      </c>
      <c r="K187" s="4">
        <v>-17.11</v>
      </c>
      <c r="L187" s="4" t="s">
        <v>215</v>
      </c>
    </row>
    <row r="188" spans="1:12" s="4" customFormat="1">
      <c r="A188" s="4" t="s">
        <v>353</v>
      </c>
      <c r="B188" s="4" t="s">
        <v>283</v>
      </c>
      <c r="C188" s="4" t="s">
        <v>205</v>
      </c>
      <c r="D188" s="4" t="s">
        <v>314</v>
      </c>
      <c r="E188" s="4" t="s">
        <v>344</v>
      </c>
      <c r="F188" s="4">
        <v>33</v>
      </c>
      <c r="G188" s="4">
        <v>-121</v>
      </c>
      <c r="H188" s="4">
        <v>1951</v>
      </c>
      <c r="I188" s="4">
        <v>52</v>
      </c>
      <c r="J188" s="4" t="s">
        <v>339</v>
      </c>
      <c r="K188" s="4">
        <v>-3.24</v>
      </c>
      <c r="L188" s="4" t="s">
        <v>215</v>
      </c>
    </row>
    <row r="189" spans="1:12" s="4" customFormat="1">
      <c r="A189" s="4" t="s">
        <v>353</v>
      </c>
      <c r="B189" s="4" t="s">
        <v>283</v>
      </c>
      <c r="C189" s="4" t="s">
        <v>205</v>
      </c>
      <c r="D189" s="4" t="s">
        <v>365</v>
      </c>
      <c r="E189" s="4" t="s">
        <v>344</v>
      </c>
      <c r="F189" s="4">
        <v>33</v>
      </c>
      <c r="G189" s="4">
        <v>-121</v>
      </c>
      <c r="H189" s="4">
        <v>1951</v>
      </c>
      <c r="I189" s="4">
        <v>52</v>
      </c>
      <c r="J189" s="4" t="s">
        <v>339</v>
      </c>
      <c r="K189" s="4">
        <v>-2.31</v>
      </c>
      <c r="L189" s="4" t="s">
        <v>215</v>
      </c>
    </row>
    <row r="190" spans="1:12" s="4" customFormat="1">
      <c r="A190" s="4" t="s">
        <v>353</v>
      </c>
      <c r="B190" s="4" t="s">
        <v>283</v>
      </c>
      <c r="C190" s="4" t="s">
        <v>205</v>
      </c>
      <c r="D190" s="4" t="s">
        <v>366</v>
      </c>
      <c r="E190" s="4" t="s">
        <v>344</v>
      </c>
      <c r="F190" s="4">
        <v>33</v>
      </c>
      <c r="G190" s="4">
        <v>-121</v>
      </c>
      <c r="H190" s="4">
        <v>1951</v>
      </c>
      <c r="I190" s="4">
        <v>52</v>
      </c>
      <c r="J190" s="4" t="s">
        <v>339</v>
      </c>
      <c r="K190" s="4">
        <v>-3.24</v>
      </c>
      <c r="L190" s="4" t="s">
        <v>215</v>
      </c>
    </row>
    <row r="191" spans="1:12" s="4" customFormat="1">
      <c r="A191" s="4" t="s">
        <v>353</v>
      </c>
      <c r="B191" s="4" t="s">
        <v>283</v>
      </c>
      <c r="C191" s="4" t="s">
        <v>205</v>
      </c>
      <c r="D191" s="4" t="s">
        <v>367</v>
      </c>
      <c r="E191" s="4" t="s">
        <v>344</v>
      </c>
      <c r="F191" s="4">
        <v>33</v>
      </c>
      <c r="G191" s="4">
        <v>-121</v>
      </c>
      <c r="H191" s="4">
        <v>1951</v>
      </c>
      <c r="I191" s="4">
        <v>52</v>
      </c>
      <c r="J191" s="4" t="s">
        <v>339</v>
      </c>
      <c r="K191" s="4">
        <v>-1.39</v>
      </c>
      <c r="L191" s="4" t="s">
        <v>215</v>
      </c>
    </row>
    <row r="192" spans="1:12" s="4" customFormat="1">
      <c r="A192" s="4" t="s">
        <v>368</v>
      </c>
      <c r="B192" s="4" t="s">
        <v>204</v>
      </c>
      <c r="C192" s="4" t="s">
        <v>199</v>
      </c>
      <c r="D192" s="4" t="s">
        <v>369</v>
      </c>
      <c r="E192" s="4" t="s">
        <v>333</v>
      </c>
      <c r="F192" s="4">
        <v>47</v>
      </c>
      <c r="G192" s="4">
        <v>-10</v>
      </c>
      <c r="H192" s="4">
        <v>1978</v>
      </c>
      <c r="I192" s="4">
        <v>23</v>
      </c>
      <c r="J192" s="4" t="s">
        <v>334</v>
      </c>
      <c r="K192" s="4">
        <v>157</v>
      </c>
      <c r="L192" s="4" t="s">
        <v>17</v>
      </c>
    </row>
    <row r="193" spans="1:12" s="4" customFormat="1">
      <c r="A193" s="4" t="s">
        <v>368</v>
      </c>
      <c r="B193" s="4" t="s">
        <v>204</v>
      </c>
      <c r="C193" s="4" t="s">
        <v>199</v>
      </c>
      <c r="D193" s="4" t="s">
        <v>370</v>
      </c>
      <c r="E193" s="4" t="s">
        <v>333</v>
      </c>
      <c r="F193" s="4">
        <v>47</v>
      </c>
      <c r="G193" s="4">
        <v>-10</v>
      </c>
      <c r="H193" s="4">
        <v>1978</v>
      </c>
      <c r="I193" s="4">
        <v>23</v>
      </c>
      <c r="J193" s="4" t="s">
        <v>334</v>
      </c>
      <c r="K193" s="4">
        <v>157</v>
      </c>
      <c r="L193" s="4" t="s">
        <v>17</v>
      </c>
    </row>
  </sheetData>
  <autoFilter ref="A1:M145" xr:uid="{0E144BDC-FC3F-45F6-AA7D-F1D219E0CC14}"/>
  <dataValidations count="4">
    <dataValidation type="list" allowBlank="1" showInputMessage="1" showErrorMessage="1" sqref="M1:M145" xr:uid="{065AA540-C09D-49B6-A966-50450821D89F}">
      <formula1>consistent</formula1>
    </dataValidation>
    <dataValidation type="list" showInputMessage="1" showErrorMessage="1" sqref="G2:G145" xr:uid="{2BD5945C-32B1-4123-8306-EC2815D14299}">
      <formula1>yeardata</formula1>
    </dataValidation>
    <dataValidation type="list" allowBlank="1" showInputMessage="1" showErrorMessage="1" sqref="C2:C145" xr:uid="{7F610169-36C6-45CE-B1C2-1D5709809539}">
      <formula1>Group</formula1>
    </dataValidation>
    <dataValidation type="list" allowBlank="1" showInputMessage="1" showErrorMessage="1" sqref="B71:B87" xr:uid="{1D60E593-8DC5-4ACD-A6E4-622549E10B4F}">
      <formula1>oceanregion</formula1>
    </dataValidation>
  </dataValidations>
  <pageMargins left="0.7" right="0.7" top="0.75" bottom="0.75" header="0.3" footer="0.3"/>
  <legacyDrawing r:id="rId1"/>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Phenology</vt:lpstr>
      <vt:lpstr>Abundance</vt:lpstr>
      <vt:lpstr>Distribution</vt:lpstr>
      <vt:lpstr>BioShifts</vt:lpstr>
      <vt:lpstr>IPCC</vt:lpstr>
      <vt:lpstr>Polczanska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Esturas</dc:creator>
  <cp:lastModifiedBy>Kris Esturas</cp:lastModifiedBy>
  <dcterms:created xsi:type="dcterms:W3CDTF">2025-07-24T13:11:59Z</dcterms:created>
  <dcterms:modified xsi:type="dcterms:W3CDTF">2026-07-05T07:45:38Z</dcterms:modified>
</cp:coreProperties>
</file>
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qoutlook-my.sharepoint.com/personal/kris_esturas_mq_edu_au/Documents/Documents/2025/00 Plankton Work/2025/Plankton/00 Final/Plankton/Experimental/Zooplankton_experiment_database/Reference Meta-analysis/"/>
    </mc:Choice>
  </mc:AlternateContent>
  <xr:revisionPtr revIDLastSave="111" documentId="8_{C6169730-3950-48AA-BFFE-8B92FA552AA8}" xr6:coauthVersionLast="47" xr6:coauthVersionMax="47" xr10:uidLastSave="{8D6BBF53-C529-483E-89C7-A440C8F63178}"/>
  <bookViews>
    <workbookView xWindow="-110" yWindow="-110" windowWidth="25820" windowHeight="15500" xr2:uid="{8DE64DC2-F6B0-4406-BE51-10C5C4538839}"/>
  </bookViews>
  <sheets>
    <sheet name="Sheet1" sheetId="1" r:id="rId1"/>
    <sheet name="Sheet2" sheetId="2" r:id="rId2"/>
  </sheets>
  <definedNames>
    <definedName name="_xlnm._FilterDatabase" localSheetId="0" hidden="1">Sheet1!$A$1:$AD$93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H4" i="1"/>
  <c r="L4" i="1"/>
  <c r="F5" i="1"/>
  <c r="H5" i="1"/>
  <c r="L5" i="1"/>
  <c r="F6" i="1"/>
  <c r="H6" i="1"/>
  <c r="L6" i="1"/>
  <c r="F7" i="1"/>
  <c r="H7" i="1"/>
  <c r="L7" i="1"/>
  <c r="F8" i="1"/>
  <c r="H8" i="1"/>
  <c r="L8" i="1"/>
  <c r="F9" i="1"/>
  <c r="H9" i="1"/>
  <c r="L9" i="1"/>
  <c r="F10" i="1"/>
  <c r="H10" i="1"/>
  <c r="L10" i="1"/>
  <c r="F11" i="1"/>
  <c r="H11" i="1"/>
  <c r="L11" i="1"/>
  <c r="F12" i="1"/>
  <c r="H12" i="1"/>
  <c r="L12" i="1"/>
  <c r="F13" i="1"/>
  <c r="H13" i="1"/>
  <c r="L13" i="1"/>
  <c r="F14" i="1"/>
  <c r="H14" i="1"/>
  <c r="L14" i="1"/>
  <c r="F15" i="1"/>
  <c r="H15" i="1"/>
  <c r="L15" i="1"/>
  <c r="F16" i="1"/>
  <c r="H16" i="1"/>
  <c r="L16" i="1"/>
  <c r="F17" i="1"/>
  <c r="H17" i="1"/>
  <c r="L17" i="1"/>
  <c r="F18" i="1"/>
  <c r="H18" i="1"/>
  <c r="L18" i="1"/>
  <c r="F19" i="1"/>
  <c r="H19" i="1"/>
  <c r="L19" i="1"/>
  <c r="F20" i="1"/>
  <c r="H20" i="1"/>
  <c r="L20" i="1"/>
  <c r="F21" i="1"/>
  <c r="H21" i="1"/>
  <c r="L21" i="1"/>
  <c r="H22" i="1"/>
  <c r="L22" i="1"/>
  <c r="H23" i="1"/>
  <c r="L23" i="1"/>
  <c r="F24" i="1"/>
  <c r="H24" i="1"/>
  <c r="L24" i="1"/>
  <c r="F25" i="1"/>
  <c r="H25" i="1"/>
  <c r="L25" i="1"/>
  <c r="F26" i="1"/>
  <c r="H26" i="1"/>
  <c r="L26" i="1"/>
  <c r="F27" i="1"/>
  <c r="H27" i="1"/>
  <c r="L27" i="1"/>
  <c r="F28" i="1"/>
  <c r="H28" i="1"/>
  <c r="L28" i="1"/>
  <c r="F29" i="1"/>
  <c r="H29" i="1"/>
  <c r="L29" i="1"/>
  <c r="F30" i="1"/>
  <c r="H30" i="1"/>
  <c r="L30" i="1"/>
  <c r="F31" i="1"/>
  <c r="H31" i="1"/>
  <c r="L31" i="1"/>
  <c r="F32" i="1"/>
  <c r="H32" i="1"/>
  <c r="L32" i="1"/>
  <c r="H33" i="1"/>
  <c r="L33" i="1"/>
  <c r="J38" i="1"/>
  <c r="N38" i="1"/>
  <c r="J39" i="1"/>
  <c r="N3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N4" i="2"/>
  <c r="M4" i="2"/>
  <c r="N3" i="2"/>
  <c r="M3" i="2"/>
  <c r="F4" i="2"/>
  <c r="E4" i="2"/>
  <c r="F3" i="2"/>
  <c r="E3" i="2"/>
</calcChain>
</file>

<file path=xl/sharedStrings.xml><?xml version="1.0" encoding="utf-8"?>
<sst xmlns="http://schemas.openxmlformats.org/spreadsheetml/2006/main" count="1178" uniqueCount="69">
  <si>
    <t>Paper</t>
  </si>
  <si>
    <t>Year</t>
  </si>
  <si>
    <t>ef_num</t>
  </si>
  <si>
    <t>mean.c</t>
  </si>
  <si>
    <t>sd.c</t>
  </si>
  <si>
    <t>n.c</t>
  </si>
  <si>
    <t>mean.e</t>
  </si>
  <si>
    <t>sd.e</t>
  </si>
  <si>
    <t>n.e</t>
  </si>
  <si>
    <t>Life_Stage_Treated</t>
  </si>
  <si>
    <t>pCO2_Treatment</t>
  </si>
  <si>
    <t>pH_Treatment</t>
  </si>
  <si>
    <t>Temperature_Treatment</t>
  </si>
  <si>
    <t>Parent_pCO2</t>
  </si>
  <si>
    <t>Parent_pH</t>
  </si>
  <si>
    <t>Parent_Temperature</t>
  </si>
  <si>
    <t>Age_Days</t>
  </si>
  <si>
    <t>Salinity</t>
  </si>
  <si>
    <t>Oyster_Lines</t>
  </si>
  <si>
    <t>Generation</t>
  </si>
  <si>
    <t>Fertilisation_Regime</t>
  </si>
  <si>
    <t>Feeding_Regime</t>
  </si>
  <si>
    <t>Larval_Treatment</t>
  </si>
  <si>
    <t>Parent_pH_Treament</t>
  </si>
  <si>
    <t>Larval_Tidal_Regime</t>
  </si>
  <si>
    <t>Larval</t>
  </si>
  <si>
    <t>EL</t>
  </si>
  <si>
    <t>No_Data</t>
  </si>
  <si>
    <t>AP</t>
  </si>
  <si>
    <t>Wild</t>
  </si>
  <si>
    <t>F0</t>
  </si>
  <si>
    <t>Treatment</t>
  </si>
  <si>
    <t>Fed_Daily</t>
  </si>
  <si>
    <t>N/A</t>
  </si>
  <si>
    <t>meta.n</t>
  </si>
  <si>
    <t>Watson et al. 2009</t>
  </si>
  <si>
    <t>Ambient</t>
  </si>
  <si>
    <t>Parker Ross, &amp; O'Connor 2010</t>
  </si>
  <si>
    <t>Parker, Ross, &amp; O'Connor 2009</t>
  </si>
  <si>
    <t>F1</t>
  </si>
  <si>
    <t>Selected</t>
  </si>
  <si>
    <t>EP</t>
  </si>
  <si>
    <t>Parker et al. 2012</t>
  </si>
  <si>
    <t>F2</t>
  </si>
  <si>
    <t>Parker et al. 2015</t>
  </si>
  <si>
    <t>Adult</t>
  </si>
  <si>
    <t>Parker et al. 2018</t>
  </si>
  <si>
    <t>Intertidal</t>
  </si>
  <si>
    <t>Subtidal</t>
  </si>
  <si>
    <t>Parker et al. 2021_ExB</t>
  </si>
  <si>
    <t>Gibbs et al. 2021a</t>
  </si>
  <si>
    <t>5</t>
  </si>
  <si>
    <t>7</t>
  </si>
  <si>
    <t>9</t>
  </si>
  <si>
    <t>3</t>
  </si>
  <si>
    <t>Fed_at_5</t>
  </si>
  <si>
    <t>Gibbs et al. 2021b</t>
  </si>
  <si>
    <t>Gibbs et al. 2021c</t>
  </si>
  <si>
    <t>1</t>
  </si>
  <si>
    <t>24 degrees</t>
  </si>
  <si>
    <t>mean</t>
  </si>
  <si>
    <t>sd</t>
  </si>
  <si>
    <t>28degrees</t>
  </si>
  <si>
    <t>se.e</t>
  </si>
  <si>
    <t>se.c</t>
  </si>
  <si>
    <t>Paper.meta</t>
  </si>
  <si>
    <t>New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</si>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</sst>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3EAC-00B6-4604-B0AF-E871B15CB77B}">
  <sheetPr filterMode="1"/>
  <dimension ref="A1:AD93"/>
  <sheetViews>
    <sheetView tabSelected="1" workbookViewId="0">
      <selection activeCell="B93" sqref="B2:B93"/>
    </sheetView>
  </sheetViews>
  <sheetFormatPr defaultRowHeight="14.5" x14ac:dyDescent="0.35"/>
  <cols>
    <col min="1" max="1" width="27.81640625" bestFit="1" customWidth="1"/>
    <col min="2" max="3" width="27.81640625" customWidth="1"/>
  </cols>
  <sheetData>
    <row r="1" spans="1:30" x14ac:dyDescent="0.35">
      <c r="A1" t="s">
        <v>0</v>
      </c>
      <c r="B1" t="s">
        <v>65</v>
      </c>
      <c r="C1" t="s">
        <v>66</v>
      </c>
      <c r="D1" t="s">
        <v>1</v>
      </c>
      <c r="E1" t="s">
        <v>2</v>
      </c>
      <c r="F1" t="s">
        <v>34</v>
      </c>
      <c r="G1" t="s">
        <v>3</v>
      </c>
      <c r="H1" t="s">
        <v>4</v>
      </c>
      <c r="I1" t="s">
        <v>5</v>
      </c>
      <c r="J1" t="s">
        <v>64</v>
      </c>
      <c r="K1" t="s">
        <v>6</v>
      </c>
      <c r="L1" t="s">
        <v>7</v>
      </c>
      <c r="M1" t="s">
        <v>8</v>
      </c>
      <c r="N1" t="s">
        <v>63</v>
      </c>
      <c r="O1" t="s">
        <v>9</v>
      </c>
      <c r="P1" t="s">
        <v>22</v>
      </c>
      <c r="Q1" t="s">
        <v>10</v>
      </c>
      <c r="R1" t="s">
        <v>11</v>
      </c>
      <c r="S1" t="s">
        <v>12</v>
      </c>
      <c r="T1" t="s">
        <v>23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24</v>
      </c>
    </row>
    <row r="2" spans="1:30" x14ac:dyDescent="0.35">
      <c r="A2" t="s">
        <v>35</v>
      </c>
      <c r="B2" t="s">
        <v>35</v>
      </c>
      <c r="C2" t="s">
        <v>67</v>
      </c>
      <c r="D2">
        <v>2009</v>
      </c>
      <c r="E2">
        <v>1</v>
      </c>
      <c r="F2">
        <v>1.5</v>
      </c>
      <c r="G2">
        <v>27.210191082802599</v>
      </c>
      <c r="H2">
        <v>0.71709109867501497</v>
      </c>
      <c r="I2">
        <v>3</v>
      </c>
      <c r="J2">
        <v>0.41401273885350398</v>
      </c>
      <c r="K2">
        <v>25.490445859872601</v>
      </c>
      <c r="L2">
        <v>0.56264070819116996</v>
      </c>
      <c r="M2">
        <v>3</v>
      </c>
      <c r="N2">
        <v>0.32484076433121301</v>
      </c>
      <c r="O2" t="s">
        <v>25</v>
      </c>
      <c r="P2" t="s">
        <v>26</v>
      </c>
      <c r="Q2" t="s">
        <v>27</v>
      </c>
      <c r="R2">
        <v>7.8</v>
      </c>
      <c r="S2">
        <v>25.5</v>
      </c>
      <c r="T2" t="s">
        <v>28</v>
      </c>
      <c r="U2" t="s">
        <v>27</v>
      </c>
      <c r="V2" t="s">
        <v>27</v>
      </c>
      <c r="W2" t="s">
        <v>27</v>
      </c>
      <c r="X2">
        <v>8</v>
      </c>
      <c r="Y2">
        <v>32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</row>
    <row r="3" spans="1:30" x14ac:dyDescent="0.35">
      <c r="A3" t="s">
        <v>35</v>
      </c>
      <c r="B3" t="s">
        <v>35</v>
      </c>
      <c r="C3" t="s">
        <v>67</v>
      </c>
      <c r="D3">
        <v>2009</v>
      </c>
      <c r="E3">
        <v>2</v>
      </c>
      <c r="F3">
        <v>1.5</v>
      </c>
      <c r="G3">
        <v>27.210191082802599</v>
      </c>
      <c r="H3">
        <v>0.71709109867501497</v>
      </c>
      <c r="I3">
        <v>3</v>
      </c>
      <c r="J3">
        <v>0.41401273885350398</v>
      </c>
      <c r="K3">
        <v>24.847133757961799</v>
      </c>
      <c r="L3">
        <v>0.79431629391693404</v>
      </c>
      <c r="M3">
        <v>3</v>
      </c>
      <c r="N3">
        <v>0.45859872611464803</v>
      </c>
      <c r="O3" t="s">
        <v>25</v>
      </c>
      <c r="P3" t="s">
        <v>26</v>
      </c>
      <c r="Q3" t="s">
        <v>27</v>
      </c>
      <c r="R3">
        <v>7.6</v>
      </c>
      <c r="S3">
        <v>25.5</v>
      </c>
      <c r="T3" t="s">
        <v>28</v>
      </c>
      <c r="U3" t="s">
        <v>27</v>
      </c>
      <c r="V3" t="s">
        <v>27</v>
      </c>
      <c r="W3" t="s">
        <v>27</v>
      </c>
      <c r="X3">
        <v>8</v>
      </c>
      <c r="Y3">
        <v>32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</row>
    <row r="4" spans="1:30" hidden="1" x14ac:dyDescent="0.35">
      <c r="A4" t="s">
        <v>38</v>
      </c>
      <c r="B4" t="s">
        <v>38</v>
      </c>
      <c r="C4" t="s">
        <v>68</v>
      </c>
      <c r="D4">
        <v>2009</v>
      </c>
      <c r="E4">
        <v>3</v>
      </c>
      <c r="F4">
        <f t="shared" ref="F4:F21" si="0">I4/3</f>
        <v>1.6666666666666667</v>
      </c>
      <c r="G4">
        <v>71.130434782608702</v>
      </c>
      <c r="H4">
        <f t="shared" ref="H4:H33" si="1">J4*SQRT(I4)</f>
        <v>0.77776277478255407</v>
      </c>
      <c r="I4">
        <v>5</v>
      </c>
      <c r="J4">
        <v>0.34782608695653</v>
      </c>
      <c r="K4">
        <v>67.130434782608702</v>
      </c>
      <c r="L4">
        <f t="shared" ref="L4:L23" si="2">N4*SQRT(M4)</f>
        <v>1.5555255495650455</v>
      </c>
      <c r="M4">
        <v>5</v>
      </c>
      <c r="N4">
        <v>0.69565217391303202</v>
      </c>
      <c r="O4" t="s">
        <v>25</v>
      </c>
      <c r="P4" t="s">
        <v>26</v>
      </c>
      <c r="Q4">
        <v>600</v>
      </c>
      <c r="R4">
        <v>8</v>
      </c>
      <c r="S4">
        <v>26</v>
      </c>
      <c r="T4" t="s">
        <v>28</v>
      </c>
      <c r="U4" t="s">
        <v>27</v>
      </c>
      <c r="V4" t="s">
        <v>27</v>
      </c>
      <c r="W4" t="s">
        <v>27</v>
      </c>
      <c r="X4">
        <v>1</v>
      </c>
      <c r="Y4">
        <v>35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</row>
    <row r="5" spans="1:30" hidden="1" x14ac:dyDescent="0.35">
      <c r="A5" t="s">
        <v>38</v>
      </c>
      <c r="B5" t="s">
        <v>38</v>
      </c>
      <c r="C5" t="s">
        <v>68</v>
      </c>
      <c r="D5">
        <v>2009</v>
      </c>
      <c r="E5">
        <v>4</v>
      </c>
      <c r="F5">
        <f t="shared" si="0"/>
        <v>1.6666666666666667</v>
      </c>
      <c r="G5">
        <v>71.130434782608702</v>
      </c>
      <c r="H5">
        <f t="shared" si="1"/>
        <v>0.77776277478255407</v>
      </c>
      <c r="I5">
        <v>5</v>
      </c>
      <c r="J5">
        <v>0.34782608695653</v>
      </c>
      <c r="K5">
        <v>66.434782608695699</v>
      </c>
      <c r="L5">
        <f t="shared" si="2"/>
        <v>2.7221697117387937</v>
      </c>
      <c r="M5">
        <v>5</v>
      </c>
      <c r="N5">
        <v>1.21739130434779</v>
      </c>
      <c r="O5" t="s">
        <v>25</v>
      </c>
      <c r="P5" t="s">
        <v>26</v>
      </c>
      <c r="Q5">
        <v>750</v>
      </c>
      <c r="R5">
        <v>7.9</v>
      </c>
      <c r="S5">
        <v>26</v>
      </c>
      <c r="T5" t="s">
        <v>28</v>
      </c>
      <c r="U5" t="s">
        <v>27</v>
      </c>
      <c r="V5" t="s">
        <v>27</v>
      </c>
      <c r="W5" t="s">
        <v>27</v>
      </c>
      <c r="X5">
        <v>1</v>
      </c>
      <c r="Y5">
        <v>35</v>
      </c>
      <c r="Z5" t="s">
        <v>29</v>
      </c>
      <c r="AA5" t="s">
        <v>30</v>
      </c>
      <c r="AB5" t="s">
        <v>31</v>
      </c>
      <c r="AC5" t="s">
        <v>32</v>
      </c>
      <c r="AD5" t="s">
        <v>33</v>
      </c>
    </row>
    <row r="6" spans="1:30" hidden="1" x14ac:dyDescent="0.35">
      <c r="A6" t="s">
        <v>38</v>
      </c>
      <c r="B6" t="s">
        <v>38</v>
      </c>
      <c r="C6" t="s">
        <v>68</v>
      </c>
      <c r="D6">
        <v>2009</v>
      </c>
      <c r="E6">
        <v>5</v>
      </c>
      <c r="F6">
        <f t="shared" si="0"/>
        <v>1.6666666666666667</v>
      </c>
      <c r="G6">
        <v>71.130434782608702</v>
      </c>
      <c r="H6">
        <f t="shared" si="1"/>
        <v>0.77776277478255407</v>
      </c>
      <c r="I6">
        <v>5</v>
      </c>
      <c r="J6">
        <v>0.34782608695653</v>
      </c>
      <c r="K6">
        <v>65.391304347826093</v>
      </c>
      <c r="L6">
        <f t="shared" si="2"/>
        <v>2.3332883243476621</v>
      </c>
      <c r="M6">
        <v>5</v>
      </c>
      <c r="N6">
        <v>1.0434782608695901</v>
      </c>
      <c r="O6" t="s">
        <v>25</v>
      </c>
      <c r="P6" t="s">
        <v>26</v>
      </c>
      <c r="Q6">
        <v>1000</v>
      </c>
      <c r="R6">
        <v>7.8</v>
      </c>
      <c r="S6">
        <v>26</v>
      </c>
      <c r="T6" t="s">
        <v>28</v>
      </c>
      <c r="U6" t="s">
        <v>27</v>
      </c>
      <c r="V6" t="s">
        <v>27</v>
      </c>
      <c r="W6" t="s">
        <v>27</v>
      </c>
      <c r="X6">
        <v>1</v>
      </c>
      <c r="Y6">
        <v>35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</row>
    <row r="7" spans="1:30" hidden="1" x14ac:dyDescent="0.35">
      <c r="A7" t="s">
        <v>38</v>
      </c>
      <c r="B7" t="s">
        <v>38</v>
      </c>
      <c r="C7" t="s">
        <v>68</v>
      </c>
      <c r="D7">
        <v>2009</v>
      </c>
      <c r="E7">
        <v>6</v>
      </c>
      <c r="F7">
        <f t="shared" si="0"/>
        <v>1.6666666666666667</v>
      </c>
      <c r="G7">
        <v>76.229508196721298</v>
      </c>
      <c r="H7">
        <f t="shared" si="1"/>
        <v>0.36656852090165587</v>
      </c>
      <c r="I7">
        <v>5</v>
      </c>
      <c r="J7">
        <v>0.163934426229531</v>
      </c>
      <c r="K7">
        <v>73.770491803278603</v>
      </c>
      <c r="L7">
        <f t="shared" si="2"/>
        <v>1.0997055627048715</v>
      </c>
      <c r="M7">
        <v>5</v>
      </c>
      <c r="N7">
        <v>0.49180327868855001</v>
      </c>
      <c r="O7" t="s">
        <v>25</v>
      </c>
      <c r="P7" t="s">
        <v>26</v>
      </c>
      <c r="Q7">
        <v>600</v>
      </c>
      <c r="R7">
        <v>8</v>
      </c>
      <c r="S7">
        <v>26</v>
      </c>
      <c r="T7" t="s">
        <v>28</v>
      </c>
      <c r="U7" t="s">
        <v>27</v>
      </c>
      <c r="V7" t="s">
        <v>27</v>
      </c>
      <c r="W7" t="s">
        <v>27</v>
      </c>
      <c r="X7">
        <v>2</v>
      </c>
      <c r="Y7">
        <v>35</v>
      </c>
      <c r="Z7" t="s">
        <v>29</v>
      </c>
      <c r="AA7" t="s">
        <v>30</v>
      </c>
      <c r="AB7" t="s">
        <v>31</v>
      </c>
      <c r="AC7" t="s">
        <v>32</v>
      </c>
      <c r="AD7" t="s">
        <v>33</v>
      </c>
    </row>
    <row r="8" spans="1:30" hidden="1" x14ac:dyDescent="0.35">
      <c r="A8" t="s">
        <v>38</v>
      </c>
      <c r="B8" t="s">
        <v>38</v>
      </c>
      <c r="C8" t="s">
        <v>68</v>
      </c>
      <c r="D8">
        <v>2009</v>
      </c>
      <c r="E8">
        <v>7</v>
      </c>
      <c r="F8">
        <f t="shared" si="0"/>
        <v>1.6666666666666667</v>
      </c>
      <c r="G8">
        <v>76.229508196721298</v>
      </c>
      <c r="H8">
        <f t="shared" si="1"/>
        <v>0.36656852090165587</v>
      </c>
      <c r="I8">
        <v>5</v>
      </c>
      <c r="J8">
        <v>0.163934426229531</v>
      </c>
      <c r="K8">
        <v>71.311475409836106</v>
      </c>
      <c r="L8">
        <f t="shared" si="2"/>
        <v>0</v>
      </c>
      <c r="M8">
        <v>5</v>
      </c>
      <c r="N8">
        <v>0</v>
      </c>
      <c r="O8" t="s">
        <v>25</v>
      </c>
      <c r="P8" t="s">
        <v>26</v>
      </c>
      <c r="Q8">
        <v>750</v>
      </c>
      <c r="R8">
        <v>7.9</v>
      </c>
      <c r="S8">
        <v>26</v>
      </c>
      <c r="T8" t="s">
        <v>28</v>
      </c>
      <c r="U8" t="s">
        <v>27</v>
      </c>
      <c r="V8" t="s">
        <v>27</v>
      </c>
      <c r="W8" t="s">
        <v>27</v>
      </c>
      <c r="X8">
        <v>2</v>
      </c>
      <c r="Y8">
        <v>35</v>
      </c>
      <c r="Z8" t="s">
        <v>29</v>
      </c>
      <c r="AA8" t="s">
        <v>30</v>
      </c>
      <c r="AB8" t="s">
        <v>31</v>
      </c>
      <c r="AC8" t="s">
        <v>32</v>
      </c>
      <c r="AD8" t="s">
        <v>33</v>
      </c>
    </row>
    <row r="9" spans="1:30" hidden="1" x14ac:dyDescent="0.35">
      <c r="A9" t="s">
        <v>38</v>
      </c>
      <c r="B9" t="s">
        <v>38</v>
      </c>
      <c r="C9" t="s">
        <v>68</v>
      </c>
      <c r="D9">
        <v>2009</v>
      </c>
      <c r="E9">
        <v>8</v>
      </c>
      <c r="F9">
        <f t="shared" si="0"/>
        <v>1.6666666666666667</v>
      </c>
      <c r="G9">
        <v>76.229508196721298</v>
      </c>
      <c r="H9">
        <f t="shared" si="1"/>
        <v>0.36656852090165587</v>
      </c>
      <c r="I9">
        <v>5</v>
      </c>
      <c r="J9">
        <v>0.163934426229531</v>
      </c>
      <c r="K9">
        <v>67.704918032786907</v>
      </c>
      <c r="L9">
        <f t="shared" si="2"/>
        <v>0.73313704180321559</v>
      </c>
      <c r="M9">
        <v>5</v>
      </c>
      <c r="N9">
        <v>0.32786885245901898</v>
      </c>
      <c r="O9" t="s">
        <v>25</v>
      </c>
      <c r="P9" t="s">
        <v>26</v>
      </c>
      <c r="Q9">
        <v>1000</v>
      </c>
      <c r="R9">
        <v>7.8</v>
      </c>
      <c r="S9">
        <v>26</v>
      </c>
      <c r="T9" t="s">
        <v>28</v>
      </c>
      <c r="U9" t="s">
        <v>27</v>
      </c>
      <c r="V9" t="s">
        <v>27</v>
      </c>
      <c r="W9" t="s">
        <v>27</v>
      </c>
      <c r="X9">
        <v>2</v>
      </c>
      <c r="Y9">
        <v>35</v>
      </c>
      <c r="Z9" t="s">
        <v>29</v>
      </c>
      <c r="AA9" t="s">
        <v>30</v>
      </c>
      <c r="AB9" t="s">
        <v>31</v>
      </c>
      <c r="AC9" t="s">
        <v>32</v>
      </c>
      <c r="AD9" t="s">
        <v>33</v>
      </c>
    </row>
    <row r="10" spans="1:30" hidden="1" x14ac:dyDescent="0.35">
      <c r="A10" t="s">
        <v>38</v>
      </c>
      <c r="B10" t="s">
        <v>38</v>
      </c>
      <c r="C10" t="s">
        <v>68</v>
      </c>
      <c r="D10">
        <v>2009</v>
      </c>
      <c r="E10">
        <v>9</v>
      </c>
      <c r="F10">
        <f t="shared" si="0"/>
        <v>1.6666666666666667</v>
      </c>
      <c r="G10">
        <v>70.782608695652101</v>
      </c>
      <c r="H10">
        <f t="shared" si="1"/>
        <v>0.7777627747826189</v>
      </c>
      <c r="I10">
        <v>5</v>
      </c>
      <c r="J10">
        <v>0.34782608695655898</v>
      </c>
      <c r="K10">
        <v>68.521739130434796</v>
      </c>
      <c r="L10">
        <f t="shared" si="2"/>
        <v>1.5555255495651104</v>
      </c>
      <c r="M10">
        <v>5</v>
      </c>
      <c r="N10">
        <v>0.695652173913061</v>
      </c>
      <c r="O10" t="s">
        <v>25</v>
      </c>
      <c r="P10" t="s">
        <v>26</v>
      </c>
      <c r="Q10">
        <v>600</v>
      </c>
      <c r="R10">
        <v>8</v>
      </c>
      <c r="S10">
        <v>26</v>
      </c>
      <c r="T10" t="s">
        <v>28</v>
      </c>
      <c r="U10" t="s">
        <v>27</v>
      </c>
      <c r="V10" t="s">
        <v>27</v>
      </c>
      <c r="W10" t="s">
        <v>27</v>
      </c>
      <c r="X10">
        <v>1</v>
      </c>
      <c r="Y10">
        <v>35</v>
      </c>
      <c r="Z10" t="s">
        <v>29</v>
      </c>
      <c r="AA10" t="s">
        <v>30</v>
      </c>
      <c r="AB10" t="s">
        <v>36</v>
      </c>
      <c r="AC10" t="s">
        <v>32</v>
      </c>
      <c r="AD10" t="s">
        <v>33</v>
      </c>
    </row>
    <row r="11" spans="1:30" hidden="1" x14ac:dyDescent="0.35">
      <c r="A11" t="s">
        <v>38</v>
      </c>
      <c r="B11" t="s">
        <v>38</v>
      </c>
      <c r="C11" t="s">
        <v>68</v>
      </c>
      <c r="D11">
        <v>2009</v>
      </c>
      <c r="E11">
        <v>10</v>
      </c>
      <c r="F11">
        <f t="shared" si="0"/>
        <v>1.6666666666666667</v>
      </c>
      <c r="G11">
        <v>70.782608695652101</v>
      </c>
      <c r="H11">
        <f t="shared" si="1"/>
        <v>0.7777627747826189</v>
      </c>
      <c r="I11">
        <v>5</v>
      </c>
      <c r="J11">
        <v>0.34782608695655898</v>
      </c>
      <c r="K11">
        <v>68.347826086956502</v>
      </c>
      <c r="L11">
        <f t="shared" si="2"/>
        <v>0.77776277478255407</v>
      </c>
      <c r="M11">
        <v>5</v>
      </c>
      <c r="N11">
        <v>0.34782608695653</v>
      </c>
      <c r="O11" t="s">
        <v>25</v>
      </c>
      <c r="P11" t="s">
        <v>26</v>
      </c>
      <c r="Q11">
        <v>750</v>
      </c>
      <c r="R11">
        <v>7.9</v>
      </c>
      <c r="S11">
        <v>26</v>
      </c>
      <c r="T11" t="s">
        <v>28</v>
      </c>
      <c r="U11" t="s">
        <v>27</v>
      </c>
      <c r="V11" t="s">
        <v>27</v>
      </c>
      <c r="W11" t="s">
        <v>27</v>
      </c>
      <c r="X11">
        <v>1</v>
      </c>
      <c r="Y11">
        <v>35</v>
      </c>
      <c r="Z11" t="s">
        <v>29</v>
      </c>
      <c r="AA11" t="s">
        <v>30</v>
      </c>
      <c r="AB11" t="s">
        <v>36</v>
      </c>
      <c r="AC11" t="s">
        <v>32</v>
      </c>
      <c r="AD11" t="s">
        <v>33</v>
      </c>
    </row>
    <row r="12" spans="1:30" hidden="1" x14ac:dyDescent="0.35">
      <c r="A12" t="s">
        <v>38</v>
      </c>
      <c r="B12" t="s">
        <v>38</v>
      </c>
      <c r="C12" t="s">
        <v>68</v>
      </c>
      <c r="D12">
        <v>2009</v>
      </c>
      <c r="E12">
        <v>11</v>
      </c>
      <c r="F12">
        <f t="shared" si="0"/>
        <v>1.6666666666666667</v>
      </c>
      <c r="G12">
        <v>70.782608695652101</v>
      </c>
      <c r="H12">
        <f t="shared" si="1"/>
        <v>0.7777627747826189</v>
      </c>
      <c r="I12">
        <v>5</v>
      </c>
      <c r="J12">
        <v>0.34782608695655898</v>
      </c>
      <c r="K12">
        <v>67.652173913043399</v>
      </c>
      <c r="L12">
        <f t="shared" si="2"/>
        <v>1.1666441621738646</v>
      </c>
      <c r="M12">
        <v>5</v>
      </c>
      <c r="N12">
        <v>0.52173913043481002</v>
      </c>
      <c r="O12" t="s">
        <v>25</v>
      </c>
      <c r="P12" t="s">
        <v>26</v>
      </c>
      <c r="Q12">
        <v>1000</v>
      </c>
      <c r="R12">
        <v>7.8</v>
      </c>
      <c r="S12">
        <v>26</v>
      </c>
      <c r="T12" t="s">
        <v>28</v>
      </c>
      <c r="U12" t="s">
        <v>27</v>
      </c>
      <c r="V12" t="s">
        <v>27</v>
      </c>
      <c r="W12" t="s">
        <v>27</v>
      </c>
      <c r="X12">
        <v>1</v>
      </c>
      <c r="Y12">
        <v>35</v>
      </c>
      <c r="Z12" t="s">
        <v>29</v>
      </c>
      <c r="AA12" t="s">
        <v>30</v>
      </c>
      <c r="AB12" t="s">
        <v>36</v>
      </c>
      <c r="AC12" t="s">
        <v>32</v>
      </c>
      <c r="AD12" t="s">
        <v>33</v>
      </c>
    </row>
    <row r="13" spans="1:30" hidden="1" x14ac:dyDescent="0.35">
      <c r="A13" t="s">
        <v>38</v>
      </c>
      <c r="B13" t="s">
        <v>38</v>
      </c>
      <c r="C13" t="s">
        <v>68</v>
      </c>
      <c r="D13">
        <v>2009</v>
      </c>
      <c r="E13">
        <v>12</v>
      </c>
      <c r="F13">
        <f t="shared" si="0"/>
        <v>1.6666666666666667</v>
      </c>
      <c r="G13">
        <v>77.540983606557305</v>
      </c>
      <c r="H13">
        <f t="shared" si="1"/>
        <v>1.8328426045080244</v>
      </c>
      <c r="I13">
        <v>5</v>
      </c>
      <c r="J13">
        <v>0.81967213114754101</v>
      </c>
      <c r="K13">
        <v>75.081967213114694</v>
      </c>
      <c r="L13">
        <f t="shared" si="2"/>
        <v>1.4662740836064649</v>
      </c>
      <c r="M13">
        <v>5</v>
      </c>
      <c r="N13">
        <v>0.65573770491805305</v>
      </c>
      <c r="O13" t="s">
        <v>25</v>
      </c>
      <c r="P13" t="s">
        <v>26</v>
      </c>
      <c r="Q13">
        <v>600</v>
      </c>
      <c r="R13">
        <v>8</v>
      </c>
      <c r="S13">
        <v>26</v>
      </c>
      <c r="T13" t="s">
        <v>28</v>
      </c>
      <c r="U13" t="s">
        <v>27</v>
      </c>
      <c r="V13" t="s">
        <v>27</v>
      </c>
      <c r="W13" t="s">
        <v>27</v>
      </c>
      <c r="X13">
        <v>2</v>
      </c>
      <c r="Y13">
        <v>35</v>
      </c>
      <c r="Z13" t="s">
        <v>29</v>
      </c>
      <c r="AA13" t="s">
        <v>30</v>
      </c>
      <c r="AB13" t="s">
        <v>36</v>
      </c>
      <c r="AC13" t="s">
        <v>32</v>
      </c>
      <c r="AD13" t="s">
        <v>33</v>
      </c>
    </row>
    <row r="14" spans="1:30" hidden="1" x14ac:dyDescent="0.35">
      <c r="A14" t="s">
        <v>38</v>
      </c>
      <c r="B14" t="s">
        <v>38</v>
      </c>
      <c r="C14" t="s">
        <v>68</v>
      </c>
      <c r="D14">
        <v>2009</v>
      </c>
      <c r="E14">
        <v>13</v>
      </c>
      <c r="F14">
        <f t="shared" si="0"/>
        <v>1.6666666666666667</v>
      </c>
      <c r="G14">
        <v>77.540983606557305</v>
      </c>
      <c r="H14">
        <f t="shared" si="1"/>
        <v>1.8328426045080244</v>
      </c>
      <c r="I14">
        <v>5</v>
      </c>
      <c r="J14">
        <v>0.81967213114754101</v>
      </c>
      <c r="K14">
        <v>74.590163934426201</v>
      </c>
      <c r="L14">
        <f t="shared" si="2"/>
        <v>1.4662740836064021</v>
      </c>
      <c r="M14">
        <v>5</v>
      </c>
      <c r="N14">
        <v>0.65573770491802497</v>
      </c>
      <c r="O14" t="s">
        <v>25</v>
      </c>
      <c r="P14" t="s">
        <v>26</v>
      </c>
      <c r="Q14">
        <v>750</v>
      </c>
      <c r="R14">
        <v>7.9</v>
      </c>
      <c r="S14">
        <v>26</v>
      </c>
      <c r="T14" t="s">
        <v>28</v>
      </c>
      <c r="U14" t="s">
        <v>27</v>
      </c>
      <c r="V14" t="s">
        <v>27</v>
      </c>
      <c r="W14" t="s">
        <v>27</v>
      </c>
      <c r="X14">
        <v>2</v>
      </c>
      <c r="Y14">
        <v>35</v>
      </c>
      <c r="Z14" t="s">
        <v>29</v>
      </c>
      <c r="AA14" t="s">
        <v>30</v>
      </c>
      <c r="AB14" t="s">
        <v>36</v>
      </c>
      <c r="AC14" t="s">
        <v>32</v>
      </c>
      <c r="AD14" t="s">
        <v>33</v>
      </c>
    </row>
    <row r="15" spans="1:30" hidden="1" x14ac:dyDescent="0.35">
      <c r="A15" t="s">
        <v>38</v>
      </c>
      <c r="B15" t="s">
        <v>38</v>
      </c>
      <c r="C15" t="s">
        <v>68</v>
      </c>
      <c r="D15">
        <v>2009</v>
      </c>
      <c r="E15">
        <v>14</v>
      </c>
      <c r="F15">
        <f t="shared" si="0"/>
        <v>1.6666666666666667</v>
      </c>
      <c r="G15">
        <v>77.540983606557305</v>
      </c>
      <c r="H15">
        <f t="shared" si="1"/>
        <v>1.8328426045080244</v>
      </c>
      <c r="I15">
        <v>5</v>
      </c>
      <c r="J15">
        <v>0.81967213114754101</v>
      </c>
      <c r="K15">
        <v>72.786885245901601</v>
      </c>
      <c r="L15">
        <f t="shared" si="2"/>
        <v>1.4662740836064021</v>
      </c>
      <c r="M15">
        <v>5</v>
      </c>
      <c r="N15">
        <v>0.65573770491802497</v>
      </c>
      <c r="O15" t="s">
        <v>25</v>
      </c>
      <c r="P15" t="s">
        <v>26</v>
      </c>
      <c r="Q15">
        <v>1000</v>
      </c>
      <c r="R15">
        <v>7.8</v>
      </c>
      <c r="S15">
        <v>26</v>
      </c>
      <c r="T15" t="s">
        <v>28</v>
      </c>
      <c r="U15" t="s">
        <v>27</v>
      </c>
      <c r="V15" t="s">
        <v>27</v>
      </c>
      <c r="W15" t="s">
        <v>27</v>
      </c>
      <c r="X15">
        <v>2</v>
      </c>
      <c r="Y15">
        <v>35</v>
      </c>
      <c r="Z15" t="s">
        <v>29</v>
      </c>
      <c r="AA15" t="s">
        <v>30</v>
      </c>
      <c r="AB15" t="s">
        <v>36</v>
      </c>
      <c r="AC15" t="s">
        <v>32</v>
      </c>
      <c r="AD15" t="s">
        <v>33</v>
      </c>
    </row>
    <row r="16" spans="1:30" hidden="1" x14ac:dyDescent="0.35">
      <c r="A16" t="s">
        <v>38</v>
      </c>
      <c r="B16" t="s">
        <v>38</v>
      </c>
      <c r="C16" t="s">
        <v>68</v>
      </c>
      <c r="D16">
        <v>2009</v>
      </c>
      <c r="E16">
        <v>15</v>
      </c>
      <c r="F16">
        <f t="shared" si="0"/>
        <v>1.6666666666666667</v>
      </c>
      <c r="G16">
        <v>65.391304347826093</v>
      </c>
      <c r="H16">
        <f t="shared" si="1"/>
        <v>1.9444069369563561</v>
      </c>
      <c r="I16">
        <v>5</v>
      </c>
      <c r="J16">
        <v>0.86956521739131198</v>
      </c>
      <c r="K16">
        <v>63.478260869565197</v>
      </c>
      <c r="L16">
        <f t="shared" si="2"/>
        <v>3.1110510991301492</v>
      </c>
      <c r="M16">
        <v>5</v>
      </c>
      <c r="N16">
        <v>1.39130434782609</v>
      </c>
      <c r="O16" t="s">
        <v>25</v>
      </c>
      <c r="P16" t="s">
        <v>26</v>
      </c>
      <c r="Q16">
        <v>600</v>
      </c>
      <c r="R16">
        <v>8</v>
      </c>
      <c r="S16">
        <v>30</v>
      </c>
      <c r="T16" t="s">
        <v>28</v>
      </c>
      <c r="U16" t="s">
        <v>27</v>
      </c>
      <c r="V16" t="s">
        <v>27</v>
      </c>
      <c r="W16" t="s">
        <v>27</v>
      </c>
      <c r="X16">
        <v>1</v>
      </c>
      <c r="Y16">
        <v>35</v>
      </c>
      <c r="Z16" t="s">
        <v>29</v>
      </c>
      <c r="AA16" t="s">
        <v>30</v>
      </c>
      <c r="AB16" t="s">
        <v>36</v>
      </c>
      <c r="AC16" t="s">
        <v>32</v>
      </c>
      <c r="AD16" t="s">
        <v>33</v>
      </c>
    </row>
    <row r="17" spans="1:30" hidden="1" x14ac:dyDescent="0.35">
      <c r="A17" t="s">
        <v>38</v>
      </c>
      <c r="B17" t="s">
        <v>38</v>
      </c>
      <c r="C17" t="s">
        <v>68</v>
      </c>
      <c r="D17">
        <v>2009</v>
      </c>
      <c r="E17">
        <v>16</v>
      </c>
      <c r="F17">
        <f t="shared" si="0"/>
        <v>1.6666666666666667</v>
      </c>
      <c r="G17">
        <v>65.391304347826093</v>
      </c>
      <c r="H17">
        <f t="shared" si="1"/>
        <v>1.9444069369563561</v>
      </c>
      <c r="I17">
        <v>5</v>
      </c>
      <c r="J17">
        <v>0.86956521739131198</v>
      </c>
      <c r="K17">
        <v>61.913043478260803</v>
      </c>
      <c r="L17">
        <f t="shared" si="2"/>
        <v>1.9444069369563872</v>
      </c>
      <c r="M17">
        <v>5</v>
      </c>
      <c r="N17">
        <v>0.86956521739132597</v>
      </c>
      <c r="O17" t="s">
        <v>25</v>
      </c>
      <c r="P17" t="s">
        <v>26</v>
      </c>
      <c r="Q17">
        <v>750</v>
      </c>
      <c r="R17">
        <v>7.9</v>
      </c>
      <c r="S17">
        <v>30</v>
      </c>
      <c r="T17" t="s">
        <v>28</v>
      </c>
      <c r="U17" t="s">
        <v>27</v>
      </c>
      <c r="V17" t="s">
        <v>27</v>
      </c>
      <c r="W17" t="s">
        <v>27</v>
      </c>
      <c r="X17">
        <v>1</v>
      </c>
      <c r="Y17">
        <v>35</v>
      </c>
      <c r="Z17" t="s">
        <v>29</v>
      </c>
      <c r="AA17" t="s">
        <v>30</v>
      </c>
      <c r="AB17" t="s">
        <v>36</v>
      </c>
      <c r="AC17" t="s">
        <v>32</v>
      </c>
      <c r="AD17" t="s">
        <v>33</v>
      </c>
    </row>
    <row r="18" spans="1:30" hidden="1" x14ac:dyDescent="0.35">
      <c r="A18" t="s">
        <v>38</v>
      </c>
      <c r="B18" t="s">
        <v>38</v>
      </c>
      <c r="C18" t="s">
        <v>68</v>
      </c>
      <c r="D18">
        <v>2009</v>
      </c>
      <c r="E18">
        <v>17</v>
      </c>
      <c r="F18">
        <f t="shared" si="0"/>
        <v>1.6666666666666667</v>
      </c>
      <c r="G18">
        <v>65.391304347826093</v>
      </c>
      <c r="H18">
        <f t="shared" si="1"/>
        <v>1.9444069369563561</v>
      </c>
      <c r="I18">
        <v>5</v>
      </c>
      <c r="J18">
        <v>0.86956521739131198</v>
      </c>
      <c r="K18">
        <v>63.130434782608702</v>
      </c>
      <c r="L18">
        <f t="shared" si="2"/>
        <v>2.3332883243476177</v>
      </c>
      <c r="M18">
        <v>5</v>
      </c>
      <c r="N18">
        <v>1.0434782608695701</v>
      </c>
      <c r="O18" t="s">
        <v>25</v>
      </c>
      <c r="P18" t="s">
        <v>26</v>
      </c>
      <c r="Q18">
        <v>1000</v>
      </c>
      <c r="R18">
        <v>7.8</v>
      </c>
      <c r="S18">
        <v>30</v>
      </c>
      <c r="T18" t="s">
        <v>28</v>
      </c>
      <c r="U18" t="s">
        <v>27</v>
      </c>
      <c r="V18" t="s">
        <v>27</v>
      </c>
      <c r="W18" t="s">
        <v>27</v>
      </c>
      <c r="X18">
        <v>1</v>
      </c>
      <c r="Y18">
        <v>35</v>
      </c>
      <c r="Z18" t="s">
        <v>29</v>
      </c>
      <c r="AA18" t="s">
        <v>30</v>
      </c>
      <c r="AB18" t="s">
        <v>36</v>
      </c>
      <c r="AC18" t="s">
        <v>32</v>
      </c>
      <c r="AD18" t="s">
        <v>33</v>
      </c>
    </row>
    <row r="19" spans="1:30" hidden="1" x14ac:dyDescent="0.35">
      <c r="A19" t="s">
        <v>38</v>
      </c>
      <c r="B19" t="s">
        <v>38</v>
      </c>
      <c r="C19" t="s">
        <v>68</v>
      </c>
      <c r="D19">
        <v>2009</v>
      </c>
      <c r="E19">
        <v>18</v>
      </c>
      <c r="F19">
        <f t="shared" si="0"/>
        <v>1.6666666666666667</v>
      </c>
      <c r="G19">
        <v>72.459016393442596</v>
      </c>
      <c r="H19">
        <f t="shared" si="1"/>
        <v>1.4662740836064021</v>
      </c>
      <c r="I19">
        <v>5</v>
      </c>
      <c r="J19">
        <v>0.65573770491802497</v>
      </c>
      <c r="K19">
        <v>70.491803278688494</v>
      </c>
      <c r="L19">
        <f t="shared" si="2"/>
        <v>2.5659796463112401</v>
      </c>
      <c r="M19">
        <v>5</v>
      </c>
      <c r="N19">
        <v>1.14754098360656</v>
      </c>
      <c r="O19" t="s">
        <v>25</v>
      </c>
      <c r="P19" t="s">
        <v>26</v>
      </c>
      <c r="Q19">
        <v>600</v>
      </c>
      <c r="R19">
        <v>8</v>
      </c>
      <c r="S19">
        <v>30</v>
      </c>
      <c r="T19" t="s">
        <v>28</v>
      </c>
      <c r="U19" t="s">
        <v>27</v>
      </c>
      <c r="V19" t="s">
        <v>27</v>
      </c>
      <c r="W19" t="s">
        <v>27</v>
      </c>
      <c r="X19">
        <v>2</v>
      </c>
      <c r="Y19">
        <v>35</v>
      </c>
      <c r="Z19" t="s">
        <v>29</v>
      </c>
      <c r="AA19" t="s">
        <v>30</v>
      </c>
      <c r="AB19" t="s">
        <v>36</v>
      </c>
      <c r="AC19" t="s">
        <v>32</v>
      </c>
      <c r="AD19" t="s">
        <v>33</v>
      </c>
    </row>
    <row r="20" spans="1:30" hidden="1" x14ac:dyDescent="0.35">
      <c r="A20" t="s">
        <v>38</v>
      </c>
      <c r="B20" t="s">
        <v>38</v>
      </c>
      <c r="C20" t="s">
        <v>68</v>
      </c>
      <c r="D20">
        <v>2009</v>
      </c>
      <c r="E20">
        <v>19</v>
      </c>
      <c r="F20">
        <f t="shared" si="0"/>
        <v>1.6666666666666667</v>
      </c>
      <c r="G20">
        <v>72.459016393442596</v>
      </c>
      <c r="H20">
        <f t="shared" si="1"/>
        <v>1.4662740836064021</v>
      </c>
      <c r="I20">
        <v>5</v>
      </c>
      <c r="J20">
        <v>0.65573770491802497</v>
      </c>
      <c r="K20">
        <v>64.590163934426201</v>
      </c>
      <c r="L20">
        <f t="shared" si="2"/>
        <v>4.0322537299176755</v>
      </c>
      <c r="M20">
        <v>5</v>
      </c>
      <c r="N20">
        <v>1.8032786885245999</v>
      </c>
      <c r="O20" t="s">
        <v>25</v>
      </c>
      <c r="P20" t="s">
        <v>26</v>
      </c>
      <c r="Q20">
        <v>750</v>
      </c>
      <c r="R20">
        <v>7.9</v>
      </c>
      <c r="S20">
        <v>30</v>
      </c>
      <c r="T20" t="s">
        <v>28</v>
      </c>
      <c r="U20" t="s">
        <v>27</v>
      </c>
      <c r="V20" t="s">
        <v>27</v>
      </c>
      <c r="W20" t="s">
        <v>27</v>
      </c>
      <c r="X20">
        <v>2</v>
      </c>
      <c r="Y20">
        <v>35</v>
      </c>
      <c r="Z20" t="s">
        <v>29</v>
      </c>
      <c r="AA20" t="s">
        <v>30</v>
      </c>
      <c r="AB20" t="s">
        <v>36</v>
      </c>
      <c r="AC20" t="s">
        <v>32</v>
      </c>
      <c r="AD20" t="s">
        <v>33</v>
      </c>
    </row>
    <row r="21" spans="1:30" hidden="1" x14ac:dyDescent="0.35">
      <c r="A21" t="s">
        <v>38</v>
      </c>
      <c r="B21" t="s">
        <v>38</v>
      </c>
      <c r="C21" t="s">
        <v>68</v>
      </c>
      <c r="D21">
        <v>2009</v>
      </c>
      <c r="E21">
        <v>20</v>
      </c>
      <c r="F21">
        <f t="shared" si="0"/>
        <v>1.6666666666666667</v>
      </c>
      <c r="G21">
        <v>72.459016393442596</v>
      </c>
      <c r="H21">
        <f t="shared" si="1"/>
        <v>1.4662740836064021</v>
      </c>
      <c r="I21">
        <v>5</v>
      </c>
      <c r="J21">
        <v>0.65573770491802497</v>
      </c>
      <c r="K21">
        <v>66.885245901639294</v>
      </c>
      <c r="L21">
        <f t="shared" si="2"/>
        <v>2.1994111254096178</v>
      </c>
      <c r="M21">
        <v>5</v>
      </c>
      <c r="N21">
        <v>0.98360655737704406</v>
      </c>
      <c r="O21" t="s">
        <v>25</v>
      </c>
      <c r="P21" t="s">
        <v>26</v>
      </c>
      <c r="Q21">
        <v>1000</v>
      </c>
      <c r="R21">
        <v>7.8</v>
      </c>
      <c r="S21">
        <v>30</v>
      </c>
      <c r="T21" t="s">
        <v>28</v>
      </c>
      <c r="U21" t="s">
        <v>27</v>
      </c>
      <c r="V21" t="s">
        <v>27</v>
      </c>
      <c r="W21" t="s">
        <v>27</v>
      </c>
      <c r="X21">
        <v>2</v>
      </c>
      <c r="Y21">
        <v>35</v>
      </c>
      <c r="Z21" t="s">
        <v>29</v>
      </c>
      <c r="AA21" t="s">
        <v>30</v>
      </c>
      <c r="AB21" t="s">
        <v>36</v>
      </c>
      <c r="AC21" t="s">
        <v>32</v>
      </c>
      <c r="AD21" t="s">
        <v>33</v>
      </c>
    </row>
    <row r="22" spans="1:30" hidden="1" x14ac:dyDescent="0.35">
      <c r="A22" t="s">
        <v>38</v>
      </c>
      <c r="B22" t="s">
        <v>38</v>
      </c>
      <c r="C22" t="s">
        <v>68</v>
      </c>
      <c r="D22">
        <v>2009</v>
      </c>
      <c r="E22">
        <v>21</v>
      </c>
      <c r="F22">
        <v>5</v>
      </c>
      <c r="G22">
        <v>67.304347826086897</v>
      </c>
      <c r="H22">
        <f t="shared" si="1"/>
        <v>1.9444069369563561</v>
      </c>
      <c r="I22">
        <v>5</v>
      </c>
      <c r="J22">
        <v>0.86956521739131198</v>
      </c>
      <c r="K22">
        <v>58.7826086956522</v>
      </c>
      <c r="L22">
        <f t="shared" si="2"/>
        <v>3.4999324865213479</v>
      </c>
      <c r="M22">
        <v>5</v>
      </c>
      <c r="N22">
        <v>1.5652173913043199</v>
      </c>
      <c r="O22" t="s">
        <v>25</v>
      </c>
      <c r="P22" t="s">
        <v>26</v>
      </c>
      <c r="Q22">
        <v>600</v>
      </c>
      <c r="R22">
        <v>8</v>
      </c>
      <c r="S22">
        <v>30</v>
      </c>
      <c r="T22" t="s">
        <v>28</v>
      </c>
      <c r="U22" t="s">
        <v>27</v>
      </c>
      <c r="V22" t="s">
        <v>27</v>
      </c>
      <c r="W22" t="s">
        <v>27</v>
      </c>
      <c r="X22">
        <v>1</v>
      </c>
      <c r="Y22">
        <v>35</v>
      </c>
      <c r="Z22" t="s">
        <v>29</v>
      </c>
      <c r="AA22" t="s">
        <v>30</v>
      </c>
      <c r="AB22" t="s">
        <v>31</v>
      </c>
      <c r="AC22" t="s">
        <v>32</v>
      </c>
      <c r="AD22" t="s">
        <v>33</v>
      </c>
    </row>
    <row r="23" spans="1:30" hidden="1" x14ac:dyDescent="0.35">
      <c r="A23" t="s">
        <v>38</v>
      </c>
      <c r="B23" t="s">
        <v>38</v>
      </c>
      <c r="C23" t="s">
        <v>68</v>
      </c>
      <c r="D23">
        <v>2009</v>
      </c>
      <c r="E23">
        <v>22</v>
      </c>
      <c r="F23">
        <v>5</v>
      </c>
      <c r="G23">
        <v>72.786885245901601</v>
      </c>
      <c r="H23">
        <f t="shared" si="1"/>
        <v>1.4662740836064021</v>
      </c>
      <c r="I23">
        <v>5</v>
      </c>
      <c r="J23">
        <v>0.65573770491802497</v>
      </c>
      <c r="K23">
        <v>70.491803278688494</v>
      </c>
      <c r="L23">
        <f t="shared" si="2"/>
        <v>2.5659796463112401</v>
      </c>
      <c r="M23">
        <v>5</v>
      </c>
      <c r="N23">
        <v>1.14754098360656</v>
      </c>
      <c r="O23" t="s">
        <v>25</v>
      </c>
      <c r="P23" t="s">
        <v>26</v>
      </c>
      <c r="Q23">
        <v>600</v>
      </c>
      <c r="R23">
        <v>8</v>
      </c>
      <c r="S23">
        <v>30</v>
      </c>
      <c r="T23" t="s">
        <v>28</v>
      </c>
      <c r="U23" t="s">
        <v>27</v>
      </c>
      <c r="V23" t="s">
        <v>27</v>
      </c>
      <c r="W23" t="s">
        <v>27</v>
      </c>
      <c r="X23">
        <v>2</v>
      </c>
      <c r="Y23">
        <v>35</v>
      </c>
      <c r="Z23" t="s">
        <v>29</v>
      </c>
      <c r="AA23" t="s">
        <v>30</v>
      </c>
      <c r="AB23" t="s">
        <v>31</v>
      </c>
      <c r="AC23" t="s">
        <v>32</v>
      </c>
      <c r="AD23" t="s">
        <v>33</v>
      </c>
    </row>
    <row r="24" spans="1:30" hidden="1" x14ac:dyDescent="0.35">
      <c r="A24" t="s">
        <v>37</v>
      </c>
      <c r="B24" t="s">
        <v>37</v>
      </c>
      <c r="C24" t="s">
        <v>68</v>
      </c>
      <c r="D24">
        <v>2010</v>
      </c>
      <c r="E24">
        <v>23</v>
      </c>
      <c r="F24">
        <f t="shared" ref="F24:F32" si="3">I24/3</f>
        <v>1</v>
      </c>
      <c r="G24">
        <v>75.598792260402902</v>
      </c>
      <c r="H24">
        <f t="shared" si="1"/>
        <v>0.75630344467396515</v>
      </c>
      <c r="I24">
        <v>3</v>
      </c>
      <c r="J24">
        <v>0.43665199737155502</v>
      </c>
      <c r="K24">
        <v>70.213417626153699</v>
      </c>
      <c r="L24">
        <f t="shared" ref="L24:L26" si="4">N24*SQRT(M24)</f>
        <v>1.5126068893479319</v>
      </c>
      <c r="M24">
        <v>3</v>
      </c>
      <c r="N24">
        <v>0.87330399474311105</v>
      </c>
      <c r="O24" t="s">
        <v>25</v>
      </c>
      <c r="P24" t="s">
        <v>26</v>
      </c>
      <c r="Q24">
        <v>600</v>
      </c>
      <c r="R24">
        <v>8</v>
      </c>
      <c r="S24">
        <v>26</v>
      </c>
      <c r="T24" t="s">
        <v>28</v>
      </c>
      <c r="U24" t="s">
        <v>27</v>
      </c>
      <c r="V24" t="s">
        <v>27</v>
      </c>
      <c r="W24" t="s">
        <v>27</v>
      </c>
      <c r="X24">
        <v>2</v>
      </c>
      <c r="Y24">
        <v>35</v>
      </c>
      <c r="Z24" t="s">
        <v>29</v>
      </c>
      <c r="AA24" t="s">
        <v>30</v>
      </c>
      <c r="AB24" t="s">
        <v>36</v>
      </c>
      <c r="AC24" t="s">
        <v>32</v>
      </c>
      <c r="AD24" t="s">
        <v>33</v>
      </c>
    </row>
    <row r="25" spans="1:30" hidden="1" x14ac:dyDescent="0.35">
      <c r="A25" t="s">
        <v>37</v>
      </c>
      <c r="B25" t="s">
        <v>37</v>
      </c>
      <c r="C25" t="s">
        <v>68</v>
      </c>
      <c r="D25">
        <v>2010</v>
      </c>
      <c r="E25">
        <v>24</v>
      </c>
      <c r="F25">
        <f t="shared" si="3"/>
        <v>1</v>
      </c>
      <c r="G25">
        <v>75.598792260402902</v>
      </c>
      <c r="H25">
        <f t="shared" si="1"/>
        <v>0.75630344467396515</v>
      </c>
      <c r="I25">
        <v>3</v>
      </c>
      <c r="J25">
        <v>0.43665199737155502</v>
      </c>
      <c r="K25">
        <v>67.4479549761339</v>
      </c>
      <c r="L25">
        <f t="shared" si="4"/>
        <v>1.0084045928986041</v>
      </c>
      <c r="M25">
        <v>3</v>
      </c>
      <c r="N25">
        <v>0.58220266316206404</v>
      </c>
      <c r="O25" t="s">
        <v>25</v>
      </c>
      <c r="P25" t="s">
        <v>26</v>
      </c>
      <c r="Q25">
        <v>750</v>
      </c>
      <c r="R25">
        <v>7.9</v>
      </c>
      <c r="S25">
        <v>26</v>
      </c>
      <c r="T25" t="s">
        <v>28</v>
      </c>
      <c r="U25" t="s">
        <v>27</v>
      </c>
      <c r="V25" t="s">
        <v>27</v>
      </c>
      <c r="W25" t="s">
        <v>27</v>
      </c>
      <c r="X25">
        <v>2</v>
      </c>
      <c r="Y25">
        <v>35</v>
      </c>
      <c r="Z25" t="s">
        <v>29</v>
      </c>
      <c r="AA25" t="s">
        <v>30</v>
      </c>
      <c r="AB25" t="s">
        <v>36</v>
      </c>
      <c r="AC25" t="s">
        <v>32</v>
      </c>
      <c r="AD25" t="s">
        <v>33</v>
      </c>
    </row>
    <row r="26" spans="1:30" hidden="1" x14ac:dyDescent="0.35">
      <c r="A26" t="s">
        <v>37</v>
      </c>
      <c r="B26" t="s">
        <v>37</v>
      </c>
      <c r="C26" t="s">
        <v>68</v>
      </c>
      <c r="D26">
        <v>2010</v>
      </c>
      <c r="E26">
        <v>25</v>
      </c>
      <c r="F26">
        <f t="shared" si="3"/>
        <v>1</v>
      </c>
      <c r="G26">
        <v>75.598792260402902</v>
      </c>
      <c r="H26">
        <f t="shared" si="1"/>
        <v>0.75630344467396515</v>
      </c>
      <c r="I26">
        <v>3</v>
      </c>
      <c r="J26">
        <v>0.43665199737155502</v>
      </c>
      <c r="K26">
        <v>64.682492326114001</v>
      </c>
      <c r="L26">
        <f t="shared" si="4"/>
        <v>2.0168091857972286</v>
      </c>
      <c r="M26">
        <v>3</v>
      </c>
      <c r="N26">
        <v>1.1644053263241401</v>
      </c>
      <c r="O26" t="s">
        <v>25</v>
      </c>
      <c r="P26" t="s">
        <v>26</v>
      </c>
      <c r="Q26">
        <v>1000</v>
      </c>
      <c r="R26">
        <v>7.8</v>
      </c>
      <c r="S26">
        <v>26</v>
      </c>
      <c r="T26" t="s">
        <v>28</v>
      </c>
      <c r="U26" t="s">
        <v>27</v>
      </c>
      <c r="V26" t="s">
        <v>27</v>
      </c>
      <c r="W26" t="s">
        <v>27</v>
      </c>
      <c r="X26">
        <v>2</v>
      </c>
      <c r="Y26">
        <v>35</v>
      </c>
      <c r="Z26" t="s">
        <v>29</v>
      </c>
      <c r="AA26" t="s">
        <v>30</v>
      </c>
      <c r="AB26" t="s">
        <v>36</v>
      </c>
      <c r="AC26" t="s">
        <v>32</v>
      </c>
      <c r="AD26" t="s">
        <v>33</v>
      </c>
    </row>
    <row r="27" spans="1:30" hidden="1" x14ac:dyDescent="0.35">
      <c r="A27" t="s">
        <v>37</v>
      </c>
      <c r="B27" t="s">
        <v>37</v>
      </c>
      <c r="C27" t="s">
        <v>68</v>
      </c>
      <c r="D27">
        <v>2010</v>
      </c>
      <c r="E27">
        <v>26</v>
      </c>
      <c r="F27">
        <f t="shared" si="3"/>
        <v>1</v>
      </c>
      <c r="G27">
        <v>74.370370370370395</v>
      </c>
      <c r="H27">
        <f t="shared" si="1"/>
        <v>1.5396007178389968</v>
      </c>
      <c r="I27">
        <v>3</v>
      </c>
      <c r="J27">
        <v>0.88888888888888595</v>
      </c>
      <c r="K27">
        <v>67.851851851851904</v>
      </c>
      <c r="L27">
        <f t="shared" ref="L27:L33" si="5">N27*SQRT(M27)</f>
        <v>1.283000598199155</v>
      </c>
      <c r="M27">
        <v>3</v>
      </c>
      <c r="N27">
        <v>0.74074074074073304</v>
      </c>
      <c r="O27" t="s">
        <v>25</v>
      </c>
      <c r="P27" t="s">
        <v>26</v>
      </c>
      <c r="Q27">
        <v>600</v>
      </c>
      <c r="R27">
        <v>8</v>
      </c>
      <c r="S27">
        <v>26</v>
      </c>
      <c r="T27" t="s">
        <v>28</v>
      </c>
      <c r="U27" t="s">
        <v>27</v>
      </c>
      <c r="V27" t="s">
        <v>27</v>
      </c>
      <c r="W27" t="s">
        <v>27</v>
      </c>
      <c r="X27">
        <v>2</v>
      </c>
      <c r="Y27">
        <v>35</v>
      </c>
      <c r="Z27" t="s">
        <v>29</v>
      </c>
      <c r="AA27" t="s">
        <v>30</v>
      </c>
      <c r="AB27" t="s">
        <v>31</v>
      </c>
      <c r="AC27" t="s">
        <v>32</v>
      </c>
      <c r="AD27" t="s">
        <v>33</v>
      </c>
    </row>
    <row r="28" spans="1:30" hidden="1" x14ac:dyDescent="0.35">
      <c r="A28" t="s">
        <v>37</v>
      </c>
      <c r="B28" t="s">
        <v>37</v>
      </c>
      <c r="C28" t="s">
        <v>68</v>
      </c>
      <c r="D28">
        <v>2010</v>
      </c>
      <c r="E28">
        <v>27</v>
      </c>
      <c r="F28">
        <f t="shared" si="3"/>
        <v>1</v>
      </c>
      <c r="G28">
        <v>74.370370370370395</v>
      </c>
      <c r="H28">
        <f t="shared" si="1"/>
        <v>1.5396007178389968</v>
      </c>
      <c r="I28">
        <v>3</v>
      </c>
      <c r="J28">
        <v>0.88888888888888595</v>
      </c>
      <c r="K28">
        <v>65.481481481481495</v>
      </c>
      <c r="L28">
        <f t="shared" si="5"/>
        <v>1.796200837478841</v>
      </c>
      <c r="M28">
        <v>3</v>
      </c>
      <c r="N28">
        <v>1.0370370370370401</v>
      </c>
      <c r="O28" t="s">
        <v>25</v>
      </c>
      <c r="P28" t="s">
        <v>26</v>
      </c>
      <c r="Q28">
        <v>750</v>
      </c>
      <c r="R28">
        <v>7.9</v>
      </c>
      <c r="S28">
        <v>26</v>
      </c>
      <c r="T28" t="s">
        <v>28</v>
      </c>
      <c r="U28" t="s">
        <v>27</v>
      </c>
      <c r="V28" t="s">
        <v>27</v>
      </c>
      <c r="W28" t="s">
        <v>27</v>
      </c>
      <c r="X28">
        <v>4</v>
      </c>
      <c r="Y28">
        <v>35</v>
      </c>
      <c r="Z28" t="s">
        <v>29</v>
      </c>
      <c r="AA28" t="s">
        <v>30</v>
      </c>
      <c r="AB28" t="s">
        <v>31</v>
      </c>
      <c r="AC28" t="s">
        <v>32</v>
      </c>
      <c r="AD28" t="s">
        <v>33</v>
      </c>
    </row>
    <row r="29" spans="1:30" hidden="1" x14ac:dyDescent="0.35">
      <c r="A29" t="s">
        <v>37</v>
      </c>
      <c r="B29" t="s">
        <v>37</v>
      </c>
      <c r="C29" t="s">
        <v>68</v>
      </c>
      <c r="D29">
        <v>2010</v>
      </c>
      <c r="E29">
        <v>28</v>
      </c>
      <c r="F29">
        <f t="shared" si="3"/>
        <v>1</v>
      </c>
      <c r="G29">
        <v>74.370370370370395</v>
      </c>
      <c r="H29">
        <f t="shared" si="1"/>
        <v>1.5396007178389968</v>
      </c>
      <c r="I29">
        <v>3</v>
      </c>
      <c r="J29">
        <v>0.88888888888888595</v>
      </c>
      <c r="K29">
        <v>62.6666666666667</v>
      </c>
      <c r="L29">
        <f t="shared" si="5"/>
        <v>1.0264004785593388</v>
      </c>
      <c r="M29">
        <v>3</v>
      </c>
      <c r="N29">
        <v>0.592592592592595</v>
      </c>
      <c r="O29" t="s">
        <v>25</v>
      </c>
      <c r="P29" t="s">
        <v>26</v>
      </c>
      <c r="Q29">
        <v>1000</v>
      </c>
      <c r="R29">
        <v>7.8</v>
      </c>
      <c r="S29">
        <v>26</v>
      </c>
      <c r="T29" t="s">
        <v>28</v>
      </c>
      <c r="U29" t="s">
        <v>27</v>
      </c>
      <c r="V29" t="s">
        <v>27</v>
      </c>
      <c r="W29" t="s">
        <v>27</v>
      </c>
      <c r="X29">
        <v>4</v>
      </c>
      <c r="Y29">
        <v>35</v>
      </c>
      <c r="Z29" t="s">
        <v>29</v>
      </c>
      <c r="AA29" t="s">
        <v>30</v>
      </c>
      <c r="AB29" t="s">
        <v>31</v>
      </c>
      <c r="AC29" t="s">
        <v>32</v>
      </c>
      <c r="AD29" t="s">
        <v>33</v>
      </c>
    </row>
    <row r="30" spans="1:30" hidden="1" x14ac:dyDescent="0.35">
      <c r="A30" t="s">
        <v>37</v>
      </c>
      <c r="B30" t="s">
        <v>37</v>
      </c>
      <c r="C30" t="s">
        <v>68</v>
      </c>
      <c r="D30">
        <v>2010</v>
      </c>
      <c r="E30">
        <v>29</v>
      </c>
      <c r="F30">
        <f t="shared" si="3"/>
        <v>1</v>
      </c>
      <c r="G30">
        <v>71.668924284058903</v>
      </c>
      <c r="H30">
        <f t="shared" si="1"/>
        <v>1.2605057411232687</v>
      </c>
      <c r="I30">
        <v>3</v>
      </c>
      <c r="J30">
        <v>0.72775332895258804</v>
      </c>
      <c r="K30">
        <v>69.922316294572695</v>
      </c>
      <c r="L30">
        <f t="shared" si="5"/>
        <v>1.5126068893479319</v>
      </c>
      <c r="M30">
        <v>3</v>
      </c>
      <c r="N30">
        <v>0.87330399474311105</v>
      </c>
      <c r="O30" t="s">
        <v>25</v>
      </c>
      <c r="P30" t="s">
        <v>26</v>
      </c>
      <c r="Q30">
        <v>600</v>
      </c>
      <c r="R30">
        <v>8</v>
      </c>
      <c r="S30">
        <v>30</v>
      </c>
      <c r="T30" t="s">
        <v>28</v>
      </c>
      <c r="U30" t="s">
        <v>27</v>
      </c>
      <c r="V30" t="s">
        <v>27</v>
      </c>
      <c r="W30" t="s">
        <v>27</v>
      </c>
      <c r="X30">
        <v>2</v>
      </c>
      <c r="Y30">
        <v>35</v>
      </c>
      <c r="Z30" t="s">
        <v>29</v>
      </c>
      <c r="AA30" t="s">
        <v>30</v>
      </c>
      <c r="AB30" t="s">
        <v>36</v>
      </c>
      <c r="AC30" t="s">
        <v>32</v>
      </c>
      <c r="AD30" t="s">
        <v>33</v>
      </c>
    </row>
    <row r="31" spans="1:30" hidden="1" x14ac:dyDescent="0.35">
      <c r="A31" t="s">
        <v>37</v>
      </c>
      <c r="B31" t="s">
        <v>37</v>
      </c>
      <c r="C31" t="s">
        <v>68</v>
      </c>
      <c r="D31">
        <v>2010</v>
      </c>
      <c r="E31">
        <v>30</v>
      </c>
      <c r="F31">
        <f t="shared" si="3"/>
        <v>1</v>
      </c>
      <c r="G31">
        <v>71.668924284058903</v>
      </c>
      <c r="H31">
        <f t="shared" si="1"/>
        <v>1.2605057411232687</v>
      </c>
      <c r="I31">
        <v>3</v>
      </c>
      <c r="J31">
        <v>0.72775332895258804</v>
      </c>
      <c r="K31">
        <v>67.4479549761339</v>
      </c>
      <c r="L31">
        <f t="shared" si="5"/>
        <v>1.260505741123243</v>
      </c>
      <c r="M31">
        <v>3</v>
      </c>
      <c r="N31">
        <v>0.72775332895257305</v>
      </c>
      <c r="O31" t="s">
        <v>25</v>
      </c>
      <c r="P31" t="s">
        <v>26</v>
      </c>
      <c r="Q31">
        <v>750</v>
      </c>
      <c r="R31">
        <v>7.9</v>
      </c>
      <c r="S31">
        <v>30</v>
      </c>
      <c r="T31" t="s">
        <v>28</v>
      </c>
      <c r="U31" t="s">
        <v>27</v>
      </c>
      <c r="V31" t="s">
        <v>27</v>
      </c>
      <c r="W31" t="s">
        <v>27</v>
      </c>
      <c r="X31">
        <v>2</v>
      </c>
      <c r="Y31">
        <v>35</v>
      </c>
      <c r="Z31" t="s">
        <v>29</v>
      </c>
      <c r="AA31" t="s">
        <v>30</v>
      </c>
      <c r="AB31" t="s">
        <v>36</v>
      </c>
      <c r="AC31" t="s">
        <v>32</v>
      </c>
      <c r="AD31" t="s">
        <v>33</v>
      </c>
    </row>
    <row r="32" spans="1:30" hidden="1" x14ac:dyDescent="0.35">
      <c r="A32" t="s">
        <v>37</v>
      </c>
      <c r="B32" t="s">
        <v>37</v>
      </c>
      <c r="C32" t="s">
        <v>68</v>
      </c>
      <c r="D32">
        <v>2010</v>
      </c>
      <c r="E32">
        <v>31</v>
      </c>
      <c r="F32">
        <f t="shared" si="3"/>
        <v>1</v>
      </c>
      <c r="G32">
        <v>71.668924284058903</v>
      </c>
      <c r="H32">
        <f t="shared" si="1"/>
        <v>1.2605057411232687</v>
      </c>
      <c r="I32">
        <v>3</v>
      </c>
      <c r="J32">
        <v>0.72775332895258804</v>
      </c>
      <c r="K32">
        <v>64.536941660323507</v>
      </c>
      <c r="L32">
        <f t="shared" si="5"/>
        <v>0.75630344467394084</v>
      </c>
      <c r="M32">
        <v>3</v>
      </c>
      <c r="N32">
        <v>0.43665199737154098</v>
      </c>
      <c r="O32" t="s">
        <v>25</v>
      </c>
      <c r="P32" t="s">
        <v>26</v>
      </c>
      <c r="Q32">
        <v>1000</v>
      </c>
      <c r="R32">
        <v>7.8</v>
      </c>
      <c r="S32">
        <v>30</v>
      </c>
      <c r="T32" t="s">
        <v>28</v>
      </c>
      <c r="U32" t="s">
        <v>27</v>
      </c>
      <c r="V32" t="s">
        <v>27</v>
      </c>
      <c r="W32" t="s">
        <v>27</v>
      </c>
      <c r="X32">
        <v>2</v>
      </c>
      <c r="Y32">
        <v>35</v>
      </c>
      <c r="Z32" t="s">
        <v>29</v>
      </c>
      <c r="AA32" t="s">
        <v>30</v>
      </c>
      <c r="AB32" t="s">
        <v>36</v>
      </c>
      <c r="AC32" t="s">
        <v>32</v>
      </c>
      <c r="AD32" t="s">
        <v>33</v>
      </c>
    </row>
    <row r="33" spans="1:30" hidden="1" x14ac:dyDescent="0.35">
      <c r="A33" t="s">
        <v>37</v>
      </c>
      <c r="B33" t="s">
        <v>37</v>
      </c>
      <c r="C33" t="s">
        <v>68</v>
      </c>
      <c r="D33">
        <v>2010</v>
      </c>
      <c r="E33">
        <v>32</v>
      </c>
      <c r="F33">
        <v>3</v>
      </c>
      <c r="G33">
        <v>71.259259259259295</v>
      </c>
      <c r="H33">
        <f t="shared" si="1"/>
        <v>1.5396007178389968</v>
      </c>
      <c r="I33">
        <v>3</v>
      </c>
      <c r="J33">
        <v>0.88888888888888595</v>
      </c>
      <c r="K33">
        <v>68.8888888888889</v>
      </c>
      <c r="L33">
        <f t="shared" si="5"/>
        <v>1.283000598199155</v>
      </c>
      <c r="M33">
        <v>3</v>
      </c>
      <c r="N33">
        <v>0.74074074074073304</v>
      </c>
      <c r="O33" t="s">
        <v>25</v>
      </c>
      <c r="P33" t="s">
        <v>26</v>
      </c>
      <c r="Q33">
        <v>600</v>
      </c>
      <c r="R33">
        <v>8</v>
      </c>
      <c r="S33">
        <v>30</v>
      </c>
      <c r="T33" t="s">
        <v>28</v>
      </c>
      <c r="U33" t="s">
        <v>27</v>
      </c>
      <c r="V33" t="s">
        <v>27</v>
      </c>
      <c r="W33" t="s">
        <v>27</v>
      </c>
      <c r="X33">
        <v>2</v>
      </c>
      <c r="Y33">
        <v>35</v>
      </c>
      <c r="Z33" t="s">
        <v>29</v>
      </c>
      <c r="AA33" t="s">
        <v>30</v>
      </c>
      <c r="AB33" t="s">
        <v>31</v>
      </c>
      <c r="AC33" t="s">
        <v>32</v>
      </c>
      <c r="AD33" t="s">
        <v>33</v>
      </c>
    </row>
    <row r="34" spans="1:30" x14ac:dyDescent="0.35">
      <c r="A34" t="s">
        <v>42</v>
      </c>
      <c r="B34" t="s">
        <v>42</v>
      </c>
      <c r="C34" t="s">
        <v>67</v>
      </c>
      <c r="D34">
        <v>2012</v>
      </c>
      <c r="E34">
        <v>33</v>
      </c>
      <c r="F34">
        <v>3</v>
      </c>
      <c r="G34">
        <v>201.20481927710901</v>
      </c>
      <c r="H34">
        <v>6.26042460567073</v>
      </c>
      <c r="I34">
        <v>3</v>
      </c>
      <c r="J34">
        <v>3.6144578313253501</v>
      </c>
      <c r="K34">
        <v>187.95180722891601</v>
      </c>
      <c r="L34">
        <v>2.0868082018899798</v>
      </c>
      <c r="M34">
        <v>3</v>
      </c>
      <c r="N34">
        <v>1.2048192771082999</v>
      </c>
      <c r="O34" t="s">
        <v>25</v>
      </c>
      <c r="P34" t="s">
        <v>26</v>
      </c>
      <c r="Q34" s="1">
        <v>856</v>
      </c>
      <c r="R34">
        <v>7.8</v>
      </c>
      <c r="S34">
        <v>24</v>
      </c>
      <c r="T34" t="s">
        <v>28</v>
      </c>
      <c r="U34">
        <v>380</v>
      </c>
      <c r="V34">
        <v>8.1999999999999993</v>
      </c>
      <c r="W34">
        <v>24</v>
      </c>
      <c r="X34">
        <v>19</v>
      </c>
      <c r="Y34">
        <v>34.6</v>
      </c>
      <c r="Z34" t="s">
        <v>29</v>
      </c>
      <c r="AA34" t="s">
        <v>39</v>
      </c>
      <c r="AB34" t="s">
        <v>36</v>
      </c>
      <c r="AC34" t="s">
        <v>32</v>
      </c>
      <c r="AD34" t="s">
        <v>33</v>
      </c>
    </row>
    <row r="35" spans="1:30" x14ac:dyDescent="0.35">
      <c r="A35" t="s">
        <v>42</v>
      </c>
      <c r="B35" t="s">
        <v>42</v>
      </c>
      <c r="C35" t="s">
        <v>67</v>
      </c>
      <c r="D35">
        <v>2012</v>
      </c>
      <c r="E35">
        <v>34</v>
      </c>
      <c r="F35">
        <v>3</v>
      </c>
      <c r="G35">
        <v>277.10843373493998</v>
      </c>
      <c r="H35">
        <v>10.434041009450899</v>
      </c>
      <c r="I35">
        <v>3</v>
      </c>
      <c r="J35">
        <v>6.0240963855420704</v>
      </c>
      <c r="K35">
        <v>251.80722891566299</v>
      </c>
      <c r="L35">
        <v>6.2604246056703401</v>
      </c>
      <c r="M35">
        <v>3</v>
      </c>
      <c r="N35">
        <v>3.6144578313251299</v>
      </c>
      <c r="O35" t="s">
        <v>25</v>
      </c>
      <c r="P35" t="s">
        <v>26</v>
      </c>
      <c r="Q35">
        <v>856</v>
      </c>
      <c r="R35">
        <v>7.8</v>
      </c>
      <c r="S35">
        <v>24</v>
      </c>
      <c r="T35" t="s">
        <v>28</v>
      </c>
      <c r="U35">
        <v>380</v>
      </c>
      <c r="V35">
        <v>8.1999999999999993</v>
      </c>
      <c r="W35">
        <v>24</v>
      </c>
      <c r="X35">
        <v>19</v>
      </c>
      <c r="Y35">
        <v>34.6</v>
      </c>
      <c r="Z35" t="s">
        <v>40</v>
      </c>
      <c r="AA35" t="s">
        <v>39</v>
      </c>
      <c r="AB35" t="s">
        <v>36</v>
      </c>
      <c r="AC35" t="s">
        <v>32</v>
      </c>
      <c r="AD35" t="s">
        <v>33</v>
      </c>
    </row>
    <row r="36" spans="1:30" x14ac:dyDescent="0.35">
      <c r="A36" t="s">
        <v>42</v>
      </c>
      <c r="B36" t="s">
        <v>42</v>
      </c>
      <c r="C36" t="s">
        <v>67</v>
      </c>
      <c r="D36">
        <v>2012</v>
      </c>
      <c r="E36">
        <v>35</v>
      </c>
      <c r="F36">
        <v>3</v>
      </c>
      <c r="G36">
        <v>240.96385542168699</v>
      </c>
      <c r="H36">
        <v>6.26042460567073</v>
      </c>
      <c r="I36">
        <v>3</v>
      </c>
      <c r="J36">
        <v>3.6144578313253501</v>
      </c>
      <c r="K36">
        <v>206.02409638554201</v>
      </c>
      <c r="L36">
        <v>2.0868082018903702</v>
      </c>
      <c r="M36">
        <v>3</v>
      </c>
      <c r="N36">
        <v>1.20481927710853</v>
      </c>
      <c r="O36" t="s">
        <v>25</v>
      </c>
      <c r="P36" t="s">
        <v>26</v>
      </c>
      <c r="Q36">
        <v>856</v>
      </c>
      <c r="R36">
        <v>7.8</v>
      </c>
      <c r="S36">
        <v>24</v>
      </c>
      <c r="T36" t="s">
        <v>41</v>
      </c>
      <c r="U36">
        <v>856</v>
      </c>
      <c r="V36">
        <v>7.8</v>
      </c>
      <c r="W36">
        <v>24</v>
      </c>
      <c r="X36">
        <v>19</v>
      </c>
      <c r="Y36">
        <v>34.6</v>
      </c>
      <c r="Z36" t="s">
        <v>29</v>
      </c>
      <c r="AA36" t="s">
        <v>39</v>
      </c>
      <c r="AB36" t="s">
        <v>36</v>
      </c>
      <c r="AC36" t="s">
        <v>32</v>
      </c>
      <c r="AD36" t="s">
        <v>33</v>
      </c>
    </row>
    <row r="37" spans="1:30" x14ac:dyDescent="0.35">
      <c r="A37" t="s">
        <v>42</v>
      </c>
      <c r="B37" t="s">
        <v>42</v>
      </c>
      <c r="C37" t="s">
        <v>67</v>
      </c>
      <c r="D37">
        <v>2012</v>
      </c>
      <c r="E37">
        <v>36</v>
      </c>
      <c r="F37">
        <v>3</v>
      </c>
      <c r="G37">
        <v>273.49397590361502</v>
      </c>
      <c r="H37">
        <v>10.434041009450899</v>
      </c>
      <c r="I37">
        <v>3</v>
      </c>
      <c r="J37">
        <v>6.0240963855420704</v>
      </c>
      <c r="K37">
        <v>271.08433734939803</v>
      </c>
      <c r="L37">
        <v>4.1736164037807502</v>
      </c>
      <c r="M37">
        <v>3</v>
      </c>
      <c r="N37">
        <v>2.4096385542170502</v>
      </c>
      <c r="O37" t="s">
        <v>25</v>
      </c>
      <c r="P37" t="s">
        <v>26</v>
      </c>
      <c r="Q37">
        <v>856</v>
      </c>
      <c r="R37">
        <v>7.8</v>
      </c>
      <c r="S37">
        <v>24</v>
      </c>
      <c r="T37" t="s">
        <v>41</v>
      </c>
      <c r="U37">
        <v>856</v>
      </c>
      <c r="V37">
        <v>7.8</v>
      </c>
      <c r="W37">
        <v>24</v>
      </c>
      <c r="X37">
        <v>19</v>
      </c>
      <c r="Y37">
        <v>34.6</v>
      </c>
      <c r="Z37" t="s">
        <v>40</v>
      </c>
      <c r="AA37" t="s">
        <v>39</v>
      </c>
      <c r="AB37" t="s">
        <v>36</v>
      </c>
      <c r="AC37" t="s">
        <v>32</v>
      </c>
      <c r="AD37" t="s">
        <v>33</v>
      </c>
    </row>
    <row r="38" spans="1:30" x14ac:dyDescent="0.35">
      <c r="A38" t="s">
        <v>44</v>
      </c>
      <c r="B38" t="s">
        <v>44</v>
      </c>
      <c r="C38" t="s">
        <v>67</v>
      </c>
      <c r="D38">
        <v>2015</v>
      </c>
      <c r="E38">
        <v>37</v>
      </c>
      <c r="F38">
        <v>3</v>
      </c>
      <c r="G38">
        <v>250</v>
      </c>
      <c r="H38">
        <v>3.5294117647059098</v>
      </c>
      <c r="I38">
        <v>3</v>
      </c>
      <c r="J38">
        <f>H38*SQRT(I38)</f>
        <v>6.113120497301967</v>
      </c>
      <c r="K38">
        <v>227.058823529412</v>
      </c>
      <c r="L38">
        <v>5.8823529411764097</v>
      </c>
      <c r="M38">
        <v>3</v>
      </c>
      <c r="N38">
        <f>L38*SQRT(M38)</f>
        <v>10.188534162169761</v>
      </c>
      <c r="O38" t="s">
        <v>25</v>
      </c>
      <c r="P38" t="s">
        <v>26</v>
      </c>
      <c r="Q38">
        <v>856</v>
      </c>
      <c r="R38">
        <v>7.9</v>
      </c>
      <c r="S38">
        <v>24</v>
      </c>
      <c r="T38" t="s">
        <v>28</v>
      </c>
      <c r="U38">
        <v>385</v>
      </c>
      <c r="V38">
        <v>8.1999999999999993</v>
      </c>
      <c r="W38">
        <v>24</v>
      </c>
      <c r="X38">
        <v>19</v>
      </c>
      <c r="Y38">
        <v>34.5</v>
      </c>
      <c r="Z38" t="s">
        <v>29</v>
      </c>
      <c r="AA38" t="s">
        <v>43</v>
      </c>
      <c r="AB38" t="s">
        <v>36</v>
      </c>
      <c r="AC38" t="s">
        <v>32</v>
      </c>
      <c r="AD38" t="s">
        <v>33</v>
      </c>
    </row>
    <row r="39" spans="1:30" x14ac:dyDescent="0.35">
      <c r="A39" t="s">
        <v>44</v>
      </c>
      <c r="B39" t="s">
        <v>44</v>
      </c>
      <c r="C39" t="s">
        <v>67</v>
      </c>
      <c r="D39">
        <v>2015</v>
      </c>
      <c r="E39">
        <v>38</v>
      </c>
      <c r="F39">
        <v>3</v>
      </c>
      <c r="G39">
        <v>264.11764705882302</v>
      </c>
      <c r="H39">
        <v>8.8235294117647491</v>
      </c>
      <c r="I39">
        <v>3</v>
      </c>
      <c r="J39">
        <f>H39*SQRT(I39)</f>
        <v>15.282801243254873</v>
      </c>
      <c r="K39">
        <v>252.35294117647101</v>
      </c>
      <c r="L39">
        <v>5.8823529411763502</v>
      </c>
      <c r="M39">
        <v>3</v>
      </c>
      <c r="N39">
        <f>L39*SQRT(M39)</f>
        <v>10.188534162169658</v>
      </c>
      <c r="O39" t="s">
        <v>25</v>
      </c>
      <c r="P39" t="s">
        <v>26</v>
      </c>
      <c r="Q39">
        <v>856</v>
      </c>
      <c r="R39">
        <v>7.9</v>
      </c>
      <c r="S39">
        <v>24</v>
      </c>
      <c r="T39" t="s">
        <v>41</v>
      </c>
      <c r="U39">
        <v>856</v>
      </c>
      <c r="V39">
        <v>7.9</v>
      </c>
      <c r="W39">
        <v>24</v>
      </c>
      <c r="X39">
        <v>19</v>
      </c>
      <c r="Y39">
        <v>34.5</v>
      </c>
      <c r="Z39" t="s">
        <v>29</v>
      </c>
      <c r="AA39" t="s">
        <v>43</v>
      </c>
      <c r="AB39" t="s">
        <v>36</v>
      </c>
      <c r="AC39" t="s">
        <v>32</v>
      </c>
      <c r="AD39" t="s">
        <v>33</v>
      </c>
    </row>
    <row r="40" spans="1:30" hidden="1" x14ac:dyDescent="0.35">
      <c r="A40" t="s">
        <v>46</v>
      </c>
      <c r="B40" t="s">
        <v>46</v>
      </c>
      <c r="D40">
        <v>2018</v>
      </c>
      <c r="E40">
        <v>39</v>
      </c>
      <c r="F40">
        <v>3</v>
      </c>
      <c r="G40">
        <v>37.93</v>
      </c>
      <c r="H40">
        <v>0.4464302857109928</v>
      </c>
      <c r="I40">
        <v>3</v>
      </c>
      <c r="K40">
        <v>24.366666666666664</v>
      </c>
      <c r="L40">
        <v>3.8200043629992719</v>
      </c>
      <c r="M40">
        <v>3</v>
      </c>
      <c r="O40" t="s">
        <v>45</v>
      </c>
      <c r="P40" t="s">
        <v>26</v>
      </c>
      <c r="Q40">
        <v>856</v>
      </c>
      <c r="R40">
        <v>7.8</v>
      </c>
      <c r="S40">
        <v>24</v>
      </c>
      <c r="T40" t="s">
        <v>28</v>
      </c>
      <c r="U40">
        <v>392</v>
      </c>
      <c r="V40">
        <v>8.1999999999999993</v>
      </c>
      <c r="W40" t="s">
        <v>27</v>
      </c>
      <c r="X40">
        <v>56</v>
      </c>
      <c r="Y40">
        <v>34.5</v>
      </c>
      <c r="Z40" t="s">
        <v>29</v>
      </c>
      <c r="AA40" t="s">
        <v>30</v>
      </c>
      <c r="AB40" t="s">
        <v>36</v>
      </c>
      <c r="AC40" t="s">
        <v>32</v>
      </c>
      <c r="AD40" t="s">
        <v>33</v>
      </c>
    </row>
    <row r="41" spans="1:30" hidden="1" x14ac:dyDescent="0.35">
      <c r="A41" t="s">
        <v>46</v>
      </c>
      <c r="B41" t="s">
        <v>46</v>
      </c>
      <c r="D41">
        <v>2018</v>
      </c>
      <c r="E41">
        <v>40</v>
      </c>
      <c r="F41">
        <v>3</v>
      </c>
      <c r="G41">
        <v>38.730000000000004</v>
      </c>
      <c r="H41">
        <v>0.97964279204207705</v>
      </c>
      <c r="I41">
        <v>3</v>
      </c>
      <c r="K41">
        <v>33.656666666666666</v>
      </c>
      <c r="L41">
        <v>2.3803011014015278</v>
      </c>
      <c r="M41">
        <v>3</v>
      </c>
      <c r="O41" t="s">
        <v>45</v>
      </c>
      <c r="P41" t="s">
        <v>26</v>
      </c>
      <c r="Q41">
        <v>856</v>
      </c>
      <c r="R41">
        <v>7.8</v>
      </c>
      <c r="S41">
        <v>28</v>
      </c>
      <c r="T41" t="s">
        <v>28</v>
      </c>
      <c r="U41">
        <v>392</v>
      </c>
      <c r="V41">
        <v>8.1999999999999993</v>
      </c>
      <c r="W41" t="s">
        <v>27</v>
      </c>
      <c r="X41">
        <v>56</v>
      </c>
      <c r="Y41">
        <v>34.5</v>
      </c>
      <c r="Z41" t="s">
        <v>29</v>
      </c>
      <c r="AA41" t="s">
        <v>30</v>
      </c>
      <c r="AB41" t="s">
        <v>36</v>
      </c>
      <c r="AC41" t="s">
        <v>32</v>
      </c>
      <c r="AD41" t="s">
        <v>33</v>
      </c>
    </row>
    <row r="42" spans="1:30" x14ac:dyDescent="0.35">
      <c r="A42" t="s">
        <v>49</v>
      </c>
      <c r="B42" t="s">
        <v>49</v>
      </c>
      <c r="C42" t="s">
        <v>67</v>
      </c>
      <c r="D42">
        <v>2021</v>
      </c>
      <c r="E42">
        <v>41</v>
      </c>
      <c r="F42">
        <v>3</v>
      </c>
      <c r="G42">
        <v>73.8</v>
      </c>
      <c r="H42">
        <v>0.78729582162221501</v>
      </c>
      <c r="I42">
        <v>3</v>
      </c>
      <c r="J42">
        <v>0.45454545454545298</v>
      </c>
      <c r="K42">
        <v>70.690909090909102</v>
      </c>
      <c r="L42">
        <v>0.47237749297331899</v>
      </c>
      <c r="M42">
        <v>3</v>
      </c>
      <c r="N42">
        <v>0.27272727272726599</v>
      </c>
      <c r="O42" t="s">
        <v>25</v>
      </c>
      <c r="P42" t="s">
        <v>26</v>
      </c>
      <c r="Q42">
        <v>1000</v>
      </c>
      <c r="R42">
        <v>7.84</v>
      </c>
      <c r="S42">
        <v>22</v>
      </c>
      <c r="T42" t="s">
        <v>28</v>
      </c>
      <c r="U42">
        <v>1000</v>
      </c>
      <c r="V42">
        <v>7.84</v>
      </c>
      <c r="W42">
        <v>22</v>
      </c>
      <c r="X42">
        <v>2</v>
      </c>
      <c r="Y42">
        <v>34.6</v>
      </c>
      <c r="Z42" t="s">
        <v>47</v>
      </c>
      <c r="AA42" t="s">
        <v>43</v>
      </c>
      <c r="AB42" t="s">
        <v>36</v>
      </c>
      <c r="AC42" t="s">
        <v>32</v>
      </c>
      <c r="AD42" t="s">
        <v>47</v>
      </c>
    </row>
    <row r="43" spans="1:30" x14ac:dyDescent="0.35">
      <c r="A43" t="s">
        <v>49</v>
      </c>
      <c r="B43" t="s">
        <v>49</v>
      </c>
      <c r="C43" t="s">
        <v>67</v>
      </c>
      <c r="D43">
        <v>2021</v>
      </c>
      <c r="E43">
        <v>42</v>
      </c>
      <c r="F43">
        <v>3</v>
      </c>
      <c r="G43">
        <v>71.636363636363697</v>
      </c>
      <c r="H43">
        <v>0.157459164324423</v>
      </c>
      <c r="I43">
        <v>3</v>
      </c>
      <c r="J43">
        <v>9.0909090909079296E-2</v>
      </c>
      <c r="K43">
        <v>67.509090909090901</v>
      </c>
      <c r="L43">
        <v>0.91326315308177797</v>
      </c>
      <c r="M43">
        <v>3</v>
      </c>
      <c r="N43">
        <v>0.527272727272731</v>
      </c>
      <c r="O43" t="s">
        <v>25</v>
      </c>
      <c r="P43" t="s">
        <v>26</v>
      </c>
      <c r="Q43">
        <v>1000</v>
      </c>
      <c r="R43">
        <v>7.84</v>
      </c>
      <c r="S43">
        <v>22</v>
      </c>
      <c r="T43" t="s">
        <v>28</v>
      </c>
      <c r="U43">
        <v>1000</v>
      </c>
      <c r="V43">
        <v>7.84</v>
      </c>
      <c r="W43">
        <v>22</v>
      </c>
      <c r="X43">
        <v>2</v>
      </c>
      <c r="Y43">
        <v>34.6</v>
      </c>
      <c r="Z43" t="s">
        <v>47</v>
      </c>
      <c r="AA43" t="s">
        <v>43</v>
      </c>
      <c r="AB43" t="s">
        <v>36</v>
      </c>
      <c r="AC43" t="s">
        <v>32</v>
      </c>
      <c r="AD43" t="s">
        <v>48</v>
      </c>
    </row>
    <row r="44" spans="1:30" x14ac:dyDescent="0.35">
      <c r="A44" t="s">
        <v>49</v>
      </c>
      <c r="B44" t="s">
        <v>49</v>
      </c>
      <c r="C44" t="s">
        <v>67</v>
      </c>
      <c r="D44">
        <v>2021</v>
      </c>
      <c r="E44">
        <v>43</v>
      </c>
      <c r="F44">
        <v>3</v>
      </c>
      <c r="G44">
        <v>71.8</v>
      </c>
      <c r="H44">
        <v>0.94475498594666296</v>
      </c>
      <c r="I44">
        <v>3</v>
      </c>
      <c r="J44">
        <v>0.54545454545454697</v>
      </c>
      <c r="K44">
        <v>70.272727272727295</v>
      </c>
      <c r="L44">
        <v>0.188950997189333</v>
      </c>
      <c r="M44">
        <v>3</v>
      </c>
      <c r="N44">
        <v>0.109090909090909</v>
      </c>
      <c r="O44" t="s">
        <v>25</v>
      </c>
      <c r="P44" t="s">
        <v>26</v>
      </c>
      <c r="Q44">
        <v>1000</v>
      </c>
      <c r="R44">
        <v>7.84</v>
      </c>
      <c r="S44">
        <v>22</v>
      </c>
      <c r="T44" t="s">
        <v>28</v>
      </c>
      <c r="U44">
        <v>1000</v>
      </c>
      <c r="V44">
        <v>7.84</v>
      </c>
      <c r="W44">
        <v>22</v>
      </c>
      <c r="X44">
        <v>2</v>
      </c>
      <c r="Y44">
        <v>34.6</v>
      </c>
      <c r="Z44" t="s">
        <v>48</v>
      </c>
      <c r="AA44" t="s">
        <v>43</v>
      </c>
      <c r="AB44" t="s">
        <v>36</v>
      </c>
      <c r="AC44" t="s">
        <v>32</v>
      </c>
      <c r="AD44" t="s">
        <v>47</v>
      </c>
    </row>
    <row r="45" spans="1:30" x14ac:dyDescent="0.35">
      <c r="A45" t="s">
        <v>49</v>
      </c>
      <c r="B45" t="s">
        <v>49</v>
      </c>
      <c r="C45" t="s">
        <v>67</v>
      </c>
      <c r="D45">
        <v>2021</v>
      </c>
      <c r="E45">
        <v>44</v>
      </c>
      <c r="F45">
        <v>3</v>
      </c>
      <c r="G45">
        <v>70</v>
      </c>
      <c r="H45">
        <v>0.91326315308177797</v>
      </c>
      <c r="I45">
        <v>3</v>
      </c>
      <c r="J45">
        <v>0.527272727272731</v>
      </c>
      <c r="K45">
        <v>63.545454545454497</v>
      </c>
      <c r="L45">
        <v>0.31491832864888297</v>
      </c>
      <c r="M45">
        <v>3</v>
      </c>
      <c r="N45">
        <v>0.18181818181817999</v>
      </c>
      <c r="O45" t="s">
        <v>25</v>
      </c>
      <c r="P45" t="s">
        <v>26</v>
      </c>
      <c r="Q45">
        <v>1000</v>
      </c>
      <c r="R45">
        <v>7.84</v>
      </c>
      <c r="S45">
        <v>22</v>
      </c>
      <c r="T45" t="s">
        <v>28</v>
      </c>
      <c r="U45">
        <v>1000</v>
      </c>
      <c r="V45">
        <v>7.84</v>
      </c>
      <c r="W45">
        <v>22</v>
      </c>
      <c r="X45">
        <v>2</v>
      </c>
      <c r="Y45">
        <v>34.6</v>
      </c>
      <c r="Z45" t="s">
        <v>48</v>
      </c>
      <c r="AA45" t="s">
        <v>43</v>
      </c>
      <c r="AB45" t="s">
        <v>36</v>
      </c>
      <c r="AC45" t="s">
        <v>32</v>
      </c>
      <c r="AD45" t="s">
        <v>48</v>
      </c>
    </row>
    <row r="46" spans="1:30" x14ac:dyDescent="0.35">
      <c r="A46" t="s">
        <v>49</v>
      </c>
      <c r="B46" t="s">
        <v>49</v>
      </c>
      <c r="C46" t="s">
        <v>67</v>
      </c>
      <c r="D46">
        <v>2021</v>
      </c>
      <c r="E46">
        <v>45</v>
      </c>
      <c r="F46">
        <v>3</v>
      </c>
      <c r="G46">
        <v>73.345454545454601</v>
      </c>
      <c r="H46">
        <v>0.34641016151378001</v>
      </c>
      <c r="I46">
        <v>3</v>
      </c>
      <c r="J46">
        <v>0.20000000000000301</v>
      </c>
      <c r="K46">
        <v>70.6727272727273</v>
      </c>
      <c r="L46">
        <v>0.440885660108434</v>
      </c>
      <c r="M46">
        <v>3</v>
      </c>
      <c r="N46">
        <v>0.25454545454545002</v>
      </c>
      <c r="O46" t="s">
        <v>25</v>
      </c>
      <c r="P46" t="s">
        <v>26</v>
      </c>
      <c r="Q46">
        <v>1000</v>
      </c>
      <c r="R46">
        <v>7.84</v>
      </c>
      <c r="S46">
        <v>22</v>
      </c>
      <c r="T46" t="s">
        <v>41</v>
      </c>
      <c r="U46">
        <v>1000</v>
      </c>
      <c r="V46">
        <v>7.84</v>
      </c>
      <c r="W46">
        <v>22</v>
      </c>
      <c r="X46">
        <v>2</v>
      </c>
      <c r="Y46">
        <v>34.6</v>
      </c>
      <c r="Z46" t="s">
        <v>47</v>
      </c>
      <c r="AA46" t="s">
        <v>43</v>
      </c>
      <c r="AB46" t="s">
        <v>36</v>
      </c>
      <c r="AC46" t="s">
        <v>32</v>
      </c>
      <c r="AD46" t="s">
        <v>47</v>
      </c>
    </row>
    <row r="47" spans="1:30" x14ac:dyDescent="0.35">
      <c r="A47" t="s">
        <v>49</v>
      </c>
      <c r="B47" t="s">
        <v>49</v>
      </c>
      <c r="C47" t="s">
        <v>67</v>
      </c>
      <c r="D47">
        <v>2021</v>
      </c>
      <c r="E47">
        <v>46</v>
      </c>
      <c r="F47">
        <v>3</v>
      </c>
      <c r="G47">
        <v>73.890909090909105</v>
      </c>
      <c r="H47">
        <v>0.818787654487099</v>
      </c>
      <c r="I47">
        <v>3</v>
      </c>
      <c r="J47">
        <v>0.472727272727269</v>
      </c>
      <c r="K47">
        <v>72.345454545454601</v>
      </c>
      <c r="L47">
        <v>0.97624681881154696</v>
      </c>
      <c r="M47">
        <v>3</v>
      </c>
      <c r="N47">
        <v>0.56363636363636305</v>
      </c>
      <c r="O47" t="s">
        <v>25</v>
      </c>
      <c r="P47" t="s">
        <v>26</v>
      </c>
      <c r="Q47">
        <v>1000</v>
      </c>
      <c r="R47">
        <v>7.84</v>
      </c>
      <c r="S47">
        <v>22</v>
      </c>
      <c r="T47" t="s">
        <v>41</v>
      </c>
      <c r="U47">
        <v>1000</v>
      </c>
      <c r="V47">
        <v>7.84</v>
      </c>
      <c r="W47">
        <v>22</v>
      </c>
      <c r="X47">
        <v>2</v>
      </c>
      <c r="Y47">
        <v>34.6</v>
      </c>
      <c r="Z47" t="s">
        <v>47</v>
      </c>
      <c r="AA47" t="s">
        <v>43</v>
      </c>
      <c r="AB47" t="s">
        <v>36</v>
      </c>
      <c r="AC47" t="s">
        <v>32</v>
      </c>
      <c r="AD47" t="s">
        <v>48</v>
      </c>
    </row>
    <row r="48" spans="1:30" x14ac:dyDescent="0.35">
      <c r="A48" t="s">
        <v>49</v>
      </c>
      <c r="B48" t="s">
        <v>49</v>
      </c>
      <c r="C48" t="s">
        <v>67</v>
      </c>
      <c r="D48">
        <v>2021</v>
      </c>
      <c r="E48">
        <v>47</v>
      </c>
      <c r="F48">
        <v>3</v>
      </c>
      <c r="G48">
        <v>73.709090909090904</v>
      </c>
      <c r="H48">
        <v>0.53536115870311296</v>
      </c>
      <c r="I48">
        <v>3</v>
      </c>
      <c r="J48">
        <v>0.30909090909091202</v>
      </c>
      <c r="K48">
        <v>69.854545454545502</v>
      </c>
      <c r="L48">
        <v>0.22044283005424201</v>
      </c>
      <c r="M48">
        <v>3</v>
      </c>
      <c r="N48">
        <v>0.127272727272739</v>
      </c>
      <c r="O48" t="s">
        <v>25</v>
      </c>
      <c r="P48" t="s">
        <v>26</v>
      </c>
      <c r="Q48">
        <v>1000</v>
      </c>
      <c r="R48">
        <v>7.84</v>
      </c>
      <c r="S48">
        <v>22</v>
      </c>
      <c r="T48" t="s">
        <v>41</v>
      </c>
      <c r="U48">
        <v>1000</v>
      </c>
      <c r="V48">
        <v>7.84</v>
      </c>
      <c r="W48">
        <v>22</v>
      </c>
      <c r="X48">
        <v>2</v>
      </c>
      <c r="Y48">
        <v>34.6</v>
      </c>
      <c r="Z48" t="s">
        <v>48</v>
      </c>
      <c r="AA48" t="s">
        <v>43</v>
      </c>
      <c r="AB48" t="s">
        <v>36</v>
      </c>
      <c r="AC48" t="s">
        <v>32</v>
      </c>
      <c r="AD48" t="s">
        <v>47</v>
      </c>
    </row>
    <row r="49" spans="1:30" x14ac:dyDescent="0.35">
      <c r="A49" t="s">
        <v>49</v>
      </c>
      <c r="B49" t="s">
        <v>49</v>
      </c>
      <c r="C49" t="s">
        <v>67</v>
      </c>
      <c r="D49">
        <v>2021</v>
      </c>
      <c r="E49">
        <v>48</v>
      </c>
      <c r="F49">
        <v>3</v>
      </c>
      <c r="G49">
        <v>71.636363636363697</v>
      </c>
      <c r="H49">
        <v>0.12596733145953901</v>
      </c>
      <c r="I49">
        <v>3</v>
      </c>
      <c r="J49">
        <v>7.2727272727263398E-2</v>
      </c>
      <c r="K49">
        <v>69.8363636363636</v>
      </c>
      <c r="L49">
        <v>0.37790199437866501</v>
      </c>
      <c r="M49">
        <v>3</v>
      </c>
      <c r="N49">
        <v>0.218181818181819</v>
      </c>
      <c r="O49" t="s">
        <v>25</v>
      </c>
      <c r="P49" t="s">
        <v>26</v>
      </c>
      <c r="Q49">
        <v>1000</v>
      </c>
      <c r="R49">
        <v>7.84</v>
      </c>
      <c r="S49">
        <v>22</v>
      </c>
      <c r="T49" t="s">
        <v>41</v>
      </c>
      <c r="U49">
        <v>1000</v>
      </c>
      <c r="V49">
        <v>7.84</v>
      </c>
      <c r="W49">
        <v>22</v>
      </c>
      <c r="X49">
        <v>2</v>
      </c>
      <c r="Y49">
        <v>34.6</v>
      </c>
      <c r="Z49" t="s">
        <v>48</v>
      </c>
      <c r="AA49" t="s">
        <v>43</v>
      </c>
      <c r="AB49" t="s">
        <v>36</v>
      </c>
      <c r="AC49" t="s">
        <v>32</v>
      </c>
      <c r="AD49" t="s">
        <v>48</v>
      </c>
    </row>
    <row r="50" spans="1:30" x14ac:dyDescent="0.35">
      <c r="A50" t="s">
        <v>50</v>
      </c>
      <c r="B50" t="s">
        <v>50</v>
      </c>
      <c r="C50" t="s">
        <v>67</v>
      </c>
      <c r="D50">
        <v>2021</v>
      </c>
      <c r="E50">
        <v>49</v>
      </c>
      <c r="F50">
        <f>I50</f>
        <v>3</v>
      </c>
      <c r="G50">
        <v>70.588235294117695</v>
      </c>
      <c r="H50">
        <v>0.50942670810849799</v>
      </c>
      <c r="I50">
        <v>3</v>
      </c>
      <c r="J50">
        <v>0.29411764705882598</v>
      </c>
      <c r="K50">
        <v>66.176470588235304</v>
      </c>
      <c r="L50">
        <v>1.2735667702712301</v>
      </c>
      <c r="M50">
        <v>3</v>
      </c>
      <c r="N50">
        <v>0.73529411764705799</v>
      </c>
      <c r="O50" t="s">
        <v>25</v>
      </c>
      <c r="P50" t="s">
        <v>26</v>
      </c>
      <c r="Q50">
        <v>800</v>
      </c>
      <c r="R50">
        <v>7.8</v>
      </c>
      <c r="S50">
        <v>24</v>
      </c>
      <c r="T50" t="s">
        <v>28</v>
      </c>
      <c r="U50">
        <v>400</v>
      </c>
      <c r="V50">
        <v>8.1</v>
      </c>
      <c r="W50">
        <v>24</v>
      </c>
      <c r="X50">
        <v>1</v>
      </c>
      <c r="Y50">
        <v>34.1</v>
      </c>
      <c r="Z50" t="s">
        <v>29</v>
      </c>
      <c r="AA50" t="s">
        <v>43</v>
      </c>
      <c r="AB50" t="s">
        <v>36</v>
      </c>
      <c r="AC50" t="s">
        <v>32</v>
      </c>
      <c r="AD50" t="s">
        <v>33</v>
      </c>
    </row>
    <row r="51" spans="1:30" x14ac:dyDescent="0.35">
      <c r="A51" t="s">
        <v>50</v>
      </c>
      <c r="B51" t="s">
        <v>50</v>
      </c>
      <c r="C51" t="s">
        <v>67</v>
      </c>
      <c r="D51">
        <v>2021</v>
      </c>
      <c r="E51">
        <v>50</v>
      </c>
      <c r="F51">
        <f t="shared" ref="F51:F93" si="6">I51</f>
        <v>3</v>
      </c>
      <c r="G51">
        <v>79.558823529411796</v>
      </c>
      <c r="H51">
        <v>0.76414006216275898</v>
      </c>
      <c r="I51">
        <v>3</v>
      </c>
      <c r="J51">
        <v>0.44117647058824599</v>
      </c>
      <c r="K51">
        <v>73.823529411764696</v>
      </c>
      <c r="L51">
        <v>1.01885341621697</v>
      </c>
      <c r="M51">
        <v>3</v>
      </c>
      <c r="N51">
        <v>0.58823529411763797</v>
      </c>
      <c r="O51" t="s">
        <v>25</v>
      </c>
      <c r="P51" t="s">
        <v>26</v>
      </c>
      <c r="Q51">
        <v>800</v>
      </c>
      <c r="R51">
        <v>7.8</v>
      </c>
      <c r="S51">
        <v>24</v>
      </c>
      <c r="T51" t="s">
        <v>28</v>
      </c>
      <c r="U51">
        <v>400</v>
      </c>
      <c r="V51">
        <v>8.1</v>
      </c>
      <c r="W51">
        <v>24</v>
      </c>
      <c r="X51">
        <v>5</v>
      </c>
      <c r="Y51">
        <v>34.1</v>
      </c>
      <c r="Z51" t="s">
        <v>29</v>
      </c>
      <c r="AA51" t="s">
        <v>43</v>
      </c>
      <c r="AB51" t="s">
        <v>36</v>
      </c>
      <c r="AC51" t="s">
        <v>32</v>
      </c>
      <c r="AD51" t="s">
        <v>33</v>
      </c>
    </row>
    <row r="52" spans="1:30" x14ac:dyDescent="0.35">
      <c r="A52" t="s">
        <v>50</v>
      </c>
      <c r="B52" t="s">
        <v>50</v>
      </c>
      <c r="C52" t="s">
        <v>67</v>
      </c>
      <c r="D52">
        <v>2021</v>
      </c>
      <c r="E52">
        <v>51</v>
      </c>
      <c r="F52">
        <f t="shared" si="6"/>
        <v>3</v>
      </c>
      <c r="G52">
        <v>82.941176470588204</v>
      </c>
      <c r="H52">
        <v>3.3112736027051999</v>
      </c>
      <c r="I52">
        <v>3</v>
      </c>
      <c r="J52">
        <v>1.9117647058823499</v>
      </c>
      <c r="K52">
        <v>80.882352941176507</v>
      </c>
      <c r="L52">
        <v>1.52828012432549</v>
      </c>
      <c r="M52">
        <v>3</v>
      </c>
      <c r="N52">
        <v>0.882352941176478</v>
      </c>
      <c r="O52" t="s">
        <v>25</v>
      </c>
      <c r="P52" t="s">
        <v>26</v>
      </c>
      <c r="Q52">
        <v>800</v>
      </c>
      <c r="R52">
        <v>7.8</v>
      </c>
      <c r="S52">
        <v>24</v>
      </c>
      <c r="T52" t="s">
        <v>28</v>
      </c>
      <c r="U52">
        <v>400</v>
      </c>
      <c r="V52">
        <v>8.1</v>
      </c>
      <c r="W52">
        <v>24</v>
      </c>
      <c r="X52">
        <v>7</v>
      </c>
      <c r="Y52">
        <v>34.1</v>
      </c>
      <c r="Z52" t="s">
        <v>29</v>
      </c>
      <c r="AA52" t="s">
        <v>43</v>
      </c>
      <c r="AB52" t="s">
        <v>36</v>
      </c>
      <c r="AC52" t="s">
        <v>32</v>
      </c>
      <c r="AD52" t="s">
        <v>33</v>
      </c>
    </row>
    <row r="53" spans="1:30" x14ac:dyDescent="0.35">
      <c r="A53" t="s">
        <v>50</v>
      </c>
      <c r="B53" t="s">
        <v>50</v>
      </c>
      <c r="C53" t="s">
        <v>67</v>
      </c>
      <c r="D53">
        <v>2021</v>
      </c>
      <c r="E53">
        <v>52</v>
      </c>
      <c r="F53">
        <f t="shared" si="6"/>
        <v>3</v>
      </c>
      <c r="G53">
        <v>87.647058823529406</v>
      </c>
      <c r="H53">
        <v>1.7829934783797301</v>
      </c>
      <c r="I53">
        <v>3</v>
      </c>
      <c r="J53">
        <v>1.02941176470588</v>
      </c>
      <c r="K53">
        <v>87.058823529411796</v>
      </c>
      <c r="L53">
        <v>0.764140062162734</v>
      </c>
      <c r="M53">
        <v>3</v>
      </c>
      <c r="N53">
        <v>0.44117647058823201</v>
      </c>
      <c r="O53" t="s">
        <v>25</v>
      </c>
      <c r="P53" t="s">
        <v>26</v>
      </c>
      <c r="Q53">
        <v>800</v>
      </c>
      <c r="R53">
        <v>7.8</v>
      </c>
      <c r="S53">
        <v>24</v>
      </c>
      <c r="T53" t="s">
        <v>28</v>
      </c>
      <c r="U53">
        <v>400</v>
      </c>
      <c r="V53">
        <v>8.1</v>
      </c>
      <c r="W53">
        <v>24</v>
      </c>
      <c r="X53">
        <v>9</v>
      </c>
      <c r="Y53">
        <v>34.1</v>
      </c>
      <c r="Z53" t="s">
        <v>29</v>
      </c>
      <c r="AA53" t="s">
        <v>43</v>
      </c>
      <c r="AB53" t="s">
        <v>36</v>
      </c>
      <c r="AC53" t="s">
        <v>32</v>
      </c>
      <c r="AD53" t="s">
        <v>33</v>
      </c>
    </row>
    <row r="54" spans="1:30" x14ac:dyDescent="0.35">
      <c r="A54" t="s">
        <v>50</v>
      </c>
      <c r="B54" t="s">
        <v>50</v>
      </c>
      <c r="C54" t="s">
        <v>67</v>
      </c>
      <c r="D54">
        <v>2021</v>
      </c>
      <c r="E54">
        <v>53</v>
      </c>
      <c r="F54">
        <f t="shared" si="6"/>
        <v>3</v>
      </c>
      <c r="G54">
        <v>92.5</v>
      </c>
      <c r="H54">
        <v>6.8772605594646601</v>
      </c>
      <c r="I54">
        <v>3</v>
      </c>
      <c r="J54">
        <v>3.97058823529412</v>
      </c>
      <c r="K54">
        <v>98.676470588235304</v>
      </c>
      <c r="L54">
        <v>5.8584071432476597</v>
      </c>
      <c r="M54">
        <v>3</v>
      </c>
      <c r="N54">
        <v>3.3823529411764599</v>
      </c>
      <c r="O54" t="s">
        <v>25</v>
      </c>
      <c r="P54" t="s">
        <v>26</v>
      </c>
      <c r="Q54">
        <v>800</v>
      </c>
      <c r="R54">
        <v>7.8</v>
      </c>
      <c r="S54">
        <v>24</v>
      </c>
      <c r="T54" t="s">
        <v>28</v>
      </c>
      <c r="U54">
        <v>400</v>
      </c>
      <c r="V54">
        <v>8.1</v>
      </c>
      <c r="W54">
        <v>24</v>
      </c>
      <c r="X54">
        <v>11</v>
      </c>
      <c r="Y54">
        <v>34.1</v>
      </c>
      <c r="Z54" t="s">
        <v>29</v>
      </c>
      <c r="AA54" t="s">
        <v>43</v>
      </c>
      <c r="AB54" t="s">
        <v>36</v>
      </c>
      <c r="AC54" t="s">
        <v>32</v>
      </c>
      <c r="AD54" t="s">
        <v>33</v>
      </c>
    </row>
    <row r="55" spans="1:30" x14ac:dyDescent="0.35">
      <c r="A55" t="s">
        <v>50</v>
      </c>
      <c r="B55" t="s">
        <v>50</v>
      </c>
      <c r="C55" t="s">
        <v>67</v>
      </c>
      <c r="D55">
        <v>2021</v>
      </c>
      <c r="E55">
        <v>54</v>
      </c>
      <c r="F55">
        <f t="shared" si="6"/>
        <v>3</v>
      </c>
      <c r="G55">
        <v>103.82352941176499</v>
      </c>
      <c r="H55">
        <v>8.1508273297359093</v>
      </c>
      <c r="I55">
        <v>3</v>
      </c>
      <c r="J55">
        <v>4.70588235294119</v>
      </c>
      <c r="K55">
        <v>107.058823529412</v>
      </c>
      <c r="L55">
        <v>9.6791074540613806</v>
      </c>
      <c r="M55">
        <v>3</v>
      </c>
      <c r="N55">
        <v>5.5882352941176503</v>
      </c>
      <c r="O55" t="s">
        <v>25</v>
      </c>
      <c r="P55" t="s">
        <v>26</v>
      </c>
      <c r="Q55">
        <v>800</v>
      </c>
      <c r="R55">
        <v>7.8</v>
      </c>
      <c r="S55">
        <v>24</v>
      </c>
      <c r="T55" t="s">
        <v>28</v>
      </c>
      <c r="U55">
        <v>400</v>
      </c>
      <c r="V55">
        <v>8.1</v>
      </c>
      <c r="W55">
        <v>24</v>
      </c>
      <c r="X55">
        <v>13</v>
      </c>
      <c r="Y55">
        <v>34.1</v>
      </c>
      <c r="Z55" t="s">
        <v>29</v>
      </c>
      <c r="AA55" t="s">
        <v>43</v>
      </c>
      <c r="AB55" t="s">
        <v>36</v>
      </c>
      <c r="AC55" t="s">
        <v>32</v>
      </c>
      <c r="AD55" t="s">
        <v>33</v>
      </c>
    </row>
    <row r="56" spans="1:30" x14ac:dyDescent="0.35">
      <c r="A56" t="s">
        <v>50</v>
      </c>
      <c r="B56" t="s">
        <v>50</v>
      </c>
      <c r="C56" t="s">
        <v>67</v>
      </c>
      <c r="D56">
        <v>2021</v>
      </c>
      <c r="E56">
        <v>55</v>
      </c>
      <c r="F56">
        <f t="shared" si="6"/>
        <v>3</v>
      </c>
      <c r="G56">
        <v>69.411764705882405</v>
      </c>
      <c r="H56">
        <v>1.52828012432549</v>
      </c>
      <c r="I56">
        <v>3</v>
      </c>
      <c r="J56">
        <v>0.882352941176478</v>
      </c>
      <c r="K56">
        <v>67.647058823529406</v>
      </c>
      <c r="L56">
        <v>0.764140062162734</v>
      </c>
      <c r="M56">
        <v>3</v>
      </c>
      <c r="N56">
        <v>0.44117647058823201</v>
      </c>
      <c r="O56" t="s">
        <v>25</v>
      </c>
      <c r="P56" t="s">
        <v>26</v>
      </c>
      <c r="Q56">
        <v>800</v>
      </c>
      <c r="R56">
        <v>7.8</v>
      </c>
      <c r="S56">
        <v>24</v>
      </c>
      <c r="T56" t="s">
        <v>41</v>
      </c>
      <c r="U56">
        <v>800</v>
      </c>
      <c r="V56">
        <v>7.8</v>
      </c>
      <c r="W56">
        <v>24</v>
      </c>
      <c r="X56">
        <v>1</v>
      </c>
      <c r="Y56">
        <v>34.1</v>
      </c>
      <c r="Z56" t="s">
        <v>29</v>
      </c>
      <c r="AA56" t="s">
        <v>43</v>
      </c>
      <c r="AB56" t="s">
        <v>36</v>
      </c>
      <c r="AC56" t="s">
        <v>32</v>
      </c>
      <c r="AD56" t="s">
        <v>33</v>
      </c>
    </row>
    <row r="57" spans="1:30" x14ac:dyDescent="0.35">
      <c r="A57" t="s">
        <v>50</v>
      </c>
      <c r="B57" t="s">
        <v>50</v>
      </c>
      <c r="C57" t="s">
        <v>67</v>
      </c>
      <c r="D57">
        <v>2021</v>
      </c>
      <c r="E57">
        <v>56</v>
      </c>
      <c r="F57">
        <f t="shared" si="6"/>
        <v>3</v>
      </c>
      <c r="G57">
        <v>78.382352941176507</v>
      </c>
      <c r="H57">
        <v>1.52828012432549</v>
      </c>
      <c r="I57">
        <v>3</v>
      </c>
      <c r="J57">
        <v>0.882352941176478</v>
      </c>
      <c r="K57">
        <v>76.470588235294102</v>
      </c>
      <c r="L57">
        <v>2.2924201864882301</v>
      </c>
      <c r="M57">
        <v>3</v>
      </c>
      <c r="N57">
        <v>1.3235294117647101</v>
      </c>
      <c r="O57" t="s">
        <v>25</v>
      </c>
      <c r="P57" t="s">
        <v>26</v>
      </c>
      <c r="Q57">
        <v>800</v>
      </c>
      <c r="R57">
        <v>7.8</v>
      </c>
      <c r="S57">
        <v>24</v>
      </c>
      <c r="T57" t="s">
        <v>41</v>
      </c>
      <c r="U57">
        <v>800</v>
      </c>
      <c r="V57">
        <v>7.8</v>
      </c>
      <c r="W57">
        <v>24</v>
      </c>
      <c r="X57">
        <v>5</v>
      </c>
      <c r="Y57">
        <v>34.1</v>
      </c>
      <c r="Z57" t="s">
        <v>29</v>
      </c>
      <c r="AA57" t="s">
        <v>43</v>
      </c>
      <c r="AB57" t="s">
        <v>36</v>
      </c>
      <c r="AC57" t="s">
        <v>32</v>
      </c>
      <c r="AD57" t="s">
        <v>33</v>
      </c>
    </row>
    <row r="58" spans="1:30" x14ac:dyDescent="0.35">
      <c r="A58" t="s">
        <v>50</v>
      </c>
      <c r="B58" t="s">
        <v>50</v>
      </c>
      <c r="C58" t="s">
        <v>67</v>
      </c>
      <c r="D58">
        <v>2021</v>
      </c>
      <c r="E58">
        <v>57</v>
      </c>
      <c r="F58">
        <f t="shared" si="6"/>
        <v>3</v>
      </c>
      <c r="G58">
        <v>83.529411764705898</v>
      </c>
      <c r="H58">
        <v>5.0942670810849302</v>
      </c>
      <c r="I58">
        <v>3</v>
      </c>
      <c r="J58">
        <v>2.9411764705882302</v>
      </c>
      <c r="K58">
        <v>82.794117647058798</v>
      </c>
      <c r="L58">
        <v>2.5471335405424398</v>
      </c>
      <c r="M58">
        <v>3</v>
      </c>
      <c r="N58">
        <v>1.4705882352941</v>
      </c>
      <c r="O58" t="s">
        <v>25</v>
      </c>
      <c r="P58" t="s">
        <v>26</v>
      </c>
      <c r="Q58">
        <v>800</v>
      </c>
      <c r="R58">
        <v>7.8</v>
      </c>
      <c r="S58">
        <v>24</v>
      </c>
      <c r="T58" t="s">
        <v>41</v>
      </c>
      <c r="U58">
        <v>800</v>
      </c>
      <c r="V58">
        <v>7.8</v>
      </c>
      <c r="W58">
        <v>24</v>
      </c>
      <c r="X58">
        <v>7</v>
      </c>
      <c r="Y58">
        <v>34.1</v>
      </c>
      <c r="Z58" t="s">
        <v>29</v>
      </c>
      <c r="AA58" t="s">
        <v>43</v>
      </c>
      <c r="AB58" t="s">
        <v>36</v>
      </c>
      <c r="AC58" t="s">
        <v>32</v>
      </c>
      <c r="AD58" t="s">
        <v>33</v>
      </c>
    </row>
    <row r="59" spans="1:30" x14ac:dyDescent="0.35">
      <c r="A59" t="s">
        <v>50</v>
      </c>
      <c r="B59" t="s">
        <v>50</v>
      </c>
      <c r="C59" t="s">
        <v>67</v>
      </c>
      <c r="D59">
        <v>2021</v>
      </c>
      <c r="E59">
        <v>58</v>
      </c>
      <c r="F59">
        <f t="shared" si="6"/>
        <v>3</v>
      </c>
      <c r="G59">
        <v>91.617647058823493</v>
      </c>
      <c r="H59">
        <v>3.5659869567594602</v>
      </c>
      <c r="I59">
        <v>3</v>
      </c>
      <c r="J59">
        <v>2.0588235294117698</v>
      </c>
      <c r="K59">
        <v>89.705882352941202</v>
      </c>
      <c r="L59">
        <v>2.2924201864881999</v>
      </c>
      <c r="M59">
        <v>3</v>
      </c>
      <c r="N59">
        <v>1.3235294117647001</v>
      </c>
      <c r="O59" t="s">
        <v>25</v>
      </c>
      <c r="P59" t="s">
        <v>26</v>
      </c>
      <c r="Q59">
        <v>800</v>
      </c>
      <c r="R59">
        <v>7.8</v>
      </c>
      <c r="S59">
        <v>24</v>
      </c>
      <c r="T59" t="s">
        <v>41</v>
      </c>
      <c r="U59">
        <v>800</v>
      </c>
      <c r="V59">
        <v>7.8</v>
      </c>
      <c r="W59">
        <v>24</v>
      </c>
      <c r="X59">
        <v>9</v>
      </c>
      <c r="Y59">
        <v>34.1</v>
      </c>
      <c r="Z59" t="s">
        <v>29</v>
      </c>
      <c r="AA59" t="s">
        <v>43</v>
      </c>
      <c r="AB59" t="s">
        <v>36</v>
      </c>
      <c r="AC59" t="s">
        <v>32</v>
      </c>
      <c r="AD59" t="s">
        <v>33</v>
      </c>
    </row>
    <row r="60" spans="1:30" x14ac:dyDescent="0.35">
      <c r="A60" t="s">
        <v>50</v>
      </c>
      <c r="B60" t="s">
        <v>50</v>
      </c>
      <c r="C60" t="s">
        <v>67</v>
      </c>
      <c r="D60">
        <v>2021</v>
      </c>
      <c r="E60">
        <v>59</v>
      </c>
      <c r="F60">
        <f t="shared" si="6"/>
        <v>3</v>
      </c>
      <c r="G60">
        <v>94.705882352941202</v>
      </c>
      <c r="H60">
        <v>5.60369378919345</v>
      </c>
      <c r="I60">
        <v>3</v>
      </c>
      <c r="J60">
        <v>3.23529411764707</v>
      </c>
      <c r="K60">
        <v>95.294117647058798</v>
      </c>
      <c r="L60">
        <v>4.5848403729764797</v>
      </c>
      <c r="M60">
        <v>3</v>
      </c>
      <c r="N60">
        <v>2.6470588235294299</v>
      </c>
      <c r="O60" t="s">
        <v>25</v>
      </c>
      <c r="P60" t="s">
        <v>26</v>
      </c>
      <c r="Q60">
        <v>800</v>
      </c>
      <c r="R60">
        <v>7.8</v>
      </c>
      <c r="S60">
        <v>24</v>
      </c>
      <c r="T60" t="s">
        <v>41</v>
      </c>
      <c r="U60">
        <v>800</v>
      </c>
      <c r="V60">
        <v>7.8</v>
      </c>
      <c r="W60">
        <v>24</v>
      </c>
      <c r="X60">
        <v>11</v>
      </c>
      <c r="Y60">
        <v>34.1</v>
      </c>
      <c r="Z60" t="s">
        <v>29</v>
      </c>
      <c r="AA60" t="s">
        <v>43</v>
      </c>
      <c r="AB60" t="s">
        <v>36</v>
      </c>
      <c r="AC60" t="s">
        <v>32</v>
      </c>
      <c r="AD60" t="s">
        <v>33</v>
      </c>
    </row>
    <row r="61" spans="1:30" x14ac:dyDescent="0.35">
      <c r="A61" t="s">
        <v>50</v>
      </c>
      <c r="B61" t="s">
        <v>50</v>
      </c>
      <c r="C61" t="s">
        <v>67</v>
      </c>
      <c r="D61">
        <v>2021</v>
      </c>
      <c r="E61">
        <v>60</v>
      </c>
      <c r="F61">
        <f t="shared" si="6"/>
        <v>3</v>
      </c>
      <c r="G61">
        <v>106.91176470588201</v>
      </c>
      <c r="H61">
        <v>5.8584071432476597</v>
      </c>
      <c r="I61">
        <v>3</v>
      </c>
      <c r="J61">
        <v>3.3823529411764599</v>
      </c>
      <c r="K61">
        <v>102.5</v>
      </c>
      <c r="L61">
        <v>5.0942670810849497</v>
      </c>
      <c r="M61">
        <v>3</v>
      </c>
      <c r="N61">
        <v>2.9411764705882502</v>
      </c>
      <c r="O61" t="s">
        <v>25</v>
      </c>
      <c r="P61" t="s">
        <v>26</v>
      </c>
      <c r="Q61">
        <v>800</v>
      </c>
      <c r="R61">
        <v>7.8</v>
      </c>
      <c r="S61">
        <v>24</v>
      </c>
      <c r="T61" t="s">
        <v>41</v>
      </c>
      <c r="U61">
        <v>800</v>
      </c>
      <c r="V61">
        <v>7.8</v>
      </c>
      <c r="W61">
        <v>24</v>
      </c>
      <c r="X61">
        <v>13</v>
      </c>
      <c r="Y61">
        <v>34.1</v>
      </c>
      <c r="Z61" t="s">
        <v>29</v>
      </c>
      <c r="AA61" t="s">
        <v>43</v>
      </c>
      <c r="AB61" t="s">
        <v>36</v>
      </c>
      <c r="AC61" t="s">
        <v>32</v>
      </c>
      <c r="AD61" t="s">
        <v>33</v>
      </c>
    </row>
    <row r="62" spans="1:30" x14ac:dyDescent="0.35">
      <c r="A62" t="s">
        <v>50</v>
      </c>
      <c r="B62" t="s">
        <v>50</v>
      </c>
      <c r="C62" t="s">
        <v>67</v>
      </c>
      <c r="D62">
        <v>2021</v>
      </c>
      <c r="E62">
        <v>61</v>
      </c>
      <c r="F62">
        <f t="shared" si="6"/>
        <v>3</v>
      </c>
      <c r="G62">
        <v>71.064750930173801</v>
      </c>
      <c r="H62">
        <v>1.1355966534470701</v>
      </c>
      <c r="I62">
        <v>3</v>
      </c>
      <c r="J62">
        <v>0.655637033558506</v>
      </c>
      <c r="K62">
        <v>67.524310948957904</v>
      </c>
      <c r="L62">
        <v>1.1355966534470701</v>
      </c>
      <c r="M62">
        <v>3</v>
      </c>
      <c r="N62">
        <v>0.655637033558506</v>
      </c>
      <c r="O62" t="s">
        <v>25</v>
      </c>
      <c r="P62" t="s">
        <v>26</v>
      </c>
      <c r="Q62">
        <v>800</v>
      </c>
      <c r="R62">
        <v>7.8</v>
      </c>
      <c r="S62">
        <v>28</v>
      </c>
      <c r="T62" t="s">
        <v>28</v>
      </c>
      <c r="U62">
        <v>400</v>
      </c>
      <c r="V62">
        <v>8.1</v>
      </c>
      <c r="W62">
        <v>28</v>
      </c>
      <c r="X62">
        <v>1</v>
      </c>
      <c r="Y62">
        <v>34.1</v>
      </c>
      <c r="Z62" t="s">
        <v>29</v>
      </c>
      <c r="AA62" t="s">
        <v>43</v>
      </c>
      <c r="AB62" t="s">
        <v>36</v>
      </c>
      <c r="AC62" t="s">
        <v>32</v>
      </c>
      <c r="AD62" t="s">
        <v>33</v>
      </c>
    </row>
    <row r="63" spans="1:30" x14ac:dyDescent="0.35">
      <c r="A63" t="s">
        <v>50</v>
      </c>
      <c r="B63" t="s">
        <v>50</v>
      </c>
      <c r="C63" t="s">
        <v>67</v>
      </c>
      <c r="D63">
        <v>2021</v>
      </c>
      <c r="E63">
        <v>62</v>
      </c>
      <c r="F63">
        <f t="shared" si="6"/>
        <v>3</v>
      </c>
      <c r="G63">
        <v>76.572102012065201</v>
      </c>
      <c r="H63">
        <v>1.36271598413648</v>
      </c>
      <c r="I63">
        <v>3</v>
      </c>
      <c r="J63">
        <v>0.78676444027020398</v>
      </c>
      <c r="K63">
        <v>75.260827944948204</v>
      </c>
      <c r="L63">
        <v>1.36271598413648</v>
      </c>
      <c r="M63">
        <v>3</v>
      </c>
      <c r="N63">
        <v>0.78676444027020398</v>
      </c>
      <c r="O63" t="s">
        <v>25</v>
      </c>
      <c r="P63" t="s">
        <v>26</v>
      </c>
      <c r="Q63">
        <v>800</v>
      </c>
      <c r="R63">
        <v>7.8</v>
      </c>
      <c r="S63">
        <v>28</v>
      </c>
      <c r="T63" t="s">
        <v>28</v>
      </c>
      <c r="U63">
        <v>400</v>
      </c>
      <c r="V63">
        <v>8.1</v>
      </c>
      <c r="W63">
        <v>28</v>
      </c>
      <c r="X63">
        <v>5</v>
      </c>
      <c r="Y63">
        <v>34.1</v>
      </c>
      <c r="Z63" t="s">
        <v>29</v>
      </c>
      <c r="AA63" t="s">
        <v>43</v>
      </c>
      <c r="AB63" t="s">
        <v>36</v>
      </c>
      <c r="AC63" t="s">
        <v>32</v>
      </c>
      <c r="AD63" t="s">
        <v>33</v>
      </c>
    </row>
    <row r="64" spans="1:30" x14ac:dyDescent="0.35">
      <c r="A64" t="s">
        <v>50</v>
      </c>
      <c r="B64" t="s">
        <v>50</v>
      </c>
      <c r="C64" t="s">
        <v>67</v>
      </c>
      <c r="D64">
        <v>2021</v>
      </c>
      <c r="E64">
        <v>63</v>
      </c>
      <c r="F64">
        <f t="shared" si="6"/>
        <v>3</v>
      </c>
      <c r="G64">
        <v>82.997344940938504</v>
      </c>
      <c r="H64">
        <v>1.36271598413648</v>
      </c>
      <c r="I64">
        <v>3</v>
      </c>
      <c r="J64">
        <v>0.78676444027020398</v>
      </c>
      <c r="K64">
        <v>90.340479716793695</v>
      </c>
      <c r="L64">
        <v>1.5898353148258899</v>
      </c>
      <c r="M64">
        <v>3</v>
      </c>
      <c r="N64">
        <v>0.91789184698190196</v>
      </c>
      <c r="O64" t="s">
        <v>25</v>
      </c>
      <c r="P64" t="s">
        <v>26</v>
      </c>
      <c r="Q64">
        <v>800</v>
      </c>
      <c r="R64">
        <v>7.8</v>
      </c>
      <c r="S64">
        <v>28</v>
      </c>
      <c r="T64" t="s">
        <v>28</v>
      </c>
      <c r="U64">
        <v>400</v>
      </c>
      <c r="V64">
        <v>8.1</v>
      </c>
      <c r="W64">
        <v>28</v>
      </c>
      <c r="X64">
        <v>7</v>
      </c>
      <c r="Y64">
        <v>34.1</v>
      </c>
      <c r="Z64" t="s">
        <v>29</v>
      </c>
      <c r="AA64" t="s">
        <v>43</v>
      </c>
      <c r="AB64" t="s">
        <v>36</v>
      </c>
      <c r="AC64" t="s">
        <v>32</v>
      </c>
      <c r="AD64" t="s">
        <v>33</v>
      </c>
    </row>
    <row r="65" spans="1:30" x14ac:dyDescent="0.35">
      <c r="A65" t="s">
        <v>50</v>
      </c>
      <c r="B65" t="s">
        <v>50</v>
      </c>
      <c r="C65" t="s">
        <v>67</v>
      </c>
      <c r="D65">
        <v>2021</v>
      </c>
      <c r="E65">
        <v>64</v>
      </c>
      <c r="F65">
        <f t="shared" si="6"/>
        <v>3</v>
      </c>
      <c r="G65">
        <v>90.602734530217106</v>
      </c>
      <c r="H65">
        <v>2.4983126375835298</v>
      </c>
      <c r="I65">
        <v>3</v>
      </c>
      <c r="J65">
        <v>1.4424014738287001</v>
      </c>
      <c r="K65">
        <v>105.551258895351</v>
      </c>
      <c r="L65">
        <v>2.49831263758358</v>
      </c>
      <c r="M65">
        <v>3</v>
      </c>
      <c r="N65">
        <v>1.4424014738287201</v>
      </c>
      <c r="O65" t="s">
        <v>25</v>
      </c>
      <c r="P65" t="s">
        <v>26</v>
      </c>
      <c r="Q65">
        <v>800</v>
      </c>
      <c r="R65">
        <v>7.8</v>
      </c>
      <c r="S65">
        <v>28</v>
      </c>
      <c r="T65" t="s">
        <v>28</v>
      </c>
      <c r="U65">
        <v>400</v>
      </c>
      <c r="V65">
        <v>8.1</v>
      </c>
      <c r="W65">
        <v>28</v>
      </c>
      <c r="X65">
        <v>9</v>
      </c>
      <c r="Y65">
        <v>34.1</v>
      </c>
      <c r="Z65" t="s">
        <v>29</v>
      </c>
      <c r="AA65" t="s">
        <v>43</v>
      </c>
      <c r="AB65" t="s">
        <v>36</v>
      </c>
      <c r="AC65" t="s">
        <v>32</v>
      </c>
      <c r="AD65" t="s">
        <v>33</v>
      </c>
    </row>
    <row r="66" spans="1:30" x14ac:dyDescent="0.35">
      <c r="A66" t="s">
        <v>50</v>
      </c>
      <c r="B66" t="s">
        <v>50</v>
      </c>
      <c r="C66" t="s">
        <v>67</v>
      </c>
      <c r="D66">
        <v>2021</v>
      </c>
      <c r="E66">
        <v>65</v>
      </c>
      <c r="F66">
        <f t="shared" si="6"/>
        <v>3</v>
      </c>
      <c r="G66">
        <v>103.059838167829</v>
      </c>
      <c r="H66">
        <v>3.86102862172004</v>
      </c>
      <c r="I66">
        <v>3</v>
      </c>
      <c r="J66">
        <v>2.22916591409891</v>
      </c>
      <c r="K66">
        <v>99.519398186612705</v>
      </c>
      <c r="L66">
        <v>19.305143108600099</v>
      </c>
      <c r="M66">
        <v>3</v>
      </c>
      <c r="N66">
        <v>11.145829570494501</v>
      </c>
      <c r="O66" t="s">
        <v>25</v>
      </c>
      <c r="P66" t="s">
        <v>26</v>
      </c>
      <c r="Q66">
        <v>800</v>
      </c>
      <c r="R66">
        <v>7.8</v>
      </c>
      <c r="S66">
        <v>28</v>
      </c>
      <c r="T66" t="s">
        <v>28</v>
      </c>
      <c r="U66">
        <v>400</v>
      </c>
      <c r="V66">
        <v>8.1</v>
      </c>
      <c r="W66">
        <v>28</v>
      </c>
      <c r="X66">
        <v>11</v>
      </c>
      <c r="Y66">
        <v>34.1</v>
      </c>
      <c r="Z66" t="s">
        <v>29</v>
      </c>
      <c r="AA66" t="s">
        <v>43</v>
      </c>
      <c r="AB66" t="s">
        <v>36</v>
      </c>
      <c r="AC66" t="s">
        <v>32</v>
      </c>
      <c r="AD66" t="s">
        <v>33</v>
      </c>
    </row>
    <row r="67" spans="1:30" x14ac:dyDescent="0.35">
      <c r="A67" t="s">
        <v>50</v>
      </c>
      <c r="B67" t="s">
        <v>50</v>
      </c>
      <c r="C67" t="s">
        <v>67</v>
      </c>
      <c r="D67">
        <v>2021</v>
      </c>
      <c r="E67">
        <v>66</v>
      </c>
      <c r="F67">
        <f t="shared" si="6"/>
        <v>3</v>
      </c>
      <c r="G67">
        <v>69.884604269768502</v>
      </c>
      <c r="H67">
        <v>0.90847732275763904</v>
      </c>
      <c r="I67">
        <v>3</v>
      </c>
      <c r="J67">
        <v>0.52450962684679303</v>
      </c>
      <c r="K67">
        <v>68.704457609363203</v>
      </c>
      <c r="L67">
        <v>1.1355966534470701</v>
      </c>
      <c r="M67">
        <v>3</v>
      </c>
      <c r="N67">
        <v>0.655637033558506</v>
      </c>
      <c r="O67" t="s">
        <v>25</v>
      </c>
      <c r="P67" t="s">
        <v>26</v>
      </c>
      <c r="Q67">
        <v>800</v>
      </c>
      <c r="R67">
        <v>7.8</v>
      </c>
      <c r="S67">
        <v>28</v>
      </c>
      <c r="T67" t="s">
        <v>41</v>
      </c>
      <c r="U67">
        <v>800</v>
      </c>
      <c r="V67">
        <v>7.8</v>
      </c>
      <c r="W67">
        <v>28</v>
      </c>
      <c r="X67">
        <v>1</v>
      </c>
      <c r="Y67">
        <v>34.1</v>
      </c>
      <c r="Z67" t="s">
        <v>29</v>
      </c>
      <c r="AA67" t="s">
        <v>43</v>
      </c>
      <c r="AB67" t="s">
        <v>36</v>
      </c>
      <c r="AC67" t="s">
        <v>32</v>
      </c>
      <c r="AD67" t="s">
        <v>33</v>
      </c>
    </row>
    <row r="68" spans="1:30" x14ac:dyDescent="0.35">
      <c r="A68" t="s">
        <v>50</v>
      </c>
      <c r="B68" t="s">
        <v>50</v>
      </c>
      <c r="C68" t="s">
        <v>67</v>
      </c>
      <c r="D68">
        <v>2021</v>
      </c>
      <c r="E68">
        <v>67</v>
      </c>
      <c r="F68">
        <f t="shared" si="6"/>
        <v>3</v>
      </c>
      <c r="G68">
        <v>76.965484232200296</v>
      </c>
      <c r="H68">
        <v>0.681357992068229</v>
      </c>
      <c r="I68">
        <v>3</v>
      </c>
      <c r="J68">
        <v>0.393382220135095</v>
      </c>
      <c r="K68">
        <v>77.883376079182199</v>
      </c>
      <c r="L68">
        <v>1.36271598413648</v>
      </c>
      <c r="M68">
        <v>3</v>
      </c>
      <c r="N68">
        <v>0.78676444027020398</v>
      </c>
      <c r="O68" t="s">
        <v>25</v>
      </c>
      <c r="P68" t="s">
        <v>26</v>
      </c>
      <c r="Q68">
        <v>800</v>
      </c>
      <c r="R68">
        <v>7.8</v>
      </c>
      <c r="S68">
        <v>28</v>
      </c>
      <c r="T68" t="s">
        <v>41</v>
      </c>
      <c r="U68">
        <v>800</v>
      </c>
      <c r="V68">
        <v>7.8</v>
      </c>
      <c r="W68">
        <v>28</v>
      </c>
      <c r="X68">
        <v>5</v>
      </c>
      <c r="Y68">
        <v>34.1</v>
      </c>
      <c r="Z68" t="s">
        <v>29</v>
      </c>
      <c r="AA68" t="s">
        <v>43</v>
      </c>
      <c r="AB68" t="s">
        <v>36</v>
      </c>
      <c r="AC68" t="s">
        <v>32</v>
      </c>
      <c r="AD68" t="s">
        <v>33</v>
      </c>
    </row>
    <row r="69" spans="1:30" x14ac:dyDescent="0.35">
      <c r="A69" t="s">
        <v>50</v>
      </c>
      <c r="B69" t="s">
        <v>50</v>
      </c>
      <c r="C69" t="s">
        <v>67</v>
      </c>
      <c r="D69">
        <v>2021</v>
      </c>
      <c r="E69">
        <v>68</v>
      </c>
      <c r="F69">
        <f t="shared" si="6"/>
        <v>3</v>
      </c>
      <c r="G69">
        <v>81.554943467109794</v>
      </c>
      <c r="H69">
        <v>1.5898353148258899</v>
      </c>
      <c r="I69">
        <v>3</v>
      </c>
      <c r="J69">
        <v>0.91789184698190196</v>
      </c>
      <c r="K69">
        <v>80.768179026839604</v>
      </c>
      <c r="L69">
        <v>2.04407397620471</v>
      </c>
      <c r="M69">
        <v>3</v>
      </c>
      <c r="N69">
        <v>1.1801466604052999</v>
      </c>
      <c r="O69" t="s">
        <v>25</v>
      </c>
      <c r="P69" t="s">
        <v>26</v>
      </c>
      <c r="Q69">
        <v>800</v>
      </c>
      <c r="R69">
        <v>7.8</v>
      </c>
      <c r="S69">
        <v>28</v>
      </c>
      <c r="T69" t="s">
        <v>41</v>
      </c>
      <c r="U69">
        <v>800</v>
      </c>
      <c r="V69">
        <v>7.8</v>
      </c>
      <c r="W69">
        <v>28</v>
      </c>
      <c r="X69">
        <v>7</v>
      </c>
      <c r="Y69">
        <v>34.1</v>
      </c>
      <c r="Z69" t="s">
        <v>29</v>
      </c>
      <c r="AA69" t="s">
        <v>43</v>
      </c>
      <c r="AB69" t="s">
        <v>36</v>
      </c>
      <c r="AC69" t="s">
        <v>32</v>
      </c>
      <c r="AD69" t="s">
        <v>33</v>
      </c>
    </row>
    <row r="70" spans="1:30" x14ac:dyDescent="0.35">
      <c r="A70" t="s">
        <v>50</v>
      </c>
      <c r="B70" t="s">
        <v>50</v>
      </c>
      <c r="C70" t="s">
        <v>67</v>
      </c>
      <c r="D70">
        <v>2021</v>
      </c>
      <c r="E70">
        <v>69</v>
      </c>
      <c r="F70">
        <f t="shared" si="6"/>
        <v>3</v>
      </c>
      <c r="G70">
        <v>93.487537477874497</v>
      </c>
      <c r="H70">
        <v>3.6339092910306001</v>
      </c>
      <c r="I70">
        <v>3</v>
      </c>
      <c r="J70">
        <v>2.0980385073872001</v>
      </c>
      <c r="K70">
        <v>85.095383448325705</v>
      </c>
      <c r="L70">
        <v>2.49831263758356</v>
      </c>
      <c r="M70">
        <v>3</v>
      </c>
      <c r="N70">
        <v>1.4424014738287101</v>
      </c>
      <c r="O70" t="s">
        <v>25</v>
      </c>
      <c r="P70" t="s">
        <v>26</v>
      </c>
      <c r="Q70">
        <v>800</v>
      </c>
      <c r="R70">
        <v>7.8</v>
      </c>
      <c r="S70">
        <v>28</v>
      </c>
      <c r="T70" t="s">
        <v>41</v>
      </c>
      <c r="U70">
        <v>800</v>
      </c>
      <c r="V70">
        <v>7.8</v>
      </c>
      <c r="W70">
        <v>28</v>
      </c>
      <c r="X70">
        <v>9</v>
      </c>
      <c r="Y70">
        <v>34.1</v>
      </c>
      <c r="Z70" t="s">
        <v>29</v>
      </c>
      <c r="AA70" t="s">
        <v>43</v>
      </c>
      <c r="AB70" t="s">
        <v>36</v>
      </c>
      <c r="AC70" t="s">
        <v>32</v>
      </c>
      <c r="AD70" t="s">
        <v>33</v>
      </c>
    </row>
    <row r="71" spans="1:30" x14ac:dyDescent="0.35">
      <c r="A71" t="s">
        <v>50</v>
      </c>
      <c r="B71" t="s">
        <v>50</v>
      </c>
      <c r="C71" t="s">
        <v>67</v>
      </c>
      <c r="D71">
        <v>2021</v>
      </c>
      <c r="E71">
        <v>70</v>
      </c>
      <c r="F71">
        <f t="shared" si="6"/>
        <v>3</v>
      </c>
      <c r="G71">
        <v>114.46792255174699</v>
      </c>
      <c r="H71">
        <v>13.4000405106753</v>
      </c>
      <c r="I71">
        <v>3</v>
      </c>
      <c r="J71">
        <v>7.7365169959903</v>
      </c>
      <c r="K71">
        <v>102.666455947694</v>
      </c>
      <c r="L71">
        <v>12.7186825186071</v>
      </c>
      <c r="M71">
        <v>3</v>
      </c>
      <c r="N71">
        <v>7.3431347758552201</v>
      </c>
      <c r="O71" t="s">
        <v>25</v>
      </c>
      <c r="P71" t="s">
        <v>26</v>
      </c>
      <c r="Q71">
        <v>800</v>
      </c>
      <c r="R71">
        <v>7.8</v>
      </c>
      <c r="S71">
        <v>28</v>
      </c>
      <c r="T71" t="s">
        <v>41</v>
      </c>
      <c r="U71">
        <v>800</v>
      </c>
      <c r="V71">
        <v>7.8</v>
      </c>
      <c r="W71">
        <v>28</v>
      </c>
      <c r="X71">
        <v>11</v>
      </c>
      <c r="Y71">
        <v>34.1</v>
      </c>
      <c r="Z71" t="s">
        <v>29</v>
      </c>
      <c r="AA71" t="s">
        <v>43</v>
      </c>
      <c r="AB71" t="s">
        <v>36</v>
      </c>
      <c r="AC71" t="s">
        <v>32</v>
      </c>
      <c r="AD71" t="s">
        <v>33</v>
      </c>
    </row>
    <row r="72" spans="1:30" x14ac:dyDescent="0.35">
      <c r="A72" t="s">
        <v>56</v>
      </c>
      <c r="B72" t="s">
        <v>56</v>
      </c>
      <c r="C72" t="s">
        <v>67</v>
      </c>
      <c r="D72">
        <v>2021</v>
      </c>
      <c r="E72">
        <v>71</v>
      </c>
      <c r="F72">
        <f t="shared" si="6"/>
        <v>3</v>
      </c>
      <c r="G72">
        <v>103.640693169329</v>
      </c>
      <c r="H72">
        <v>2.1247084696362206</v>
      </c>
      <c r="I72">
        <v>3</v>
      </c>
      <c r="J72">
        <v>1.2267010068939499</v>
      </c>
      <c r="K72">
        <v>87.787941695622706</v>
      </c>
      <c r="L72">
        <v>17.814863322334475</v>
      </c>
      <c r="M72">
        <v>3</v>
      </c>
      <c r="N72">
        <v>10.2854161347262</v>
      </c>
      <c r="O72" t="s">
        <v>25</v>
      </c>
      <c r="P72" t="s">
        <v>26</v>
      </c>
      <c r="Q72">
        <v>856</v>
      </c>
      <c r="R72">
        <v>7.8</v>
      </c>
      <c r="S72">
        <v>24</v>
      </c>
      <c r="T72" t="s">
        <v>28</v>
      </c>
      <c r="U72" t="s">
        <v>27</v>
      </c>
      <c r="V72" t="s">
        <v>27</v>
      </c>
      <c r="W72">
        <v>24</v>
      </c>
      <c r="X72">
        <v>9</v>
      </c>
      <c r="Y72">
        <v>34</v>
      </c>
      <c r="Z72" t="s">
        <v>29</v>
      </c>
      <c r="AA72" t="s">
        <v>39</v>
      </c>
      <c r="AB72" t="s">
        <v>36</v>
      </c>
      <c r="AC72" t="s">
        <v>32</v>
      </c>
      <c r="AD72" t="s">
        <v>33</v>
      </c>
    </row>
    <row r="73" spans="1:30" x14ac:dyDescent="0.35">
      <c r="A73" t="s">
        <v>56</v>
      </c>
      <c r="B73" t="s">
        <v>56</v>
      </c>
      <c r="C73" t="s">
        <v>67</v>
      </c>
      <c r="D73">
        <v>2021</v>
      </c>
      <c r="E73">
        <v>72</v>
      </c>
      <c r="F73">
        <f t="shared" si="6"/>
        <v>3</v>
      </c>
      <c r="G73">
        <v>87.976664927452603</v>
      </c>
      <c r="H73">
        <v>1.4709520174404742</v>
      </c>
      <c r="I73">
        <v>3</v>
      </c>
      <c r="J73">
        <v>0.84925454323428096</v>
      </c>
      <c r="K73">
        <v>88.259749775197307</v>
      </c>
      <c r="L73">
        <v>1.797830243538338</v>
      </c>
      <c r="M73">
        <v>3</v>
      </c>
      <c r="N73">
        <v>1.0379777750641099</v>
      </c>
      <c r="O73" t="s">
        <v>25</v>
      </c>
      <c r="P73" t="s">
        <v>26</v>
      </c>
      <c r="Q73">
        <v>856</v>
      </c>
      <c r="R73">
        <v>7.8</v>
      </c>
      <c r="S73">
        <v>24</v>
      </c>
      <c r="T73" t="s">
        <v>28</v>
      </c>
      <c r="U73" t="s">
        <v>27</v>
      </c>
      <c r="V73" t="s">
        <v>27</v>
      </c>
      <c r="W73">
        <v>24</v>
      </c>
      <c r="X73">
        <v>9</v>
      </c>
      <c r="Y73">
        <v>34</v>
      </c>
      <c r="Z73" t="s">
        <v>29</v>
      </c>
      <c r="AA73" t="s">
        <v>39</v>
      </c>
      <c r="AB73" t="s">
        <v>36</v>
      </c>
      <c r="AC73" t="s">
        <v>55</v>
      </c>
      <c r="AD73" t="s">
        <v>33</v>
      </c>
    </row>
    <row r="74" spans="1:30" x14ac:dyDescent="0.35">
      <c r="A74" t="s">
        <v>57</v>
      </c>
      <c r="B74" t="s">
        <v>50</v>
      </c>
      <c r="C74" t="s">
        <v>67</v>
      </c>
      <c r="D74">
        <v>2021</v>
      </c>
      <c r="E74">
        <v>73</v>
      </c>
      <c r="F74">
        <f t="shared" si="6"/>
        <v>3</v>
      </c>
      <c r="G74">
        <v>70.625000000000099</v>
      </c>
      <c r="H74">
        <v>1.0825317547305</v>
      </c>
      <c r="I74">
        <v>3</v>
      </c>
      <c r="J74">
        <v>0.62499999999997202</v>
      </c>
      <c r="K74">
        <v>65.625000000000099</v>
      </c>
      <c r="L74">
        <v>2.1650635094611501</v>
      </c>
      <c r="M74">
        <v>3</v>
      </c>
      <c r="N74">
        <v>1.25000000000003</v>
      </c>
      <c r="O74" t="s">
        <v>25</v>
      </c>
      <c r="P74" t="s">
        <v>26</v>
      </c>
      <c r="Q74" s="1">
        <v>800</v>
      </c>
      <c r="R74">
        <v>7.8</v>
      </c>
      <c r="S74">
        <v>24</v>
      </c>
      <c r="T74" t="s">
        <v>28</v>
      </c>
      <c r="U74">
        <v>400</v>
      </c>
      <c r="V74">
        <v>8.1</v>
      </c>
      <c r="W74">
        <v>24</v>
      </c>
      <c r="X74" t="s">
        <v>58</v>
      </c>
      <c r="Y74">
        <v>34.1</v>
      </c>
      <c r="Z74" t="s">
        <v>29</v>
      </c>
      <c r="AA74" t="s">
        <v>43</v>
      </c>
      <c r="AB74" t="s">
        <v>36</v>
      </c>
      <c r="AC74" t="s">
        <v>55</v>
      </c>
      <c r="AD74" t="s">
        <v>33</v>
      </c>
    </row>
    <row r="75" spans="1:30" x14ac:dyDescent="0.35">
      <c r="A75" t="s">
        <v>57</v>
      </c>
      <c r="B75" t="s">
        <v>50</v>
      </c>
      <c r="C75" t="s">
        <v>67</v>
      </c>
      <c r="D75">
        <v>2021</v>
      </c>
      <c r="E75">
        <v>74</v>
      </c>
      <c r="F75">
        <f t="shared" si="6"/>
        <v>3</v>
      </c>
      <c r="G75">
        <v>76.250000000000099</v>
      </c>
      <c r="H75">
        <v>2.70632938682642</v>
      </c>
      <c r="I75">
        <v>3</v>
      </c>
      <c r="J75">
        <v>1.56250000000003</v>
      </c>
      <c r="K75">
        <v>72.500000000000099</v>
      </c>
      <c r="L75">
        <v>2.7063293868263698</v>
      </c>
      <c r="M75">
        <v>3</v>
      </c>
      <c r="N75">
        <v>1.5625</v>
      </c>
      <c r="O75" t="s">
        <v>25</v>
      </c>
      <c r="P75" s="2" t="s">
        <v>26</v>
      </c>
      <c r="Q75" s="1">
        <v>800</v>
      </c>
      <c r="R75">
        <v>7.8</v>
      </c>
      <c r="S75">
        <v>24</v>
      </c>
      <c r="T75" t="s">
        <v>28</v>
      </c>
      <c r="U75">
        <v>400</v>
      </c>
      <c r="V75">
        <v>8.1</v>
      </c>
      <c r="W75">
        <v>24</v>
      </c>
      <c r="X75" t="s">
        <v>54</v>
      </c>
      <c r="Y75">
        <v>34.1</v>
      </c>
      <c r="Z75" t="s">
        <v>29</v>
      </c>
      <c r="AA75" t="s">
        <v>43</v>
      </c>
      <c r="AB75" t="s">
        <v>36</v>
      </c>
      <c r="AC75" t="s">
        <v>55</v>
      </c>
      <c r="AD75" t="s">
        <v>33</v>
      </c>
    </row>
    <row r="76" spans="1:30" x14ac:dyDescent="0.35">
      <c r="A76" t="s">
        <v>57</v>
      </c>
      <c r="B76" t="s">
        <v>50</v>
      </c>
      <c r="C76" t="s">
        <v>67</v>
      </c>
      <c r="D76">
        <v>2021</v>
      </c>
      <c r="E76">
        <v>75</v>
      </c>
      <c r="F76">
        <f t="shared" si="6"/>
        <v>3</v>
      </c>
      <c r="G76">
        <v>84.062500000000099</v>
      </c>
      <c r="H76">
        <v>2.7063293868263698</v>
      </c>
      <c r="I76">
        <v>3</v>
      </c>
      <c r="J76">
        <v>1.5625</v>
      </c>
      <c r="K76">
        <v>76.562500000000099</v>
      </c>
      <c r="L76">
        <v>2.7063293868263698</v>
      </c>
      <c r="M76">
        <v>3</v>
      </c>
      <c r="N76">
        <v>1.5625</v>
      </c>
      <c r="O76" t="s">
        <v>25</v>
      </c>
      <c r="P76" t="s">
        <v>26</v>
      </c>
      <c r="Q76" s="1">
        <v>800</v>
      </c>
      <c r="R76">
        <v>7.8</v>
      </c>
      <c r="S76">
        <v>24</v>
      </c>
      <c r="T76" t="s">
        <v>28</v>
      </c>
      <c r="U76">
        <v>400</v>
      </c>
      <c r="V76">
        <v>8.1</v>
      </c>
      <c r="W76">
        <v>24</v>
      </c>
      <c r="X76" t="s">
        <v>51</v>
      </c>
      <c r="Y76">
        <v>34.1</v>
      </c>
      <c r="Z76" t="s">
        <v>29</v>
      </c>
      <c r="AA76" t="s">
        <v>43</v>
      </c>
      <c r="AB76" t="s">
        <v>36</v>
      </c>
      <c r="AC76" t="s">
        <v>55</v>
      </c>
      <c r="AD76" t="s">
        <v>33</v>
      </c>
    </row>
    <row r="77" spans="1:30" x14ac:dyDescent="0.35">
      <c r="A77" t="s">
        <v>57</v>
      </c>
      <c r="B77" t="s">
        <v>50</v>
      </c>
      <c r="C77" t="s">
        <v>67</v>
      </c>
      <c r="D77">
        <v>2021</v>
      </c>
      <c r="E77">
        <v>76</v>
      </c>
      <c r="F77">
        <f t="shared" si="6"/>
        <v>3</v>
      </c>
      <c r="G77">
        <v>95.000000000000099</v>
      </c>
      <c r="H77">
        <v>3.7888611415569202</v>
      </c>
      <c r="I77">
        <v>3</v>
      </c>
      <c r="J77">
        <v>2.1875</v>
      </c>
      <c r="K77">
        <v>85.937500000000099</v>
      </c>
      <c r="L77">
        <v>5.95392465101797</v>
      </c>
      <c r="M77">
        <v>3</v>
      </c>
      <c r="N77">
        <v>3.4374999999999698</v>
      </c>
      <c r="O77" t="s">
        <v>25</v>
      </c>
      <c r="P77" t="s">
        <v>26</v>
      </c>
      <c r="Q77" s="1">
        <v>800</v>
      </c>
      <c r="R77">
        <v>7.8</v>
      </c>
      <c r="S77">
        <v>24</v>
      </c>
      <c r="T77" t="s">
        <v>28</v>
      </c>
      <c r="U77">
        <v>400</v>
      </c>
      <c r="V77">
        <v>8.1</v>
      </c>
      <c r="W77">
        <v>24</v>
      </c>
      <c r="X77" t="s">
        <v>52</v>
      </c>
      <c r="Y77">
        <v>34.1</v>
      </c>
      <c r="Z77" t="s">
        <v>29</v>
      </c>
      <c r="AA77" t="s">
        <v>43</v>
      </c>
      <c r="AB77" t="s">
        <v>36</v>
      </c>
      <c r="AC77" t="s">
        <v>55</v>
      </c>
      <c r="AD77" t="s">
        <v>33</v>
      </c>
    </row>
    <row r="78" spans="1:30" x14ac:dyDescent="0.35">
      <c r="A78" t="s">
        <v>57</v>
      </c>
      <c r="B78" t="s">
        <v>50</v>
      </c>
      <c r="C78" t="s">
        <v>67</v>
      </c>
      <c r="D78">
        <v>2021</v>
      </c>
      <c r="E78">
        <v>77</v>
      </c>
      <c r="F78">
        <f t="shared" si="6"/>
        <v>3</v>
      </c>
      <c r="G78">
        <v>103.75</v>
      </c>
      <c r="H78">
        <v>2.1650635094610999</v>
      </c>
      <c r="I78">
        <v>3</v>
      </c>
      <c r="J78">
        <v>1.25</v>
      </c>
      <c r="K78">
        <v>88.125000000000099</v>
      </c>
      <c r="L78">
        <v>17.3205080756887</v>
      </c>
      <c r="M78">
        <v>3</v>
      </c>
      <c r="N78">
        <v>9.9999999999999698</v>
      </c>
      <c r="O78" t="s">
        <v>25</v>
      </c>
      <c r="P78" t="s">
        <v>26</v>
      </c>
      <c r="Q78" s="1">
        <v>800</v>
      </c>
      <c r="R78">
        <v>7.8</v>
      </c>
      <c r="S78">
        <v>24</v>
      </c>
      <c r="T78" t="s">
        <v>28</v>
      </c>
      <c r="U78">
        <v>400</v>
      </c>
      <c r="V78">
        <v>8.1</v>
      </c>
      <c r="W78">
        <v>24</v>
      </c>
      <c r="X78" t="s">
        <v>53</v>
      </c>
      <c r="Y78">
        <v>34.1</v>
      </c>
      <c r="Z78" t="s">
        <v>29</v>
      </c>
      <c r="AA78" t="s">
        <v>43</v>
      </c>
      <c r="AB78" t="s">
        <v>36</v>
      </c>
      <c r="AC78" t="s">
        <v>55</v>
      </c>
      <c r="AD78" t="s">
        <v>33</v>
      </c>
    </row>
    <row r="79" spans="1:30" x14ac:dyDescent="0.35">
      <c r="A79" t="s">
        <v>57</v>
      </c>
      <c r="B79" t="s">
        <v>50</v>
      </c>
      <c r="C79" t="s">
        <v>67</v>
      </c>
      <c r="D79">
        <v>2021</v>
      </c>
      <c r="E79">
        <v>78</v>
      </c>
      <c r="F79">
        <f t="shared" si="6"/>
        <v>3</v>
      </c>
      <c r="G79">
        <v>69.687500000000099</v>
      </c>
      <c r="H79">
        <v>3.78886114155687</v>
      </c>
      <c r="I79">
        <v>3</v>
      </c>
      <c r="J79">
        <v>2.1874999999999698</v>
      </c>
      <c r="K79">
        <v>67.187500000000099</v>
      </c>
      <c r="L79">
        <v>3.2475952641916002</v>
      </c>
      <c r="M79">
        <v>3</v>
      </c>
      <c r="N79">
        <v>1.87499999999997</v>
      </c>
      <c r="O79" t="s">
        <v>25</v>
      </c>
      <c r="P79" t="s">
        <v>26</v>
      </c>
      <c r="Q79" s="1">
        <v>800</v>
      </c>
      <c r="R79">
        <v>7.8</v>
      </c>
      <c r="S79">
        <v>24</v>
      </c>
      <c r="T79" t="s">
        <v>41</v>
      </c>
      <c r="U79" s="2">
        <v>800</v>
      </c>
      <c r="V79">
        <v>7.8</v>
      </c>
      <c r="W79">
        <v>24</v>
      </c>
      <c r="X79" t="s">
        <v>58</v>
      </c>
      <c r="Y79">
        <v>34.1</v>
      </c>
      <c r="Z79" t="s">
        <v>29</v>
      </c>
      <c r="AA79" t="s">
        <v>43</v>
      </c>
      <c r="AB79" t="s">
        <v>36</v>
      </c>
      <c r="AC79" t="s">
        <v>55</v>
      </c>
      <c r="AD79" t="s">
        <v>33</v>
      </c>
    </row>
    <row r="80" spans="1:30" x14ac:dyDescent="0.35">
      <c r="A80" t="s">
        <v>57</v>
      </c>
      <c r="B80" t="s">
        <v>50</v>
      </c>
      <c r="C80" t="s">
        <v>67</v>
      </c>
      <c r="D80">
        <v>2021</v>
      </c>
      <c r="E80">
        <v>79</v>
      </c>
      <c r="F80">
        <f t="shared" si="6"/>
        <v>3</v>
      </c>
      <c r="G80">
        <v>78.125000000000099</v>
      </c>
      <c r="H80">
        <v>1.6237976320957701</v>
      </c>
      <c r="I80">
        <v>3</v>
      </c>
      <c r="J80">
        <v>0.93749999999997202</v>
      </c>
      <c r="K80">
        <v>73.750000000000099</v>
      </c>
      <c r="L80">
        <v>2.1650635094610502</v>
      </c>
      <c r="M80">
        <v>3</v>
      </c>
      <c r="N80">
        <v>1.24999999999997</v>
      </c>
      <c r="O80" t="s">
        <v>25</v>
      </c>
      <c r="P80" t="s">
        <v>26</v>
      </c>
      <c r="Q80" s="1">
        <v>800</v>
      </c>
      <c r="R80">
        <v>7.8</v>
      </c>
      <c r="S80">
        <v>24</v>
      </c>
      <c r="T80" t="s">
        <v>41</v>
      </c>
      <c r="U80" s="2">
        <v>800</v>
      </c>
      <c r="V80">
        <v>7.8</v>
      </c>
      <c r="W80">
        <v>24</v>
      </c>
      <c r="X80" t="s">
        <v>54</v>
      </c>
      <c r="Y80">
        <v>34.1</v>
      </c>
      <c r="Z80" t="s">
        <v>29</v>
      </c>
      <c r="AA80" t="s">
        <v>43</v>
      </c>
      <c r="AB80" t="s">
        <v>36</v>
      </c>
      <c r="AC80" t="s">
        <v>55</v>
      </c>
      <c r="AD80" t="s">
        <v>33</v>
      </c>
    </row>
    <row r="81" spans="1:30" x14ac:dyDescent="0.35">
      <c r="A81" t="s">
        <v>57</v>
      </c>
      <c r="B81" t="s">
        <v>50</v>
      </c>
      <c r="C81" t="s">
        <v>67</v>
      </c>
      <c r="D81">
        <v>2021</v>
      </c>
      <c r="E81">
        <v>80</v>
      </c>
      <c r="F81">
        <f t="shared" si="6"/>
        <v>3</v>
      </c>
      <c r="G81">
        <v>84.062500000000099</v>
      </c>
      <c r="H81">
        <v>3.7888611415569202</v>
      </c>
      <c r="I81">
        <v>3</v>
      </c>
      <c r="J81">
        <v>2.1875</v>
      </c>
      <c r="K81">
        <v>77.187500000000099</v>
      </c>
      <c r="L81">
        <v>9.20151991520971</v>
      </c>
      <c r="M81">
        <v>3</v>
      </c>
      <c r="N81">
        <v>5.3125000000000302</v>
      </c>
      <c r="O81" t="s">
        <v>25</v>
      </c>
      <c r="P81" t="s">
        <v>26</v>
      </c>
      <c r="Q81" s="1">
        <v>800</v>
      </c>
      <c r="R81">
        <v>7.8</v>
      </c>
      <c r="S81">
        <v>24</v>
      </c>
      <c r="T81" t="s">
        <v>41</v>
      </c>
      <c r="U81" s="2">
        <v>800</v>
      </c>
      <c r="V81">
        <v>7.8</v>
      </c>
      <c r="W81">
        <v>24</v>
      </c>
      <c r="X81" t="s">
        <v>51</v>
      </c>
      <c r="Y81">
        <v>34.1</v>
      </c>
      <c r="Z81" t="s">
        <v>29</v>
      </c>
      <c r="AA81" t="s">
        <v>43</v>
      </c>
      <c r="AB81" t="s">
        <v>36</v>
      </c>
      <c r="AC81" t="s">
        <v>55</v>
      </c>
      <c r="AD81" t="s">
        <v>33</v>
      </c>
    </row>
    <row r="82" spans="1:30" x14ac:dyDescent="0.35">
      <c r="A82" t="s">
        <v>57</v>
      </c>
      <c r="B82" t="s">
        <v>50</v>
      </c>
      <c r="C82" t="s">
        <v>67</v>
      </c>
      <c r="D82">
        <v>2021</v>
      </c>
      <c r="E82">
        <v>81</v>
      </c>
      <c r="F82">
        <f t="shared" si="6"/>
        <v>3</v>
      </c>
      <c r="G82">
        <v>92.187500000000099</v>
      </c>
      <c r="H82">
        <v>2.1650635094610999</v>
      </c>
      <c r="I82">
        <v>3</v>
      </c>
      <c r="J82">
        <v>1.25</v>
      </c>
      <c r="K82">
        <v>82.500000000000099</v>
      </c>
      <c r="L82">
        <v>10.284051669940199</v>
      </c>
      <c r="M82">
        <v>3</v>
      </c>
      <c r="N82">
        <v>5.9374999999999698</v>
      </c>
      <c r="O82" t="s">
        <v>25</v>
      </c>
      <c r="P82" t="s">
        <v>26</v>
      </c>
      <c r="Q82" s="1">
        <v>800</v>
      </c>
      <c r="R82">
        <v>7.8</v>
      </c>
      <c r="S82">
        <v>24</v>
      </c>
      <c r="T82" t="s">
        <v>41</v>
      </c>
      <c r="U82" s="2">
        <v>800</v>
      </c>
      <c r="V82">
        <v>7.8</v>
      </c>
      <c r="W82">
        <v>24</v>
      </c>
      <c r="X82" t="s">
        <v>52</v>
      </c>
      <c r="Y82">
        <v>34.1</v>
      </c>
      <c r="Z82" t="s">
        <v>29</v>
      </c>
      <c r="AA82" t="s">
        <v>43</v>
      </c>
      <c r="AB82" t="s">
        <v>36</v>
      </c>
      <c r="AC82" t="s">
        <v>55</v>
      </c>
      <c r="AD82" t="s">
        <v>33</v>
      </c>
    </row>
    <row r="83" spans="1:30" x14ac:dyDescent="0.35">
      <c r="A83" t="s">
        <v>57</v>
      </c>
      <c r="B83" t="s">
        <v>50</v>
      </c>
      <c r="C83" t="s">
        <v>67</v>
      </c>
      <c r="D83">
        <v>2021</v>
      </c>
      <c r="E83">
        <v>82</v>
      </c>
      <c r="F83">
        <f t="shared" si="6"/>
        <v>3</v>
      </c>
      <c r="G83">
        <v>99.375000000000099</v>
      </c>
      <c r="H83">
        <v>4.3301270189221404</v>
      </c>
      <c r="I83">
        <v>3</v>
      </c>
      <c r="J83">
        <v>2.4999999999999698</v>
      </c>
      <c r="K83">
        <v>88.125000000000099</v>
      </c>
      <c r="L83">
        <v>15.696710443592901</v>
      </c>
      <c r="M83">
        <v>3</v>
      </c>
      <c r="N83">
        <v>9.0624999999999698</v>
      </c>
      <c r="O83" t="s">
        <v>25</v>
      </c>
      <c r="P83" t="s">
        <v>26</v>
      </c>
      <c r="Q83" s="1">
        <v>800</v>
      </c>
      <c r="R83">
        <v>7.8</v>
      </c>
      <c r="S83">
        <v>24</v>
      </c>
      <c r="T83" t="s">
        <v>41</v>
      </c>
      <c r="U83" s="2">
        <v>800</v>
      </c>
      <c r="V83">
        <v>7.8</v>
      </c>
      <c r="W83">
        <v>24</v>
      </c>
      <c r="X83" t="s">
        <v>53</v>
      </c>
      <c r="Y83">
        <v>34.1</v>
      </c>
      <c r="Z83" t="s">
        <v>29</v>
      </c>
      <c r="AA83" t="s">
        <v>43</v>
      </c>
      <c r="AB83" t="s">
        <v>36</v>
      </c>
      <c r="AC83" t="s">
        <v>55</v>
      </c>
      <c r="AD83" t="s">
        <v>33</v>
      </c>
    </row>
    <row r="84" spans="1:30" x14ac:dyDescent="0.35">
      <c r="A84" t="s">
        <v>57</v>
      </c>
      <c r="B84" t="s">
        <v>50</v>
      </c>
      <c r="C84" t="s">
        <v>67</v>
      </c>
      <c r="D84">
        <v>2021</v>
      </c>
      <c r="E84">
        <v>83</v>
      </c>
      <c r="F84">
        <f t="shared" si="6"/>
        <v>3</v>
      </c>
      <c r="G84">
        <v>70.303030303030297</v>
      </c>
      <c r="H84">
        <v>1.57459164324443</v>
      </c>
      <c r="I84">
        <v>3</v>
      </c>
      <c r="J84">
        <v>0.90909090909090695</v>
      </c>
      <c r="K84">
        <v>66.6666666666667</v>
      </c>
      <c r="L84">
        <v>1.57459164324443</v>
      </c>
      <c r="M84">
        <v>3</v>
      </c>
      <c r="N84">
        <v>0.90909090909090695</v>
      </c>
      <c r="O84" t="s">
        <v>25</v>
      </c>
      <c r="P84" t="s">
        <v>26</v>
      </c>
      <c r="Q84" s="1">
        <v>800</v>
      </c>
      <c r="R84">
        <v>7.8</v>
      </c>
      <c r="S84">
        <v>28</v>
      </c>
      <c r="T84" t="s">
        <v>28</v>
      </c>
      <c r="U84">
        <v>400</v>
      </c>
      <c r="V84">
        <v>8.1</v>
      </c>
      <c r="W84">
        <v>28</v>
      </c>
      <c r="X84" t="s">
        <v>58</v>
      </c>
      <c r="Y84">
        <v>34.1</v>
      </c>
      <c r="Z84" t="s">
        <v>29</v>
      </c>
      <c r="AA84" t="s">
        <v>43</v>
      </c>
      <c r="AB84" t="s">
        <v>36</v>
      </c>
      <c r="AC84" t="s">
        <v>55</v>
      </c>
      <c r="AD84" t="s">
        <v>33</v>
      </c>
    </row>
    <row r="85" spans="1:30" x14ac:dyDescent="0.35">
      <c r="A85" t="s">
        <v>57</v>
      </c>
      <c r="B85" t="s">
        <v>50</v>
      </c>
      <c r="C85" t="s">
        <v>67</v>
      </c>
      <c r="D85">
        <v>2021</v>
      </c>
      <c r="E85">
        <v>84</v>
      </c>
      <c r="F85">
        <f t="shared" si="6"/>
        <v>3</v>
      </c>
      <c r="G85">
        <v>74.545454545454604</v>
      </c>
      <c r="H85">
        <v>1.57459164324443</v>
      </c>
      <c r="I85">
        <v>3</v>
      </c>
      <c r="J85">
        <v>0.90909090909090695</v>
      </c>
      <c r="K85">
        <v>69.696969696969703</v>
      </c>
      <c r="L85">
        <v>7.8729582162221998</v>
      </c>
      <c r="M85">
        <v>3</v>
      </c>
      <c r="N85">
        <v>4.5454545454545601</v>
      </c>
      <c r="O85" t="s">
        <v>25</v>
      </c>
      <c r="P85" t="s">
        <v>26</v>
      </c>
      <c r="Q85" s="1">
        <v>800</v>
      </c>
      <c r="R85">
        <v>7.8</v>
      </c>
      <c r="S85">
        <v>28</v>
      </c>
      <c r="T85" t="s">
        <v>28</v>
      </c>
      <c r="U85">
        <v>400</v>
      </c>
      <c r="V85">
        <v>8.1</v>
      </c>
      <c r="W85">
        <v>28</v>
      </c>
      <c r="X85" t="s">
        <v>54</v>
      </c>
      <c r="Y85">
        <v>34.1</v>
      </c>
      <c r="Z85" t="s">
        <v>29</v>
      </c>
      <c r="AA85" t="s">
        <v>43</v>
      </c>
      <c r="AB85" t="s">
        <v>36</v>
      </c>
      <c r="AC85" t="s">
        <v>55</v>
      </c>
      <c r="AD85" t="s">
        <v>33</v>
      </c>
    </row>
    <row r="86" spans="1:30" x14ac:dyDescent="0.35">
      <c r="A86" t="s">
        <v>57</v>
      </c>
      <c r="B86" t="s">
        <v>50</v>
      </c>
      <c r="C86" t="s">
        <v>67</v>
      </c>
      <c r="D86">
        <v>2021</v>
      </c>
      <c r="E86">
        <v>85</v>
      </c>
      <c r="F86">
        <f t="shared" si="6"/>
        <v>3</v>
      </c>
      <c r="G86">
        <v>82.121212121212196</v>
      </c>
      <c r="H86">
        <v>4.1989110486517998</v>
      </c>
      <c r="I86">
        <v>3</v>
      </c>
      <c r="J86">
        <v>2.4242424242424101</v>
      </c>
      <c r="K86">
        <v>82.121212121212196</v>
      </c>
      <c r="L86">
        <v>3.14918328648886</v>
      </c>
      <c r="M86">
        <v>3</v>
      </c>
      <c r="N86">
        <v>1.8181818181818099</v>
      </c>
      <c r="O86" t="s">
        <v>25</v>
      </c>
      <c r="P86" t="s">
        <v>26</v>
      </c>
      <c r="Q86" s="1">
        <v>800</v>
      </c>
      <c r="R86">
        <v>7.8</v>
      </c>
      <c r="S86">
        <v>28</v>
      </c>
      <c r="T86" t="s">
        <v>28</v>
      </c>
      <c r="U86">
        <v>400</v>
      </c>
      <c r="V86">
        <v>8.1</v>
      </c>
      <c r="W86">
        <v>28</v>
      </c>
      <c r="X86" t="s">
        <v>51</v>
      </c>
      <c r="Y86">
        <v>34.1</v>
      </c>
      <c r="Z86" t="s">
        <v>29</v>
      </c>
      <c r="AA86" t="s">
        <v>43</v>
      </c>
      <c r="AB86" t="s">
        <v>36</v>
      </c>
      <c r="AC86" t="s">
        <v>55</v>
      </c>
      <c r="AD86" t="s">
        <v>33</v>
      </c>
    </row>
    <row r="87" spans="1:30" x14ac:dyDescent="0.35">
      <c r="A87" t="s">
        <v>57</v>
      </c>
      <c r="B87" t="s">
        <v>50</v>
      </c>
      <c r="C87" t="s">
        <v>67</v>
      </c>
      <c r="D87">
        <v>2021</v>
      </c>
      <c r="E87">
        <v>86</v>
      </c>
      <c r="F87">
        <f t="shared" si="6"/>
        <v>3</v>
      </c>
      <c r="G87">
        <v>96.060606060606105</v>
      </c>
      <c r="H87">
        <v>6.8232304540591597</v>
      </c>
      <c r="I87">
        <v>3</v>
      </c>
      <c r="J87">
        <v>3.9393939393939101</v>
      </c>
      <c r="K87">
        <v>92.727272727272705</v>
      </c>
      <c r="L87">
        <v>3.6740471675703499</v>
      </c>
      <c r="M87">
        <v>3</v>
      </c>
      <c r="N87">
        <v>2.1212121212121202</v>
      </c>
      <c r="O87" t="s">
        <v>25</v>
      </c>
      <c r="P87" t="s">
        <v>26</v>
      </c>
      <c r="Q87" s="1">
        <v>800</v>
      </c>
      <c r="R87">
        <v>7.8</v>
      </c>
      <c r="S87">
        <v>28</v>
      </c>
      <c r="T87" t="s">
        <v>28</v>
      </c>
      <c r="U87">
        <v>400</v>
      </c>
      <c r="V87">
        <v>8.1</v>
      </c>
      <c r="W87">
        <v>28</v>
      </c>
      <c r="X87" t="s">
        <v>52</v>
      </c>
      <c r="Y87">
        <v>34.1</v>
      </c>
      <c r="Z87" t="s">
        <v>29</v>
      </c>
      <c r="AA87" t="s">
        <v>43</v>
      </c>
      <c r="AB87" t="s">
        <v>36</v>
      </c>
      <c r="AC87" t="s">
        <v>55</v>
      </c>
      <c r="AD87" t="s">
        <v>33</v>
      </c>
    </row>
    <row r="88" spans="1:30" x14ac:dyDescent="0.35">
      <c r="A88" t="s">
        <v>57</v>
      </c>
      <c r="B88" t="s">
        <v>50</v>
      </c>
      <c r="C88" t="s">
        <v>67</v>
      </c>
      <c r="D88">
        <v>2021</v>
      </c>
      <c r="E88">
        <v>87</v>
      </c>
      <c r="F88">
        <f t="shared" si="6"/>
        <v>3</v>
      </c>
      <c r="G88">
        <v>109.39393939393899</v>
      </c>
      <c r="H88">
        <v>5.77350269189618</v>
      </c>
      <c r="I88">
        <v>3</v>
      </c>
      <c r="J88">
        <v>3.33333333333329</v>
      </c>
      <c r="K88">
        <v>109.69696969697</v>
      </c>
      <c r="L88">
        <v>3.14918328648886</v>
      </c>
      <c r="M88">
        <v>3</v>
      </c>
      <c r="N88">
        <v>1.8181818181818099</v>
      </c>
      <c r="O88" t="s">
        <v>25</v>
      </c>
      <c r="P88" t="s">
        <v>26</v>
      </c>
      <c r="Q88" s="1">
        <v>800</v>
      </c>
      <c r="R88">
        <v>7.8</v>
      </c>
      <c r="S88">
        <v>28</v>
      </c>
      <c r="T88" t="s">
        <v>28</v>
      </c>
      <c r="U88">
        <v>400</v>
      </c>
      <c r="V88">
        <v>8.1</v>
      </c>
      <c r="W88">
        <v>28</v>
      </c>
      <c r="X88" t="s">
        <v>53</v>
      </c>
      <c r="Y88">
        <v>34.1</v>
      </c>
      <c r="Z88" t="s">
        <v>29</v>
      </c>
      <c r="AA88" t="s">
        <v>43</v>
      </c>
      <c r="AB88" t="s">
        <v>36</v>
      </c>
      <c r="AC88" t="s">
        <v>55</v>
      </c>
      <c r="AD88" t="s">
        <v>33</v>
      </c>
    </row>
    <row r="89" spans="1:30" x14ac:dyDescent="0.35">
      <c r="A89" t="s">
        <v>57</v>
      </c>
      <c r="B89" t="s">
        <v>50</v>
      </c>
      <c r="C89" t="s">
        <v>67</v>
      </c>
      <c r="D89">
        <v>2021</v>
      </c>
      <c r="E89">
        <v>88</v>
      </c>
      <c r="F89">
        <f t="shared" si="6"/>
        <v>3</v>
      </c>
      <c r="G89">
        <v>68.787878787878796</v>
      </c>
      <c r="H89">
        <v>2.0994555243259199</v>
      </c>
      <c r="I89">
        <v>3</v>
      </c>
      <c r="J89">
        <v>1.2121212121212199</v>
      </c>
      <c r="K89">
        <v>67.878787878787904</v>
      </c>
      <c r="L89">
        <v>0.52486388108144399</v>
      </c>
      <c r="M89">
        <v>3</v>
      </c>
      <c r="N89">
        <v>0.303030303030283</v>
      </c>
      <c r="O89" t="s">
        <v>25</v>
      </c>
      <c r="P89" t="s">
        <v>26</v>
      </c>
      <c r="Q89" s="1">
        <v>800</v>
      </c>
      <c r="R89">
        <v>7.8</v>
      </c>
      <c r="S89">
        <v>28</v>
      </c>
      <c r="T89" t="s">
        <v>41</v>
      </c>
      <c r="U89" s="2">
        <v>800</v>
      </c>
      <c r="V89">
        <v>7.8</v>
      </c>
      <c r="W89">
        <v>28</v>
      </c>
      <c r="X89" t="s">
        <v>58</v>
      </c>
      <c r="Y89">
        <v>34.1</v>
      </c>
      <c r="Z89" t="s">
        <v>29</v>
      </c>
      <c r="AA89" t="s">
        <v>43</v>
      </c>
      <c r="AB89" t="s">
        <v>36</v>
      </c>
      <c r="AC89" t="s">
        <v>55</v>
      </c>
      <c r="AD89" t="s">
        <v>33</v>
      </c>
    </row>
    <row r="90" spans="1:30" x14ac:dyDescent="0.35">
      <c r="A90" t="s">
        <v>57</v>
      </c>
      <c r="B90" t="s">
        <v>50</v>
      </c>
      <c r="C90" t="s">
        <v>67</v>
      </c>
      <c r="D90">
        <v>2021</v>
      </c>
      <c r="E90">
        <v>89</v>
      </c>
      <c r="F90">
        <f t="shared" si="6"/>
        <v>3</v>
      </c>
      <c r="G90">
        <v>75.151515151515198</v>
      </c>
      <c r="H90">
        <v>2.6243194054073702</v>
      </c>
      <c r="I90">
        <v>3</v>
      </c>
      <c r="J90">
        <v>1.5151515151515</v>
      </c>
      <c r="K90">
        <v>76.363636363636402</v>
      </c>
      <c r="L90">
        <v>1.0497277621629399</v>
      </c>
      <c r="M90">
        <v>3</v>
      </c>
      <c r="N90">
        <v>0.60606060606059498</v>
      </c>
      <c r="O90" t="s">
        <v>25</v>
      </c>
      <c r="P90" t="s">
        <v>26</v>
      </c>
      <c r="Q90" s="1">
        <v>800</v>
      </c>
      <c r="R90">
        <v>7.8</v>
      </c>
      <c r="S90">
        <v>28</v>
      </c>
      <c r="T90" t="s">
        <v>41</v>
      </c>
      <c r="U90" s="2">
        <v>800</v>
      </c>
      <c r="V90">
        <v>7.8</v>
      </c>
      <c r="W90">
        <v>28</v>
      </c>
      <c r="X90" t="s">
        <v>54</v>
      </c>
      <c r="Y90">
        <v>34.1</v>
      </c>
      <c r="Z90" t="s">
        <v>29</v>
      </c>
      <c r="AA90" t="s">
        <v>43</v>
      </c>
      <c r="AB90" t="s">
        <v>36</v>
      </c>
      <c r="AC90" t="s">
        <v>55</v>
      </c>
      <c r="AD90" t="s">
        <v>33</v>
      </c>
    </row>
    <row r="91" spans="1:30" x14ac:dyDescent="0.35">
      <c r="A91" t="s">
        <v>57</v>
      </c>
      <c r="B91" t="s">
        <v>50</v>
      </c>
      <c r="C91" t="s">
        <v>67</v>
      </c>
      <c r="D91">
        <v>2021</v>
      </c>
      <c r="E91">
        <v>90</v>
      </c>
      <c r="F91">
        <f t="shared" si="6"/>
        <v>3</v>
      </c>
      <c r="G91">
        <v>89.090909090909093</v>
      </c>
      <c r="H91">
        <v>0.52486388108149296</v>
      </c>
      <c r="I91">
        <v>3</v>
      </c>
      <c r="J91">
        <v>0.30303030303031198</v>
      </c>
      <c r="K91">
        <v>83.3333333333334</v>
      </c>
      <c r="L91">
        <v>1.5745916432443801</v>
      </c>
      <c r="M91">
        <v>3</v>
      </c>
      <c r="N91">
        <v>0.90909090909087797</v>
      </c>
      <c r="O91" t="s">
        <v>25</v>
      </c>
      <c r="P91" t="s">
        <v>26</v>
      </c>
      <c r="Q91" s="1">
        <v>800</v>
      </c>
      <c r="R91">
        <v>7.8</v>
      </c>
      <c r="S91">
        <v>28</v>
      </c>
      <c r="T91" t="s">
        <v>41</v>
      </c>
      <c r="U91" s="2">
        <v>800</v>
      </c>
      <c r="V91">
        <v>7.8</v>
      </c>
      <c r="W91">
        <v>28</v>
      </c>
      <c r="X91" t="s">
        <v>51</v>
      </c>
      <c r="Y91">
        <v>34.1</v>
      </c>
      <c r="Z91" t="s">
        <v>29</v>
      </c>
      <c r="AA91" t="s">
        <v>43</v>
      </c>
      <c r="AB91" t="s">
        <v>36</v>
      </c>
      <c r="AC91" t="s">
        <v>55</v>
      </c>
      <c r="AD91" t="s">
        <v>33</v>
      </c>
    </row>
    <row r="92" spans="1:30" x14ac:dyDescent="0.35">
      <c r="A92" t="s">
        <v>57</v>
      </c>
      <c r="B92" t="s">
        <v>50</v>
      </c>
      <c r="C92" t="s">
        <v>67</v>
      </c>
      <c r="D92">
        <v>2021</v>
      </c>
      <c r="E92">
        <v>91</v>
      </c>
      <c r="F92">
        <f t="shared" si="6"/>
        <v>3</v>
      </c>
      <c r="G92">
        <v>97.272727272727295</v>
      </c>
      <c r="H92">
        <v>1.57459164324448</v>
      </c>
      <c r="I92">
        <v>3</v>
      </c>
      <c r="J92">
        <v>0.90909090909093504</v>
      </c>
      <c r="K92">
        <v>91.515151515151501</v>
      </c>
      <c r="L92">
        <v>3.14918328648886</v>
      </c>
      <c r="M92">
        <v>3</v>
      </c>
      <c r="N92">
        <v>1.8181818181818099</v>
      </c>
      <c r="O92" t="s">
        <v>25</v>
      </c>
      <c r="P92" t="s">
        <v>26</v>
      </c>
      <c r="Q92" s="1">
        <v>800</v>
      </c>
      <c r="R92">
        <v>7.8</v>
      </c>
      <c r="S92">
        <v>28</v>
      </c>
      <c r="T92" t="s">
        <v>41</v>
      </c>
      <c r="U92" s="2">
        <v>800</v>
      </c>
      <c r="V92">
        <v>7.8</v>
      </c>
      <c r="W92">
        <v>28</v>
      </c>
      <c r="X92" t="s">
        <v>52</v>
      </c>
      <c r="Y92">
        <v>34.1</v>
      </c>
      <c r="Z92" t="s">
        <v>29</v>
      </c>
      <c r="AA92" t="s">
        <v>43</v>
      </c>
      <c r="AB92" t="s">
        <v>36</v>
      </c>
      <c r="AC92" t="s">
        <v>55</v>
      </c>
      <c r="AD92" t="s">
        <v>33</v>
      </c>
    </row>
    <row r="93" spans="1:30" x14ac:dyDescent="0.35">
      <c r="A93" t="s">
        <v>57</v>
      </c>
      <c r="B93" t="s">
        <v>50</v>
      </c>
      <c r="C93" t="s">
        <v>67</v>
      </c>
      <c r="D93">
        <v>2021</v>
      </c>
      <c r="E93">
        <v>92</v>
      </c>
      <c r="F93">
        <f t="shared" si="6"/>
        <v>3</v>
      </c>
      <c r="G93">
        <v>116.363636363636</v>
      </c>
      <c r="H93">
        <v>4.19891104865175</v>
      </c>
      <c r="I93">
        <v>3</v>
      </c>
      <c r="J93">
        <v>2.4242424242423799</v>
      </c>
      <c r="K93">
        <v>104.545454545455</v>
      </c>
      <c r="L93">
        <v>2.6243194054073702</v>
      </c>
      <c r="M93">
        <v>3</v>
      </c>
      <c r="N93">
        <v>1.5151515151515</v>
      </c>
      <c r="O93" t="s">
        <v>25</v>
      </c>
      <c r="P93" t="s">
        <v>26</v>
      </c>
      <c r="Q93" s="1">
        <v>800</v>
      </c>
      <c r="R93">
        <v>7.8</v>
      </c>
      <c r="S93">
        <v>28</v>
      </c>
      <c r="T93" t="s">
        <v>41</v>
      </c>
      <c r="U93" s="2">
        <v>800</v>
      </c>
      <c r="V93">
        <v>7.8</v>
      </c>
      <c r="W93">
        <v>28</v>
      </c>
      <c r="X93" t="s">
        <v>53</v>
      </c>
      <c r="Y93">
        <v>34.1</v>
      </c>
      <c r="Z93" t="s">
        <v>29</v>
      </c>
      <c r="AA93" t="s">
        <v>43</v>
      </c>
      <c r="AB93" t="s">
        <v>36</v>
      </c>
      <c r="AC93" t="s">
        <v>55</v>
      </c>
      <c r="AD93" t="s">
        <v>33</v>
      </c>
    </row>
  </sheetData>
  <autoFilter ref="A1:AD93" xr:uid="{84FD3EAC-00B6-4604-B0AF-E871B15CB77B}">
    <filterColumn colId="2">
      <filters>
        <filter val="Yes"/>
      </filters>
    </filterColumn>
    <filterColumn colId="14">
      <filters>
        <filter val="Larval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47B13-6E9F-4B28-9658-EA2023C2D982}">
  <dimension ref="A2:N18"/>
  <sheetViews>
    <sheetView workbookViewId="0">
      <selection activeCell="C4" sqref="C4"/>
    </sheetView>
  </sheetViews>
  <sheetFormatPr defaultRowHeight="14.5" x14ac:dyDescent="0.35"/>
  <sheetData>
    <row r="2" spans="1:14" x14ac:dyDescent="0.35">
      <c r="B2" t="s">
        <v>59</v>
      </c>
      <c r="E2" t="s">
        <v>60</v>
      </c>
      <c r="F2" t="s">
        <v>61</v>
      </c>
      <c r="I2" t="s">
        <v>62</v>
      </c>
      <c r="M2" t="s">
        <v>60</v>
      </c>
      <c r="N2" t="s">
        <v>61</v>
      </c>
    </row>
    <row r="3" spans="1:14" x14ac:dyDescent="0.35">
      <c r="A3">
        <v>8.1999999999999993</v>
      </c>
      <c r="B3">
        <v>37.42</v>
      </c>
      <c r="C3">
        <v>38.119999999999997</v>
      </c>
      <c r="D3">
        <v>38.25</v>
      </c>
      <c r="E3">
        <f>AVERAGE(B3:D3)</f>
        <v>37.93</v>
      </c>
      <c r="F3">
        <f>STDEV(B3:D3)</f>
        <v>0.4464302857109928</v>
      </c>
      <c r="I3">
        <v>8.1999999999999993</v>
      </c>
      <c r="J3">
        <v>39.65</v>
      </c>
      <c r="K3">
        <v>38.840000000000003</v>
      </c>
      <c r="L3">
        <v>37.700000000000003</v>
      </c>
      <c r="M3">
        <f>AVERAGE(J3:L3)</f>
        <v>38.730000000000004</v>
      </c>
      <c r="N3">
        <f>STDEV(J3:L3)</f>
        <v>0.97964279204207705</v>
      </c>
    </row>
    <row r="4" spans="1:14" x14ac:dyDescent="0.35">
      <c r="A4">
        <v>7.9</v>
      </c>
      <c r="B4">
        <v>24.36</v>
      </c>
      <c r="C4">
        <v>20.55</v>
      </c>
      <c r="D4">
        <v>28.19</v>
      </c>
      <c r="E4">
        <f>AVERAGE(B4:D4)</f>
        <v>24.366666666666664</v>
      </c>
      <c r="F4">
        <f>STDEV(B4:D4)</f>
        <v>3.8200043629992719</v>
      </c>
      <c r="I4">
        <v>7.9</v>
      </c>
      <c r="J4">
        <v>33.840000000000003</v>
      </c>
      <c r="K4">
        <v>35.94</v>
      </c>
      <c r="L4">
        <v>31.19</v>
      </c>
      <c r="M4">
        <f>AVERAGE(J4:L4)</f>
        <v>33.656666666666666</v>
      </c>
      <c r="N4">
        <f>STDEV(J4:L4)</f>
        <v>2.3803011014015278</v>
      </c>
    </row>
    <row r="9" spans="1:14" x14ac:dyDescent="0.35">
      <c r="B9" t="s">
        <v>59</v>
      </c>
      <c r="I9" t="s">
        <v>62</v>
      </c>
      <c r="M9" t="s">
        <v>60</v>
      </c>
      <c r="N9" t="s">
        <v>61</v>
      </c>
    </row>
    <row r="10" spans="1:14" x14ac:dyDescent="0.35">
      <c r="B10">
        <v>37.42</v>
      </c>
      <c r="C10">
        <v>38.119999999999997</v>
      </c>
      <c r="D10">
        <v>38.25</v>
      </c>
      <c r="I10">
        <v>8.1999999999999993</v>
      </c>
      <c r="J10">
        <v>39.65</v>
      </c>
      <c r="K10">
        <v>38.840000000000003</v>
      </c>
      <c r="L10">
        <v>37.700000000000003</v>
      </c>
    </row>
    <row r="11" spans="1:14" x14ac:dyDescent="0.35">
      <c r="B11">
        <v>24.36</v>
      </c>
      <c r="C11">
        <v>20.55</v>
      </c>
      <c r="D11">
        <v>28.19</v>
      </c>
      <c r="J11">
        <v>33.840000000000003</v>
      </c>
      <c r="K11">
        <v>35.94</v>
      </c>
      <c r="L11">
        <v>31.19</v>
      </c>
    </row>
    <row r="16" spans="1:14" x14ac:dyDescent="0.35">
      <c r="B16" t="s">
        <v>60</v>
      </c>
      <c r="C16" t="s">
        <v>61</v>
      </c>
      <c r="E16" t="s">
        <v>60</v>
      </c>
      <c r="F16" t="s">
        <v>61</v>
      </c>
    </row>
    <row r="17" spans="1:6" x14ac:dyDescent="0.35">
      <c r="A17">
        <v>7.9</v>
      </c>
      <c r="B17">
        <v>37.93</v>
      </c>
      <c r="C17">
        <v>0.4464302857109928</v>
      </c>
      <c r="E17">
        <v>24.366666666666664</v>
      </c>
      <c r="F17">
        <v>3.8200043629992719</v>
      </c>
    </row>
    <row r="18" spans="1:6" x14ac:dyDescent="0.35">
      <c r="A18">
        <v>7.9</v>
      </c>
      <c r="B18">
        <v>38.730000000000004</v>
      </c>
      <c r="C18">
        <v>0.97964279204207705</v>
      </c>
      <c r="E18">
        <v>33.656666666666666</v>
      </c>
      <c r="F18">
        <v>2.3803011014015278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Pine</dc:creator>
  <cp:lastModifiedBy>Kris Esturas</cp:lastModifiedBy>
  <dcterms:created xsi:type="dcterms:W3CDTF">2023-04-17T00:02:37Z</dcterms:created>
  <dcterms:modified xsi:type="dcterms:W3CDTF">2026-06-02T01:11:40Z</dcterms:modified>
</cp:coreProperties>
</file>
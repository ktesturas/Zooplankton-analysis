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qoutlook-my.sharepoint.com/personal/kris_esturas_mq_edu_au/Documents/Documents/2025/00 Plankton Work/"/>
    </mc:Choice>
  </mc:AlternateContent>
  <xr:revisionPtr revIDLastSave="40" documentId="8_{DC3A95EE-D944-4506-96C8-AFC3CCB6C35C}" xr6:coauthVersionLast="47" xr6:coauthVersionMax="47" xr10:uidLastSave="{C5402FAA-E68F-4CAA-BA45-05307008B1F8}"/>
  <bookViews>
    <workbookView xWindow="12710" yWindow="0" windowWidth="12980" windowHeight="15370" xr2:uid="{BC9162BF-B122-4804-BA88-193A44C5D0A1}"/>
  </bookViews>
  <sheets>
    <sheet name="with2017a" sheetId="2" r:id="rId1"/>
  </sheets>
  <definedNames>
    <definedName name="_xlnm._FilterDatabase" localSheetId="0" hidden="1">with2017a!$A$1:$Y$22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" i="2" l="1"/>
  <c r="E22" i="2"/>
  <c r="I21" i="2"/>
  <c r="E21" i="2"/>
  <c r="I19" i="2"/>
  <c r="E19" i="2"/>
  <c r="I18" i="2"/>
  <c r="E18" i="2"/>
  <c r="I17" i="2"/>
  <c r="E17" i="2"/>
  <c r="I16" i="2"/>
  <c r="E16" i="2"/>
  <c r="I15" i="2"/>
  <c r="E15" i="2"/>
  <c r="I14" i="2"/>
  <c r="E14" i="2"/>
  <c r="I13" i="2"/>
  <c r="E13" i="2"/>
  <c r="I12" i="2"/>
  <c r="E12" i="2"/>
  <c r="I11" i="2"/>
  <c r="E11" i="2"/>
  <c r="I10" i="2"/>
  <c r="E10" i="2"/>
  <c r="I9" i="2"/>
  <c r="E9" i="2"/>
  <c r="I8" i="2"/>
  <c r="E8" i="2"/>
  <c r="I7" i="2"/>
  <c r="E7" i="2"/>
  <c r="I6" i="2"/>
  <c r="E6" i="2"/>
  <c r="I5" i="2"/>
  <c r="E5" i="2"/>
  <c r="I4" i="2"/>
  <c r="E4" i="2"/>
  <c r="I3" i="2"/>
  <c r="E3" i="2"/>
  <c r="I2" i="2"/>
  <c r="E2" i="2"/>
</calcChain>
</file>

<file path=xl/sharedStrings.xml><?xml version="1.0" encoding="utf-8"?>
<sst xmlns="http://schemas.openxmlformats.org/spreadsheetml/2006/main" count="228" uniqueCount="38">
  <si>
    <t>Paper</t>
  </si>
  <si>
    <t>Year</t>
  </si>
  <si>
    <t>ef_num</t>
  </si>
  <si>
    <t>mean.c</t>
  </si>
  <si>
    <t>sd.c</t>
  </si>
  <si>
    <t>n.c</t>
  </si>
  <si>
    <t>se.d</t>
  </si>
  <si>
    <t>mean.e</t>
  </si>
  <si>
    <t>sd.e</t>
  </si>
  <si>
    <t>n.e</t>
  </si>
  <si>
    <t>Life_Stage_Treated</t>
  </si>
  <si>
    <t>pCO2_Treatment</t>
  </si>
  <si>
    <t>pH_Treatment</t>
  </si>
  <si>
    <t>Temperature_Treatment</t>
  </si>
  <si>
    <t>Parent_Treament</t>
  </si>
  <si>
    <t>Parent_pCO2</t>
  </si>
  <si>
    <t>Parent_pH</t>
  </si>
  <si>
    <t>Parent_Temperature</t>
  </si>
  <si>
    <t>Age_Days</t>
  </si>
  <si>
    <t>Salinity</t>
  </si>
  <si>
    <t>Oyster_Lines</t>
  </si>
  <si>
    <t>Generation</t>
  </si>
  <si>
    <t>Fertilisation_Regime</t>
  </si>
  <si>
    <t>Feeding_Regime</t>
  </si>
  <si>
    <t>Parker et al. 2009</t>
  </si>
  <si>
    <t>Larval</t>
  </si>
  <si>
    <t>No_Data</t>
  </si>
  <si>
    <t>Wild</t>
  </si>
  <si>
    <t>F0</t>
  </si>
  <si>
    <t>Treatment</t>
  </si>
  <si>
    <t>Fed_Daily</t>
  </si>
  <si>
    <t>Ambient</t>
  </si>
  <si>
    <t>Parker 2010</t>
  </si>
  <si>
    <t>Parker 2018</t>
  </si>
  <si>
    <t>Adult</t>
  </si>
  <si>
    <t>AP</t>
  </si>
  <si>
    <t>F2</t>
  </si>
  <si>
    <t>Parker et al. 2017a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</si>
</sst>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727F9-9522-41B2-9054-ED4D867CE351}">
  <sheetPr filterMode="1"/>
  <dimension ref="A1:Y22"/>
  <sheetViews>
    <sheetView tabSelected="1" workbookViewId="0">
      <selection sqref="A1:XFD1"/>
    </sheetView>
  </sheetViews>
  <sheetFormatPr defaultRowHeight="14.5" x14ac:dyDescent="0.35"/>
  <cols>
    <col min="1" max="1" width="17.26953125" bestFit="1" customWidth="1"/>
  </cols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6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25" x14ac:dyDescent="0.35">
      <c r="A2" t="s">
        <v>24</v>
      </c>
      <c r="B2">
        <v>2009</v>
      </c>
      <c r="C2">
        <v>1</v>
      </c>
      <c r="D2">
        <v>71.130434782608702</v>
      </c>
      <c r="E2">
        <f t="shared" ref="E2:E19" si="0">G2*SQRT(F2)</f>
        <v>0.77776277478255407</v>
      </c>
      <c r="F2">
        <v>5</v>
      </c>
      <c r="G2">
        <v>0.34782608695653</v>
      </c>
      <c r="H2">
        <v>67.304347826086897</v>
      </c>
      <c r="I2">
        <f t="shared" ref="I2:I19" si="1">K2*SQRT(J2)</f>
        <v>1.9444069369563561</v>
      </c>
      <c r="J2">
        <v>5</v>
      </c>
      <c r="K2">
        <v>0.86956521739131198</v>
      </c>
      <c r="L2" t="s">
        <v>25</v>
      </c>
      <c r="M2">
        <v>375</v>
      </c>
      <c r="N2">
        <v>8.1999999999999993</v>
      </c>
      <c r="O2">
        <v>30</v>
      </c>
      <c r="P2" t="s">
        <v>26</v>
      </c>
      <c r="Q2" t="s">
        <v>26</v>
      </c>
      <c r="R2" t="s">
        <v>26</v>
      </c>
      <c r="S2" t="s">
        <v>26</v>
      </c>
      <c r="T2">
        <v>1</v>
      </c>
      <c r="U2">
        <v>35</v>
      </c>
      <c r="V2" t="s">
        <v>27</v>
      </c>
      <c r="W2" t="s">
        <v>28</v>
      </c>
      <c r="X2" t="s">
        <v>29</v>
      </c>
      <c r="Y2" t="s">
        <v>30</v>
      </c>
    </row>
    <row r="3" spans="1:25" x14ac:dyDescent="0.35">
      <c r="A3" t="s">
        <v>24</v>
      </c>
      <c r="B3">
        <v>2009</v>
      </c>
      <c r="C3">
        <v>2</v>
      </c>
      <c r="D3">
        <v>76.229508196721298</v>
      </c>
      <c r="E3">
        <f t="shared" si="0"/>
        <v>0.36656852090165587</v>
      </c>
      <c r="F3">
        <v>5</v>
      </c>
      <c r="G3">
        <v>0.163934426229531</v>
      </c>
      <c r="H3">
        <v>72.786885245901601</v>
      </c>
      <c r="I3">
        <f t="shared" si="1"/>
        <v>1.4662740836064021</v>
      </c>
      <c r="J3">
        <v>5</v>
      </c>
      <c r="K3">
        <v>0.65573770491802497</v>
      </c>
      <c r="L3" t="s">
        <v>25</v>
      </c>
      <c r="M3">
        <v>375</v>
      </c>
      <c r="N3">
        <v>8.1999999999999993</v>
      </c>
      <c r="O3">
        <v>30</v>
      </c>
      <c r="P3" t="s">
        <v>26</v>
      </c>
      <c r="Q3" t="s">
        <v>26</v>
      </c>
      <c r="R3" t="s">
        <v>26</v>
      </c>
      <c r="S3" t="s">
        <v>26</v>
      </c>
      <c r="T3">
        <v>2</v>
      </c>
      <c r="U3">
        <v>35</v>
      </c>
      <c r="V3" t="s">
        <v>27</v>
      </c>
      <c r="W3" t="s">
        <v>28</v>
      </c>
      <c r="X3" t="s">
        <v>29</v>
      </c>
      <c r="Y3" t="s">
        <v>30</v>
      </c>
    </row>
    <row r="4" spans="1:25" x14ac:dyDescent="0.35">
      <c r="A4" t="s">
        <v>24</v>
      </c>
      <c r="B4">
        <v>2009</v>
      </c>
      <c r="C4">
        <v>3</v>
      </c>
      <c r="D4">
        <v>67.130434782608702</v>
      </c>
      <c r="E4">
        <f t="shared" si="0"/>
        <v>1.5555255495650455</v>
      </c>
      <c r="F4">
        <v>5</v>
      </c>
      <c r="G4">
        <v>0.69565217391303202</v>
      </c>
      <c r="H4">
        <v>58.7826086956522</v>
      </c>
      <c r="I4">
        <f t="shared" si="1"/>
        <v>3.4999324865213479</v>
      </c>
      <c r="J4">
        <v>5</v>
      </c>
      <c r="K4">
        <v>1.5652173913043199</v>
      </c>
      <c r="L4" t="s">
        <v>25</v>
      </c>
      <c r="M4">
        <v>600</v>
      </c>
      <c r="N4">
        <v>8</v>
      </c>
      <c r="O4">
        <v>30</v>
      </c>
      <c r="P4" t="s">
        <v>26</v>
      </c>
      <c r="Q4" t="s">
        <v>26</v>
      </c>
      <c r="R4" t="s">
        <v>26</v>
      </c>
      <c r="S4" t="s">
        <v>26</v>
      </c>
      <c r="T4">
        <v>1</v>
      </c>
      <c r="U4">
        <v>35</v>
      </c>
      <c r="V4" t="s">
        <v>27</v>
      </c>
      <c r="W4" t="s">
        <v>28</v>
      </c>
      <c r="X4" t="s">
        <v>29</v>
      </c>
      <c r="Y4" t="s">
        <v>30</v>
      </c>
    </row>
    <row r="5" spans="1:25" x14ac:dyDescent="0.35">
      <c r="A5" t="s">
        <v>24</v>
      </c>
      <c r="B5">
        <v>2009</v>
      </c>
      <c r="C5">
        <v>4</v>
      </c>
      <c r="D5">
        <v>73.770491803278603</v>
      </c>
      <c r="E5">
        <f t="shared" si="0"/>
        <v>1.0997055627048715</v>
      </c>
      <c r="F5">
        <v>5</v>
      </c>
      <c r="G5">
        <v>0.49180327868855001</v>
      </c>
      <c r="H5">
        <v>70.491803278688494</v>
      </c>
      <c r="I5">
        <f t="shared" si="1"/>
        <v>2.5659796463112401</v>
      </c>
      <c r="J5">
        <v>5</v>
      </c>
      <c r="K5">
        <v>1.14754098360656</v>
      </c>
      <c r="L5" t="s">
        <v>25</v>
      </c>
      <c r="M5">
        <v>600</v>
      </c>
      <c r="N5">
        <v>8</v>
      </c>
      <c r="O5">
        <v>30</v>
      </c>
      <c r="P5" t="s">
        <v>26</v>
      </c>
      <c r="Q5" t="s">
        <v>26</v>
      </c>
      <c r="R5" t="s">
        <v>26</v>
      </c>
      <c r="S5" t="s">
        <v>26</v>
      </c>
      <c r="T5">
        <v>2</v>
      </c>
      <c r="U5">
        <v>35</v>
      </c>
      <c r="V5" t="s">
        <v>27</v>
      </c>
      <c r="W5" t="s">
        <v>28</v>
      </c>
      <c r="X5" t="s">
        <v>29</v>
      </c>
      <c r="Y5" t="s">
        <v>30</v>
      </c>
    </row>
    <row r="6" spans="1:25" x14ac:dyDescent="0.35">
      <c r="A6" t="s">
        <v>24</v>
      </c>
      <c r="B6">
        <v>2009</v>
      </c>
      <c r="C6">
        <v>5</v>
      </c>
      <c r="D6">
        <v>70.782608695652101</v>
      </c>
      <c r="E6">
        <f t="shared" si="0"/>
        <v>0.7777627747826189</v>
      </c>
      <c r="F6">
        <v>5</v>
      </c>
      <c r="G6">
        <v>0.34782608695655898</v>
      </c>
      <c r="H6">
        <v>65.391304347826093</v>
      </c>
      <c r="I6">
        <f t="shared" si="1"/>
        <v>1.9444069369563561</v>
      </c>
      <c r="J6">
        <v>5</v>
      </c>
      <c r="K6">
        <v>0.86956521739131198</v>
      </c>
      <c r="L6" t="s">
        <v>25</v>
      </c>
      <c r="M6">
        <v>375</v>
      </c>
      <c r="N6">
        <v>8.1999999999999993</v>
      </c>
      <c r="O6">
        <v>30</v>
      </c>
      <c r="P6" t="s">
        <v>26</v>
      </c>
      <c r="Q6" t="s">
        <v>26</v>
      </c>
      <c r="R6" t="s">
        <v>26</v>
      </c>
      <c r="S6" t="s">
        <v>26</v>
      </c>
      <c r="T6">
        <v>1</v>
      </c>
      <c r="U6">
        <v>35</v>
      </c>
      <c r="V6" t="s">
        <v>27</v>
      </c>
      <c r="W6" t="s">
        <v>28</v>
      </c>
      <c r="X6" t="s">
        <v>31</v>
      </c>
      <c r="Y6" t="s">
        <v>30</v>
      </c>
    </row>
    <row r="7" spans="1:25" x14ac:dyDescent="0.35">
      <c r="A7" t="s">
        <v>24</v>
      </c>
      <c r="B7">
        <v>2009</v>
      </c>
      <c r="C7">
        <v>6</v>
      </c>
      <c r="D7">
        <v>77.540983606557305</v>
      </c>
      <c r="E7">
        <f t="shared" si="0"/>
        <v>1.8328426045080244</v>
      </c>
      <c r="F7">
        <v>5</v>
      </c>
      <c r="G7">
        <v>0.81967213114754101</v>
      </c>
      <c r="H7">
        <v>72.459016393442596</v>
      </c>
      <c r="I7">
        <f t="shared" si="1"/>
        <v>1.4662740836064021</v>
      </c>
      <c r="J7">
        <v>5</v>
      </c>
      <c r="K7">
        <v>0.65573770491802497</v>
      </c>
      <c r="L7" t="s">
        <v>25</v>
      </c>
      <c r="M7">
        <v>375</v>
      </c>
      <c r="N7">
        <v>8.1999999999999993</v>
      </c>
      <c r="O7">
        <v>30</v>
      </c>
      <c r="P7" t="s">
        <v>26</v>
      </c>
      <c r="Q7" t="s">
        <v>26</v>
      </c>
      <c r="R7" t="s">
        <v>26</v>
      </c>
      <c r="S7" t="s">
        <v>26</v>
      </c>
      <c r="T7">
        <v>2</v>
      </c>
      <c r="U7">
        <v>35</v>
      </c>
      <c r="V7" t="s">
        <v>27</v>
      </c>
      <c r="W7" t="s">
        <v>28</v>
      </c>
      <c r="X7" t="s">
        <v>31</v>
      </c>
      <c r="Y7" t="s">
        <v>30</v>
      </c>
    </row>
    <row r="8" spans="1:25" x14ac:dyDescent="0.35">
      <c r="A8" t="s">
        <v>24</v>
      </c>
      <c r="B8">
        <v>2009</v>
      </c>
      <c r="C8">
        <v>7</v>
      </c>
      <c r="D8">
        <v>68.521739130434796</v>
      </c>
      <c r="E8">
        <f t="shared" si="0"/>
        <v>1.5555255495651104</v>
      </c>
      <c r="F8">
        <v>5</v>
      </c>
      <c r="G8">
        <v>0.695652173913061</v>
      </c>
      <c r="H8">
        <v>63.478260869565197</v>
      </c>
      <c r="I8">
        <f t="shared" si="1"/>
        <v>3.1110510991301492</v>
      </c>
      <c r="J8">
        <v>5</v>
      </c>
      <c r="K8">
        <v>1.39130434782609</v>
      </c>
      <c r="L8" t="s">
        <v>25</v>
      </c>
      <c r="M8">
        <v>600</v>
      </c>
      <c r="N8">
        <v>8</v>
      </c>
      <c r="O8">
        <v>30</v>
      </c>
      <c r="P8" t="s">
        <v>26</v>
      </c>
      <c r="Q8" t="s">
        <v>26</v>
      </c>
      <c r="R8" t="s">
        <v>26</v>
      </c>
      <c r="S8" t="s">
        <v>26</v>
      </c>
      <c r="T8">
        <v>1</v>
      </c>
      <c r="U8">
        <v>35</v>
      </c>
      <c r="V8" t="s">
        <v>27</v>
      </c>
      <c r="W8" t="s">
        <v>28</v>
      </c>
      <c r="X8" t="s">
        <v>31</v>
      </c>
      <c r="Y8" t="s">
        <v>30</v>
      </c>
    </row>
    <row r="9" spans="1:25" x14ac:dyDescent="0.35">
      <c r="A9" t="s">
        <v>24</v>
      </c>
      <c r="B9">
        <v>2009</v>
      </c>
      <c r="C9">
        <v>8</v>
      </c>
      <c r="D9">
        <v>75.081967213114694</v>
      </c>
      <c r="E9">
        <f t="shared" si="0"/>
        <v>1.4662740836064649</v>
      </c>
      <c r="F9">
        <v>5</v>
      </c>
      <c r="G9">
        <v>0.65573770491805305</v>
      </c>
      <c r="H9">
        <v>70.491803278688494</v>
      </c>
      <c r="I9">
        <f t="shared" si="1"/>
        <v>2.5659796463112401</v>
      </c>
      <c r="J9">
        <v>5</v>
      </c>
      <c r="K9">
        <v>1.14754098360656</v>
      </c>
      <c r="L9" t="s">
        <v>25</v>
      </c>
      <c r="M9">
        <v>600</v>
      </c>
      <c r="N9">
        <v>8</v>
      </c>
      <c r="O9">
        <v>30</v>
      </c>
      <c r="P9" t="s">
        <v>26</v>
      </c>
      <c r="Q9" t="s">
        <v>26</v>
      </c>
      <c r="R9" t="s">
        <v>26</v>
      </c>
      <c r="S9" t="s">
        <v>26</v>
      </c>
      <c r="T9">
        <v>2</v>
      </c>
      <c r="U9">
        <v>35</v>
      </c>
      <c r="V9" t="s">
        <v>27</v>
      </c>
      <c r="W9" t="s">
        <v>28</v>
      </c>
      <c r="X9" t="s">
        <v>31</v>
      </c>
      <c r="Y9" t="s">
        <v>30</v>
      </c>
    </row>
    <row r="10" spans="1:25" x14ac:dyDescent="0.35">
      <c r="A10" t="s">
        <v>24</v>
      </c>
      <c r="B10">
        <v>2009</v>
      </c>
      <c r="C10">
        <v>9</v>
      </c>
      <c r="D10">
        <v>68.347826086956502</v>
      </c>
      <c r="E10">
        <f t="shared" si="0"/>
        <v>0.77776277478255407</v>
      </c>
      <c r="F10">
        <v>5</v>
      </c>
      <c r="G10">
        <v>0.34782608695653</v>
      </c>
      <c r="H10">
        <v>61.913043478260803</v>
      </c>
      <c r="I10">
        <f t="shared" si="1"/>
        <v>1.9444069369563872</v>
      </c>
      <c r="J10">
        <v>5</v>
      </c>
      <c r="K10">
        <v>0.86956521739132597</v>
      </c>
      <c r="L10" t="s">
        <v>25</v>
      </c>
      <c r="M10">
        <v>750</v>
      </c>
      <c r="N10">
        <v>7.9</v>
      </c>
      <c r="O10">
        <v>30</v>
      </c>
      <c r="P10" t="s">
        <v>26</v>
      </c>
      <c r="Q10" t="s">
        <v>26</v>
      </c>
      <c r="R10" t="s">
        <v>26</v>
      </c>
      <c r="S10" t="s">
        <v>26</v>
      </c>
      <c r="T10">
        <v>1</v>
      </c>
      <c r="U10">
        <v>35</v>
      </c>
      <c r="V10" t="s">
        <v>27</v>
      </c>
      <c r="W10" t="s">
        <v>28</v>
      </c>
      <c r="X10" t="s">
        <v>31</v>
      </c>
      <c r="Y10" t="s">
        <v>30</v>
      </c>
    </row>
    <row r="11" spans="1:25" x14ac:dyDescent="0.35">
      <c r="A11" t="s">
        <v>24</v>
      </c>
      <c r="B11">
        <v>2009</v>
      </c>
      <c r="C11">
        <v>10</v>
      </c>
      <c r="D11">
        <v>74.590163934426201</v>
      </c>
      <c r="E11">
        <f t="shared" si="0"/>
        <v>1.4662740836064021</v>
      </c>
      <c r="F11">
        <v>5</v>
      </c>
      <c r="G11">
        <v>0.65573770491802497</v>
      </c>
      <c r="H11">
        <v>64.590163934426201</v>
      </c>
      <c r="I11">
        <f t="shared" si="1"/>
        <v>4.0322537299176755</v>
      </c>
      <c r="J11">
        <v>5</v>
      </c>
      <c r="K11">
        <v>1.8032786885245999</v>
      </c>
      <c r="L11" t="s">
        <v>25</v>
      </c>
      <c r="M11">
        <v>750</v>
      </c>
      <c r="N11">
        <v>7.9</v>
      </c>
      <c r="O11">
        <v>30</v>
      </c>
      <c r="P11" t="s">
        <v>26</v>
      </c>
      <c r="Q11" t="s">
        <v>26</v>
      </c>
      <c r="R11" t="s">
        <v>26</v>
      </c>
      <c r="S11" t="s">
        <v>26</v>
      </c>
      <c r="T11">
        <v>2</v>
      </c>
      <c r="U11">
        <v>35</v>
      </c>
      <c r="V11" t="s">
        <v>27</v>
      </c>
      <c r="W11" t="s">
        <v>28</v>
      </c>
      <c r="X11" t="s">
        <v>31</v>
      </c>
      <c r="Y11" t="s">
        <v>30</v>
      </c>
    </row>
    <row r="12" spans="1:25" x14ac:dyDescent="0.35">
      <c r="A12" t="s">
        <v>24</v>
      </c>
      <c r="B12">
        <v>2009</v>
      </c>
      <c r="C12">
        <v>11</v>
      </c>
      <c r="D12">
        <v>67.652173913043399</v>
      </c>
      <c r="E12">
        <f t="shared" si="0"/>
        <v>1.1666441621738646</v>
      </c>
      <c r="F12">
        <v>5</v>
      </c>
      <c r="G12">
        <v>0.52173913043481002</v>
      </c>
      <c r="H12">
        <v>63.130434782608702</v>
      </c>
      <c r="I12">
        <f t="shared" si="1"/>
        <v>2.3332883243476177</v>
      </c>
      <c r="J12">
        <v>5</v>
      </c>
      <c r="K12">
        <v>1.0434782608695701</v>
      </c>
      <c r="L12" t="s">
        <v>25</v>
      </c>
      <c r="M12">
        <v>1000</v>
      </c>
      <c r="N12">
        <v>7.8</v>
      </c>
      <c r="O12">
        <v>30</v>
      </c>
      <c r="P12" t="s">
        <v>26</v>
      </c>
      <c r="Q12" t="s">
        <v>26</v>
      </c>
      <c r="R12" t="s">
        <v>26</v>
      </c>
      <c r="S12" t="s">
        <v>26</v>
      </c>
      <c r="T12">
        <v>1</v>
      </c>
      <c r="U12">
        <v>35</v>
      </c>
      <c r="V12" t="s">
        <v>27</v>
      </c>
      <c r="W12" t="s">
        <v>28</v>
      </c>
      <c r="X12" t="s">
        <v>31</v>
      </c>
      <c r="Y12" t="s">
        <v>30</v>
      </c>
    </row>
    <row r="13" spans="1:25" x14ac:dyDescent="0.35">
      <c r="A13" t="s">
        <v>24</v>
      </c>
      <c r="B13">
        <v>2009</v>
      </c>
      <c r="C13">
        <v>12</v>
      </c>
      <c r="D13">
        <v>72.786885245901601</v>
      </c>
      <c r="E13">
        <f t="shared" si="0"/>
        <v>1.4662740836064021</v>
      </c>
      <c r="F13">
        <v>5</v>
      </c>
      <c r="G13">
        <v>0.65573770491802497</v>
      </c>
      <c r="H13">
        <v>66.885245901639294</v>
      </c>
      <c r="I13">
        <f t="shared" si="1"/>
        <v>2.1994111254096178</v>
      </c>
      <c r="J13">
        <v>5</v>
      </c>
      <c r="K13">
        <v>0.98360655737704406</v>
      </c>
      <c r="L13" t="s">
        <v>25</v>
      </c>
      <c r="M13">
        <v>1000</v>
      </c>
      <c r="N13">
        <v>7.8</v>
      </c>
      <c r="O13">
        <v>30</v>
      </c>
      <c r="P13" t="s">
        <v>26</v>
      </c>
      <c r="Q13" t="s">
        <v>26</v>
      </c>
      <c r="R13" t="s">
        <v>26</v>
      </c>
      <c r="S13" t="s">
        <v>26</v>
      </c>
      <c r="T13">
        <v>2</v>
      </c>
      <c r="U13">
        <v>35</v>
      </c>
      <c r="V13" t="s">
        <v>27</v>
      </c>
      <c r="W13" t="s">
        <v>28</v>
      </c>
      <c r="X13" t="s">
        <v>31</v>
      </c>
      <c r="Y13" t="s">
        <v>30</v>
      </c>
    </row>
    <row r="14" spans="1:25" x14ac:dyDescent="0.35">
      <c r="A14" t="s">
        <v>32</v>
      </c>
      <c r="B14">
        <v>2010</v>
      </c>
      <c r="C14">
        <v>13</v>
      </c>
      <c r="D14">
        <v>75.598792260402902</v>
      </c>
      <c r="E14">
        <f t="shared" si="0"/>
        <v>0.75630344467396515</v>
      </c>
      <c r="F14">
        <v>3</v>
      </c>
      <c r="G14">
        <v>0.43665199737155502</v>
      </c>
      <c r="H14">
        <v>71.668924284058903</v>
      </c>
      <c r="I14">
        <f t="shared" si="1"/>
        <v>1.2605057411232687</v>
      </c>
      <c r="J14">
        <v>3</v>
      </c>
      <c r="K14">
        <v>0.72775332895258804</v>
      </c>
      <c r="L14" t="s">
        <v>25</v>
      </c>
      <c r="M14">
        <v>375</v>
      </c>
      <c r="N14">
        <v>8.1999999999999993</v>
      </c>
      <c r="O14">
        <v>30</v>
      </c>
      <c r="P14" t="s">
        <v>26</v>
      </c>
      <c r="Q14" t="s">
        <v>26</v>
      </c>
      <c r="R14" t="s">
        <v>26</v>
      </c>
      <c r="S14" t="s">
        <v>26</v>
      </c>
      <c r="T14">
        <v>2</v>
      </c>
      <c r="U14">
        <v>34.5</v>
      </c>
      <c r="V14" t="s">
        <v>27</v>
      </c>
      <c r="W14" t="s">
        <v>28</v>
      </c>
      <c r="X14" t="s">
        <v>31</v>
      </c>
      <c r="Y14" t="s">
        <v>30</v>
      </c>
    </row>
    <row r="15" spans="1:25" x14ac:dyDescent="0.35">
      <c r="A15" t="s">
        <v>32</v>
      </c>
      <c r="B15">
        <v>2010</v>
      </c>
      <c r="C15">
        <v>14</v>
      </c>
      <c r="D15">
        <v>70.213417626153699</v>
      </c>
      <c r="E15">
        <f t="shared" si="0"/>
        <v>1.5126068893479319</v>
      </c>
      <c r="F15">
        <v>3</v>
      </c>
      <c r="G15">
        <v>0.87330399474311105</v>
      </c>
      <c r="H15">
        <v>69.922316294572695</v>
      </c>
      <c r="I15">
        <f t="shared" si="1"/>
        <v>1.5126068893479319</v>
      </c>
      <c r="J15">
        <v>3</v>
      </c>
      <c r="K15">
        <v>0.87330399474311105</v>
      </c>
      <c r="L15" t="s">
        <v>25</v>
      </c>
      <c r="M15">
        <v>600</v>
      </c>
      <c r="N15">
        <v>8</v>
      </c>
      <c r="O15">
        <v>30</v>
      </c>
      <c r="P15" t="s">
        <v>26</v>
      </c>
      <c r="Q15" t="s">
        <v>26</v>
      </c>
      <c r="R15" t="s">
        <v>26</v>
      </c>
      <c r="S15" t="s">
        <v>26</v>
      </c>
      <c r="T15">
        <v>2</v>
      </c>
      <c r="U15">
        <v>34.5</v>
      </c>
      <c r="V15" t="s">
        <v>27</v>
      </c>
      <c r="W15" t="s">
        <v>28</v>
      </c>
      <c r="X15" t="s">
        <v>31</v>
      </c>
      <c r="Y15" t="s">
        <v>30</v>
      </c>
    </row>
    <row r="16" spans="1:25" x14ac:dyDescent="0.35">
      <c r="A16" t="s">
        <v>32</v>
      </c>
      <c r="B16">
        <v>2010</v>
      </c>
      <c r="C16">
        <v>15</v>
      </c>
      <c r="D16">
        <v>67.4479549761339</v>
      </c>
      <c r="E16">
        <f t="shared" si="0"/>
        <v>1.0084045928986041</v>
      </c>
      <c r="F16">
        <v>3</v>
      </c>
      <c r="G16">
        <v>0.58220266316206404</v>
      </c>
      <c r="H16">
        <v>67.4479549761339</v>
      </c>
      <c r="I16">
        <f t="shared" si="1"/>
        <v>1.260505741123243</v>
      </c>
      <c r="J16">
        <v>3</v>
      </c>
      <c r="K16">
        <v>0.72775332895257305</v>
      </c>
      <c r="L16" t="s">
        <v>25</v>
      </c>
      <c r="M16">
        <v>750</v>
      </c>
      <c r="N16">
        <v>7.9</v>
      </c>
      <c r="O16">
        <v>30</v>
      </c>
      <c r="P16" t="s">
        <v>26</v>
      </c>
      <c r="Q16" t="s">
        <v>26</v>
      </c>
      <c r="R16" t="s">
        <v>26</v>
      </c>
      <c r="S16" t="s">
        <v>26</v>
      </c>
      <c r="T16">
        <v>2</v>
      </c>
      <c r="U16">
        <v>34.5</v>
      </c>
      <c r="V16" t="s">
        <v>27</v>
      </c>
      <c r="W16" t="s">
        <v>28</v>
      </c>
      <c r="X16" t="s">
        <v>31</v>
      </c>
      <c r="Y16" t="s">
        <v>30</v>
      </c>
    </row>
    <row r="17" spans="1:25" x14ac:dyDescent="0.35">
      <c r="A17" t="s">
        <v>32</v>
      </c>
      <c r="B17">
        <v>2010</v>
      </c>
      <c r="C17">
        <v>16</v>
      </c>
      <c r="D17">
        <v>64.682492326114001</v>
      </c>
      <c r="E17">
        <f t="shared" si="0"/>
        <v>2.0168091857972286</v>
      </c>
      <c r="F17">
        <v>3</v>
      </c>
      <c r="G17">
        <v>1.1644053263241401</v>
      </c>
      <c r="H17">
        <v>64.536941660323507</v>
      </c>
      <c r="I17">
        <f t="shared" si="1"/>
        <v>0.75630344467394084</v>
      </c>
      <c r="J17">
        <v>3</v>
      </c>
      <c r="K17">
        <v>0.43665199737154098</v>
      </c>
      <c r="L17" t="s">
        <v>25</v>
      </c>
      <c r="M17">
        <v>1000</v>
      </c>
      <c r="N17">
        <v>7.8</v>
      </c>
      <c r="O17">
        <v>30</v>
      </c>
      <c r="P17" t="s">
        <v>26</v>
      </c>
      <c r="Q17" t="s">
        <v>26</v>
      </c>
      <c r="R17" t="s">
        <v>26</v>
      </c>
      <c r="S17" t="s">
        <v>26</v>
      </c>
      <c r="T17">
        <v>2</v>
      </c>
      <c r="U17">
        <v>34.5</v>
      </c>
      <c r="V17" t="s">
        <v>27</v>
      </c>
      <c r="W17" t="s">
        <v>28</v>
      </c>
      <c r="X17" t="s">
        <v>31</v>
      </c>
      <c r="Y17" t="s">
        <v>30</v>
      </c>
    </row>
    <row r="18" spans="1:25" x14ac:dyDescent="0.35">
      <c r="A18" t="s">
        <v>32</v>
      </c>
      <c r="B18">
        <v>2010</v>
      </c>
      <c r="C18">
        <v>17</v>
      </c>
      <c r="D18">
        <v>74.370370370370395</v>
      </c>
      <c r="E18">
        <f t="shared" si="0"/>
        <v>1.5396007178389968</v>
      </c>
      <c r="F18">
        <v>3</v>
      </c>
      <c r="G18">
        <v>0.88888888888888595</v>
      </c>
      <c r="H18">
        <v>71.259259259259295</v>
      </c>
      <c r="I18">
        <f t="shared" si="1"/>
        <v>1.5396007178389968</v>
      </c>
      <c r="J18">
        <v>3</v>
      </c>
      <c r="K18">
        <v>0.88888888888888595</v>
      </c>
      <c r="L18" t="s">
        <v>25</v>
      </c>
      <c r="M18">
        <v>375</v>
      </c>
      <c r="N18">
        <v>8.1999999999999993</v>
      </c>
      <c r="O18">
        <v>30</v>
      </c>
      <c r="P18" t="s">
        <v>26</v>
      </c>
      <c r="Q18" t="s">
        <v>26</v>
      </c>
      <c r="R18" t="s">
        <v>26</v>
      </c>
      <c r="S18" t="s">
        <v>26</v>
      </c>
      <c r="T18">
        <v>2</v>
      </c>
      <c r="U18">
        <v>34.5</v>
      </c>
      <c r="V18" t="s">
        <v>27</v>
      </c>
      <c r="W18" t="s">
        <v>28</v>
      </c>
      <c r="X18" t="s">
        <v>29</v>
      </c>
      <c r="Y18" t="s">
        <v>30</v>
      </c>
    </row>
    <row r="19" spans="1:25" x14ac:dyDescent="0.35">
      <c r="A19" t="s">
        <v>32</v>
      </c>
      <c r="B19">
        <v>2010</v>
      </c>
      <c r="C19">
        <v>18</v>
      </c>
      <c r="D19">
        <v>67.851851851851904</v>
      </c>
      <c r="E19">
        <f t="shared" si="0"/>
        <v>1.283000598199155</v>
      </c>
      <c r="F19">
        <v>3</v>
      </c>
      <c r="G19">
        <v>0.74074074074073304</v>
      </c>
      <c r="H19">
        <v>68.8888888888889</v>
      </c>
      <c r="I19">
        <f t="shared" si="1"/>
        <v>1.283000598199155</v>
      </c>
      <c r="J19">
        <v>3</v>
      </c>
      <c r="K19">
        <v>0.74074074074073304</v>
      </c>
      <c r="L19" t="s">
        <v>25</v>
      </c>
      <c r="M19">
        <v>600</v>
      </c>
      <c r="N19">
        <v>8</v>
      </c>
      <c r="O19">
        <v>30</v>
      </c>
      <c r="P19" t="s">
        <v>26</v>
      </c>
      <c r="Q19" t="s">
        <v>26</v>
      </c>
      <c r="R19" t="s">
        <v>26</v>
      </c>
      <c r="S19" t="s">
        <v>26</v>
      </c>
      <c r="T19">
        <v>2</v>
      </c>
      <c r="U19">
        <v>34.5</v>
      </c>
      <c r="V19" t="s">
        <v>27</v>
      </c>
      <c r="W19" t="s">
        <v>28</v>
      </c>
      <c r="X19" t="s">
        <v>29</v>
      </c>
      <c r="Y19" t="s">
        <v>30</v>
      </c>
    </row>
    <row r="20" spans="1:25" x14ac:dyDescent="0.35">
      <c r="A20" t="s">
        <v>37</v>
      </c>
      <c r="B20">
        <v>2017</v>
      </c>
      <c r="C20">
        <v>19</v>
      </c>
      <c r="D20">
        <v>138.16666666666666</v>
      </c>
      <c r="E20">
        <v>3.3197640478403483</v>
      </c>
      <c r="F20">
        <v>3</v>
      </c>
      <c r="H20">
        <v>125.91666666666667</v>
      </c>
      <c r="I20">
        <v>2.1842237370135265</v>
      </c>
      <c r="J20">
        <v>3</v>
      </c>
      <c r="L20" t="s">
        <v>25</v>
      </c>
      <c r="M20" s="1">
        <v>856</v>
      </c>
      <c r="N20">
        <v>7.9</v>
      </c>
      <c r="O20">
        <v>28</v>
      </c>
      <c r="P20" t="s">
        <v>35</v>
      </c>
      <c r="Q20">
        <v>392</v>
      </c>
      <c r="R20">
        <v>8.1999999999999993</v>
      </c>
      <c r="S20">
        <v>24</v>
      </c>
      <c r="T20">
        <v>15</v>
      </c>
      <c r="U20">
        <v>34.5</v>
      </c>
      <c r="V20" t="s">
        <v>27</v>
      </c>
      <c r="W20" t="s">
        <v>36</v>
      </c>
      <c r="X20" t="s">
        <v>31</v>
      </c>
      <c r="Y20" t="s">
        <v>30</v>
      </c>
    </row>
    <row r="21" spans="1:25" hidden="1" x14ac:dyDescent="0.35">
      <c r="A21" t="s">
        <v>33</v>
      </c>
      <c r="B21">
        <v>2018</v>
      </c>
      <c r="C21">
        <v>20</v>
      </c>
      <c r="D21">
        <v>52.24</v>
      </c>
      <c r="E21">
        <f>G21*SQRT(F21)</f>
        <v>0.62353829072479572</v>
      </c>
      <c r="F21">
        <v>3</v>
      </c>
      <c r="G21">
        <v>0.36</v>
      </c>
      <c r="H21">
        <v>49.5</v>
      </c>
      <c r="I21">
        <f>K21*SQRT(J21)</f>
        <v>1.4549226783578568</v>
      </c>
      <c r="J21">
        <v>3</v>
      </c>
      <c r="K21">
        <v>0.84</v>
      </c>
      <c r="L21" t="s">
        <v>34</v>
      </c>
      <c r="M21">
        <v>392</v>
      </c>
      <c r="N21">
        <v>8.1999999999999993</v>
      </c>
      <c r="O21">
        <v>28</v>
      </c>
      <c r="P21" t="s">
        <v>26</v>
      </c>
      <c r="Q21">
        <v>392</v>
      </c>
      <c r="R21">
        <v>8.1999999999999993</v>
      </c>
      <c r="S21" t="s">
        <v>26</v>
      </c>
      <c r="T21">
        <v>56</v>
      </c>
      <c r="U21">
        <v>34.5</v>
      </c>
      <c r="V21" t="s">
        <v>27</v>
      </c>
      <c r="W21" t="s">
        <v>28</v>
      </c>
      <c r="X21" t="s">
        <v>31</v>
      </c>
      <c r="Y21" t="s">
        <v>30</v>
      </c>
    </row>
    <row r="22" spans="1:25" hidden="1" x14ac:dyDescent="0.35">
      <c r="A22" t="s">
        <v>33</v>
      </c>
      <c r="B22">
        <v>2018</v>
      </c>
      <c r="C22">
        <v>21</v>
      </c>
      <c r="D22">
        <v>51.85</v>
      </c>
      <c r="E22">
        <f>G22*SQRT(F22)</f>
        <v>8.6602540378443865E-2</v>
      </c>
      <c r="F22">
        <v>3</v>
      </c>
      <c r="G22">
        <v>0.05</v>
      </c>
      <c r="H22">
        <v>46.76</v>
      </c>
      <c r="I22">
        <f>K22*SQRT(J22)</f>
        <v>1.2297560733739028</v>
      </c>
      <c r="J22">
        <v>3</v>
      </c>
      <c r="K22">
        <v>0.71</v>
      </c>
      <c r="L22" t="s">
        <v>34</v>
      </c>
      <c r="M22">
        <v>856</v>
      </c>
      <c r="N22">
        <v>7.8</v>
      </c>
      <c r="O22">
        <v>28</v>
      </c>
      <c r="P22" t="s">
        <v>26</v>
      </c>
      <c r="Q22">
        <v>392</v>
      </c>
      <c r="R22">
        <v>8.1999999999999993</v>
      </c>
      <c r="S22" t="s">
        <v>26</v>
      </c>
      <c r="T22">
        <v>56</v>
      </c>
      <c r="U22">
        <v>34.5</v>
      </c>
      <c r="V22" t="s">
        <v>27</v>
      </c>
      <c r="W22" t="s">
        <v>28</v>
      </c>
      <c r="X22" t="s">
        <v>31</v>
      </c>
      <c r="Y22" t="s">
        <v>30</v>
      </c>
    </row>
  </sheetData>
  <autoFilter ref="A1:Y22" xr:uid="{E3B727F9-9522-41B2-9054-ED4D867CE351}">
    <filterColumn colId="11">
      <filters>
        <filter val="Larval"/>
      </filters>
    </filterColumn>
  </autoFilter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2c514c1-a717-4087-be06-d40d2070ad52}" enabled="0" method="" siteId="{82c514c1-a717-4087-be06-d40d2070ad5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with2017a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Pine</dc:creator>
  <cp:lastModifiedBy>Kris Esturas</cp:lastModifiedBy>
  <dcterms:created xsi:type="dcterms:W3CDTF">2023-04-11T00:52:00Z</dcterms:created>
  <dcterms:modified xsi:type="dcterms:W3CDTF">2025-12-15T08:50:52Z</dcterms:modified>
</cp:coreProperties>
</file>